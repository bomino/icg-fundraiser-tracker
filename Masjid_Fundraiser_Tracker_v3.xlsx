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1_{C70B6F64-992F-43B3-A35D-9D4101DFB022}" xr6:coauthVersionLast="47" xr6:coauthVersionMax="47" xr10:uidLastSave="{00000000-0000-0000-0000-000000000000}"/>
  <bookViews>
    <workbookView xWindow="18900" yWindow="17880" windowWidth="29040" windowHeight="15720" tabRatio="500" activeTab="1" xr2:uid="{00000000-000D-0000-FFFF-FFFF00000000}"/>
  </bookViews>
  <sheets>
    <sheet name="Pledges" sheetId="1" r:id="rId1"/>
    <sheet name="Payments" sheetId="3" r:id="rId2"/>
    <sheet name="Summary" sheetId="2" r:id="rId3"/>
  </sheet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Lawali, Mahamadou</author>
  </authors>
  <commentList>
    <comment ref="A4" authorId="0" shapeId="0" xr:uid="{2107D3AF-B9CD-4C74-AA59-E7DFFF23176E}">
      <text>
        <r>
          <rPr>
            <b/>
            <sz val="9"/>
            <color indexed="81"/>
            <rFont val="Tahoma"/>
            <family val="2"/>
          </rPr>
          <t>Lawali, Mahamadou:</t>
        </r>
        <r>
          <rPr>
            <sz val="9"/>
            <color indexed="81"/>
            <rFont val="Tahoma"/>
            <family val="2"/>
          </rPr>
          <t xml:space="preserve">
The donor's phone number, used as their unique ID, e.g. 555-010-0110. Dashes, spaces, brackets, dots and plus signs don't matter — the sheet ignores them. Repeated numbers turn red: one row per donor.</t>
        </r>
      </text>
    </comment>
    <comment ref="B4" authorId="0" shapeId="0" xr:uid="{A43B4326-521E-43CE-B04C-8BCD5703EC0B}">
      <text>
        <r>
          <rPr>
            <b/>
            <sz val="9"/>
            <color indexed="81"/>
            <rFont val="Tahoma"/>
            <family val="2"/>
          </rPr>
          <t>Lawali, Mahamadou:</t>
        </r>
        <r>
          <rPr>
            <sz val="9"/>
            <color indexed="81"/>
            <rFont val="Tahoma"/>
            <family val="2"/>
          </rPr>
          <t xml:space="preserve">
Full name, e.g. Ahmed Yusuf.</t>
        </r>
      </text>
    </comment>
    <comment ref="C4" authorId="0" shapeId="0" xr:uid="{DEE0C0C4-3167-44A9-ACC7-A4761715EEF6}">
      <text>
        <r>
          <rPr>
            <b/>
            <sz val="9"/>
            <color indexed="81"/>
            <rFont val="Tahoma"/>
            <family val="2"/>
          </rPr>
          <t>Lawali, Mahamadou:</t>
        </r>
        <r>
          <rPr>
            <sz val="9"/>
            <color indexed="81"/>
            <rFont val="Tahoma"/>
            <family val="2"/>
          </rPr>
          <t xml:space="preserve">
Date the pledge was made, e.g. 2026-09-01.</t>
        </r>
      </text>
    </comment>
    <comment ref="D4" authorId="0" shapeId="0" xr:uid="{7111969C-F0CA-447B-9157-0A54848CFB85}">
      <text>
        <r>
          <rPr>
            <b/>
            <sz val="9"/>
            <color indexed="81"/>
            <rFont val="Tahoma"/>
            <family val="2"/>
          </rPr>
          <t>Lawali, Mahamadou:</t>
        </r>
        <r>
          <rPr>
            <sz val="9"/>
            <color indexed="81"/>
            <rFont val="Tahoma"/>
            <family val="2"/>
          </rPr>
          <t xml:space="preserve">
Total amount promised, e.g. 500. Must be 0 or more. Enter 0 if not known yet — payments still count; they only stop counting if this is left blank.</t>
        </r>
      </text>
    </comment>
    <comment ref="E4" authorId="0" shapeId="0" xr:uid="{0EDFB893-9F1D-4098-89CF-F830DF5722B2}">
      <text>
        <r>
          <rPr>
            <b/>
            <sz val="9"/>
            <color indexed="81"/>
            <rFont val="Tahoma"/>
            <family val="2"/>
          </rPr>
          <t>Lawali, Mahamadou:</t>
        </r>
        <r>
          <rPr>
            <sz val="9"/>
            <color indexed="81"/>
            <rFont val="Tahoma"/>
            <family val="2"/>
          </rPr>
          <t xml:space="preserve">
Calculated — the most recent payment date for this donor from the Payments tab. Do not type here.</t>
        </r>
      </text>
    </comment>
    <comment ref="F4" authorId="0" shapeId="0" xr:uid="{47C4A65E-431F-496E-9313-19CF4FCDAD4C}">
      <text>
        <r>
          <rPr>
            <b/>
            <sz val="9"/>
            <color indexed="81"/>
            <rFont val="Tahoma"/>
            <family val="2"/>
          </rPr>
          <t>Lawali, Mahamadou:</t>
        </r>
        <r>
          <rPr>
            <sz val="9"/>
            <color indexed="81"/>
            <rFont val="Tahoma"/>
            <family val="2"/>
          </rPr>
          <t xml:space="preserve">
Calculated — the sum of all this donor's payments on the Payments tab. Do not type here.</t>
        </r>
      </text>
    </comment>
    <comment ref="G4" authorId="0" shapeId="0" xr:uid="{9C551635-9083-4EBC-BD93-506595476CFE}">
      <text>
        <r>
          <rPr>
            <b/>
            <sz val="9"/>
            <color indexed="81"/>
            <rFont val="Tahoma"/>
            <family val="2"/>
          </rPr>
          <t>Lawali, Mahamadou:</t>
        </r>
        <r>
          <rPr>
            <sz val="9"/>
            <color indexed="81"/>
            <rFont val="Tahoma"/>
            <family val="2"/>
          </rPr>
          <t xml:space="preserve">
Calculated — Amount Pledged minus Amount Received. Shows a dash when fully paid, and a bracketed figure if the donor paid more than pledged.</t>
        </r>
      </text>
    </comment>
    <comment ref="H4" authorId="0" shapeId="0" xr:uid="{26228C3D-7CBF-443F-9BD2-522CBBA3E70E}">
      <text>
        <r>
          <rPr>
            <b/>
            <sz val="9"/>
            <color indexed="81"/>
            <rFont val="Tahoma"/>
            <family val="2"/>
          </rPr>
          <t>Lawali, Mahamadou:</t>
        </r>
        <r>
          <rPr>
            <sz val="9"/>
            <color indexed="81"/>
            <rFont val="Tahoma"/>
            <family val="2"/>
          </rPr>
          <t xml:space="preserve">
Calculated — how many payments this donor has made, e.g. 2 for a pledge paid in two installments.</t>
        </r>
      </text>
    </comment>
    <comment ref="I4" authorId="0" shapeId="0" xr:uid="{631BC116-7165-41BC-AF94-C5D4C386827D}">
      <text>
        <r>
          <rPr>
            <b/>
            <sz val="9"/>
            <color indexed="81"/>
            <rFont val="Tahoma"/>
            <family val="2"/>
          </rPr>
          <t>Lawali, Mahamadou:</t>
        </r>
        <r>
          <rPr>
            <sz val="9"/>
            <color indexed="81"/>
            <rFont val="Tahoma"/>
            <family val="2"/>
          </rPr>
          <t xml:space="preserve">
Calculated — Pending (nothing received), Partial (some received), Paid (pledge met exactly), or Overpaid (more than pledged).</t>
        </r>
      </text>
    </comment>
    <comment ref="J4" authorId="0" shapeId="0" xr:uid="{04C3BCBF-0566-4437-9AAC-3B2B290F07DD}">
      <text>
        <r>
          <rPr>
            <b/>
            <sz val="9"/>
            <color indexed="81"/>
            <rFont val="Tahoma"/>
            <family val="2"/>
          </rPr>
          <t>Lawali, Mahamadou:</t>
        </r>
        <r>
          <rPr>
            <sz val="9"/>
            <color indexed="81"/>
            <rFont val="Tahoma"/>
            <family val="2"/>
          </rPr>
          <t xml:space="preserve">
Anything worth remembering, e.g. "Prefers to pay after Jumuah".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Lawali, Mahamadou</author>
  </authors>
  <commentList>
    <comment ref="A4" authorId="0" shapeId="0" xr:uid="{91D57BAE-332C-4CD9-A738-D8BF9B6CC72A}">
      <text>
        <r>
          <rPr>
            <b/>
            <sz val="9"/>
            <color indexed="81"/>
            <rFont val="Tahoma"/>
            <family val="2"/>
          </rPr>
          <t>Lawali, Mahamadou:</t>
        </r>
        <r>
          <rPr>
            <sz val="9"/>
            <color indexed="81"/>
            <rFont val="Tahoma"/>
            <family val="2"/>
          </rPr>
          <t xml:space="preserve">
The donor's phone number, e.g. 555-010-0110. Use the same digits as the Pledges tab — dashes, spaces, brackets, dots and plus signs don't matter. If the digits aren't on the Pledges tab, or that donor has no Amount Pledged, the row turns red.</t>
        </r>
      </text>
    </comment>
    <comment ref="B4" authorId="0" shapeId="0" xr:uid="{C15EB6F8-2318-4A2A-AF49-06FBE13DE78C}">
      <text>
        <r>
          <rPr>
            <b/>
            <sz val="9"/>
            <color indexed="81"/>
            <rFont val="Tahoma"/>
            <family val="2"/>
          </rPr>
          <t>Lawali, Mahamadou:</t>
        </r>
        <r>
          <rPr>
            <sz val="9"/>
            <color indexed="81"/>
            <rFont val="Tahoma"/>
            <family val="2"/>
          </rPr>
          <t xml:space="preserve">
Calculated — pulled from the Pledges tab using the phone number. Shows a ⚠ warning if the number isn't there or that donor has no Amount Pledged. Do not type here.</t>
        </r>
      </text>
    </comment>
    <comment ref="C4" authorId="0" shapeId="0" xr:uid="{C0C9DF6C-DA21-4DEE-BBFE-2959C0D78CA2}">
      <text>
        <r>
          <rPr>
            <b/>
            <sz val="9"/>
            <color indexed="81"/>
            <rFont val="Tahoma"/>
            <family val="2"/>
          </rPr>
          <t>Lawali, Mahamadou:</t>
        </r>
        <r>
          <rPr>
            <sz val="9"/>
            <color indexed="81"/>
            <rFont val="Tahoma"/>
            <family val="2"/>
          </rPr>
          <t xml:space="preserve">
Date this payment came in, e.g. 2026-09-05. One row per payment, so installments get their own dates. A date in the future turns amber.</t>
        </r>
      </text>
    </comment>
    <comment ref="D4" authorId="0" shapeId="0" xr:uid="{628FE436-52CB-4F1A-94F9-92ABCD4B3930}">
      <text>
        <r>
          <rPr>
            <b/>
            <sz val="9"/>
            <color indexed="81"/>
            <rFont val="Tahoma"/>
            <family val="2"/>
          </rPr>
          <t>Lawali, Mahamadou:</t>
        </r>
        <r>
          <rPr>
            <sz val="9"/>
            <color indexed="81"/>
            <rFont val="Tahoma"/>
            <family val="2"/>
          </rPr>
          <t xml:space="preserve">
Amount of this single payment, e.g. 200. Must be 0 or more.</t>
        </r>
      </text>
    </comment>
    <comment ref="E4" authorId="0" shapeId="0" xr:uid="{8EB5D9A5-2DA3-4A01-8C8F-DE84150430A6}">
      <text>
        <r>
          <rPr>
            <b/>
            <sz val="9"/>
            <color indexed="81"/>
            <rFont val="Tahoma"/>
            <family val="2"/>
          </rPr>
          <t>Lawali, Mahamadou:</t>
        </r>
        <r>
          <rPr>
            <sz val="9"/>
            <color indexed="81"/>
            <rFont val="Tahoma"/>
            <family val="2"/>
          </rPr>
          <t xml:space="preserve">
Pick from the dropdown, e.g. Cash.</t>
        </r>
      </text>
    </comment>
    <comment ref="F4" authorId="0" shapeId="0" xr:uid="{8FC34F03-E34F-4174-A291-C7A4ADADF9D1}">
      <text>
        <r>
          <rPr>
            <b/>
            <sz val="9"/>
            <color indexed="81"/>
            <rFont val="Tahoma"/>
            <family val="2"/>
          </rPr>
          <t>Lawali, Mahamadou:</t>
        </r>
        <r>
          <rPr>
            <sz val="9"/>
            <color indexed="81"/>
            <rFont val="Tahoma"/>
            <family val="2"/>
          </rPr>
          <t xml:space="preserve">
Anything worth remembering, e.g. "First installment".</t>
        </r>
      </text>
    </comment>
  </commentList>
</comments>
</file>

<file path=xl/sharedStrings.xml><?xml version="1.0" encoding="utf-8"?>
<sst xmlns="http://schemas.openxmlformats.org/spreadsheetml/2006/main" count="48" uniqueCount="34">
  <si>
    <t>Masjid Fundraiser — Pledge &amp; Collection Tracker</t>
  </si>
  <si>
    <t>Phone Number (Donor ID)</t>
  </si>
  <si>
    <t>Donor Name</t>
  </si>
  <si>
    <t>Date Pledged</t>
  </si>
  <si>
    <t>Amount Pledged ($)</t>
  </si>
  <si>
    <t>Date Received</t>
  </si>
  <si>
    <t>Amount Received ($)</t>
  </si>
  <si>
    <t>Balance Due ($)</t>
  </si>
  <si>
    <t>Payment Method</t>
  </si>
  <si>
    <t>Status</t>
  </si>
  <si>
    <t>Notes</t>
  </si>
  <si>
    <t>Fundraiser Summary</t>
  </si>
  <si>
    <t>Updates automatically from the Pledges sheet.</t>
  </si>
  <si>
    <t>Fundraiser Goal ($)</t>
  </si>
  <si>
    <t>Total Pledged ($)</t>
  </si>
  <si>
    <t>Total Received ($)</t>
  </si>
  <si>
    <t>Total Balance Outstanding ($)</t>
  </si>
  <si>
    <t>Number of Donors (pledged)</t>
  </si>
  <si>
    <t>Number Fully Paid</t>
  </si>
  <si>
    <t>Number Partial</t>
  </si>
  <si>
    <t>Number Pending</t>
  </si>
  <si>
    <t>% of Goal Received</t>
  </si>
  <si>
    <t>Donor Lookup</t>
  </si>
  <si>
    <t>Enter a phone number below to pull that donor's status.</t>
  </si>
  <si>
    <t>Phone Number</t>
  </si>
  <si>
    <t>Masjid Fundraiser — Payments Received Log</t>
  </si>
  <si>
    <t>Last Payment Date</t>
  </si>
  <si>
    <t># Payments</t>
  </si>
  <si>
    <t>Payments Logged ($)</t>
  </si>
  <si>
    <t>Unmatched Payments ($)</t>
  </si>
  <si>
    <t>Totals →</t>
  </si>
  <si>
    <t>Yellow cells are for entry; green figures roll up from the Payments tab. Hover a column heading for an example. To add a donor, just type on the first empty row — the list grows on its own.</t>
  </si>
  <si>
    <t>One row per payment received — a donor paying in installments gets one row per installment. Hover a column heading for an example. Just type on the first empty row; the list grows on its own.</t>
  </si>
  <si>
    <t>Legend: yellow cell = entry. Green figures are pulled from another tab. Formulas use plain cell ranges so the file also works in Google Sheets.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</si>
</sst>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\-mm\-dd"/>
    <numFmt numFmtId="165" formatCode="\$#,##0.00"/>
    <numFmt numFmtId="166" formatCode="0.0%"/>
    <numFmt numFmtId="167" formatCode="\$#,##0.00;\(&quot;$&quot;#,##0.00\);\-"/>
  </numFmts>
  <fonts count="14" x14ac:knownFonts="1">
    <font>
      <sz val="11"/>
      <color theme="1"/>
      <name val="Calibri"/>
      <family val="2"/>
      <charset val="1"/>
    </font>
    <font>
      <b/>
      <sz val="16"/>
      <color rgb="FF1F4E5F"/>
      <name val="Arial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3"/>
      <color rgb="FF1F4E5F"/>
      <name val="Arial"/>
      <family val="2"/>
    </font>
    <font>
      <sz val="11"/>
      <color rgb="FF000000"/>
      <name val="Calibri"/>
      <family val="2"/>
    </font>
    <font>
      <sz val="11"/>
      <color rgb="FF008000"/>
      <name val="Arial"/>
      <family val="2"/>
    </font>
    <font>
      <b/>
      <sz val="11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11"/>
      <color rgb="FF008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1F4E5F"/>
        <bgColor indexed="64"/>
      </patternFill>
    </fill>
    <fill>
      <patternFill patternType="solid">
        <fgColor rgb="FFFFF9C4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applyProtection="1" numFmtId="165" fontId="0" fillId="2" borderId="1" xfId="0" applyNumberFormat="1" applyFill="1" applyBorder="1" applyAlignment="1">
      <alignment horizontal="center" vertical="center" wrapText="1"/>
      <protection locked="0"/>
    </xf>
    <xf numFmtId="0" fontId="4" fillId="0" borderId="1" xfId="0" applyFont="1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0" xfId="0" applyFont="1"/>
    <xf numFmtId="0" fontId="4" fillId="0" borderId="0" xfId="0" applyFont="1" applyAlignment="1">
      <alignment horizontal="left" vertical="center"/>
    </xf>
    <xf applyProtection="1" numFmtId="49" fontId="0" fillId="2" borderId="1" xfId="0" applyNumberFormat="1" applyFill="1" applyBorder="1" applyAlignment="1">
      <alignment horizontal="center" vertical="center" wrapText="1"/>
      <protection locked="0"/>
    </xf>
    <xf numFmtId="164" fontId="0" fillId="0" borderId="1" xfId="0" applyNumberFormat="1" applyBorder="1" applyAlignment="1">
      <alignment horizontal="center" vertical="center" wrapText="1"/>
    </xf>
    <xf applyProtection="1" numFmtId="49" fontId="6" fillId="4" borderId="0" xfId="0" applyNumberFormat="1" applyFont="1" applyFill="1" applyAlignment="1">
      <alignment horizontal="left"/>
      <protection locked="0"/>
    </xf>
    <xf applyProtection="1" numFmtId="164" fontId="6" fillId="4" borderId="0" xfId="0" applyNumberFormat="1" applyFont="1" applyFill="1" applyAlignment="1">
      <alignment horizontal="center"/>
      <protection locked="0"/>
    </xf>
    <xf applyProtection="1" numFmtId="165" fontId="6" fillId="4" borderId="0" xfId="0" applyNumberFormat="1" applyFont="1" applyFill="1" applyAlignment="1">
      <alignment horizontal="center"/>
      <protection locked="0"/>
    </xf>
    <xf numFmtId="0" fontId="4" fillId="0" borderId="2" xfId="0" applyFont="1" applyBorder="1" applyAlignment="1">
      <alignment horizontal="left" vertical="center"/>
    </xf>
    <xf numFmtId="166" fontId="0" fillId="0" borderId="2" xfId="0" applyNumberForma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applyProtection="1" numFmtId="0" fontId="6" fillId="4" borderId="0" xfId="0" applyFont="1" applyFill="1" applyAlignment="1">
      <alignment horizontal="center"/>
      <protection locked="0"/>
    </xf>
    <xf applyProtection="1" numFmtId="0" fontId="6" fillId="4" borderId="0" xfId="0" applyFont="1" applyFill="1" applyAlignment="1">
      <alignment horizontal="left"/>
      <protection locked="0"/>
    </xf>
    <xf numFmtId="0" fontId="8" fillId="0" borderId="0" xfId="0" applyFont="1"/>
    <xf numFmtId="165" fontId="8" fillId="0" borderId="0" xfId="0" applyNumberFormat="1" applyFont="1"/>
    <xf numFmtId="1" fontId="8" fillId="0" borderId="0" xfId="0" applyNumberFormat="1" applyFont="1"/>
    <xf numFmtId="0" fontId="8" fillId="0" borderId="0" xfId="0" applyFont="1" applyAlignment="1">
      <alignment horizontal="right"/>
    </xf>
    <xf applyProtection="1" numFmtId="49" fontId="11" fillId="4" borderId="0" xfId="0" applyNumberFormat="1" applyFont="1" applyFill="1" applyAlignment="1">
      <alignment horizontal="left"/>
      <protection locked="0"/>
    </xf>
    <xf applyProtection="1" numFmtId="0" fontId="11" fillId="4" borderId="0" xfId="0" applyFont="1" applyFill="1" applyAlignment="1">
      <alignment horizontal="left"/>
      <protection locked="0"/>
    </xf>
    <xf applyProtection="1" numFmtId="164" fontId="11" fillId="4" borderId="0" xfId="0" applyNumberFormat="1" applyFont="1" applyFill="1" applyAlignment="1">
      <alignment horizontal="center"/>
      <protection locked="0"/>
    </xf>
    <xf applyProtection="1" numFmtId="165" fontId="11" fillId="4" borderId="0" xfId="0" applyNumberFormat="1" applyFont="1" applyFill="1" applyAlignment="1">
      <alignment horizontal="center"/>
      <protection locked="0"/>
    </xf>
    <xf applyProtection="1" numFmtId="0" fontId="11" fillId="4" borderId="0" xfId="0" applyFont="1" applyFill="1" applyAlignment="1">
      <alignment horizontal="center"/>
      <protection locked="0"/>
    </xf>
    <xf numFmtId="164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67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6" fillId="4" borderId="0" xfId="0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center"/>
    </xf>
    <xf numFmtId="165" fontId="7" fillId="0" borderId="0" xfId="0" applyNumberFormat="1" applyFont="1" applyFill="1" applyAlignment="1">
      <alignment horizontal="center"/>
    </xf>
    <xf numFmtId="167" fontId="13" fillId="0" borderId="0" xfId="0" applyNumberFormat="1" applyFont="1" applyFill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13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6" fillId="4" borderId="0" xfId="0" applyNumberFormat="1" applyFont="1" applyFill="1" applyAlignment="1">
      <alignment horizontal="center"/>
    </xf>
  </cellXfs>
  <cellStyles count="1">
    <cellStyle name="Normal" xfId="0" builtinId="0"/>
  </cellStyles>
  <dxfs count="44">
    <dxf>
      <font>
        <color rgb="FF9C0006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9C4"/>
        </patternFill>
      </fill>
      <alignment horizontal="left" vertical="bottom" textRotation="0" wrapText="0" indent="0" justifyLastLine="0" shrinkToFit="0" readingOrder="0"/>
    </dxf>
    <dxf>
      <font>
        <sz val="11"/>
        <color rgb="FF000000"/>
        <name val="Calibri"/>
      </font>
      <numFmt numFmtId="0" formatCode="General"/>
      <fill>
        <patternFill patternType="solid">
          <fgColor indexed="64"/>
          <bgColor rgb="FFFFF9C4"/>
        </patternFill>
      </fill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9C4"/>
        </patternFill>
      </fill>
      <alignment horizontal="center" vertical="bottom" textRotation="0" wrapText="0" indent="0" justifyLastLine="0" shrinkToFit="0" readingOrder="0"/>
    </dxf>
    <dxf>
      <font>
        <sz val="11"/>
        <color rgb="FF000000"/>
        <name val="Calibri"/>
      </font>
      <numFmt numFmtId="0" formatCode="General"/>
      <fill>
        <patternFill patternType="solid">
          <fgColor indexed="64"/>
          <bgColor rgb="FFFFF9C4"/>
        </patternFill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\$#,##0.00"/>
      <fill>
        <patternFill patternType="solid">
          <fgColor indexed="64"/>
          <bgColor rgb="FFFFF9C4"/>
        </patternFill>
      </fill>
      <alignment horizontal="center" vertical="bottom" textRotation="0" wrapText="0" indent="0" justifyLastLine="0" shrinkToFit="0" readingOrder="0"/>
    </dxf>
    <dxf>
      <font>
        <sz val="11"/>
        <color rgb="FF000000"/>
        <name val="Calibri"/>
      </font>
      <numFmt numFmtId="165" formatCode="\$#,##0.00"/>
      <fill>
        <patternFill patternType="solid">
          <fgColor indexed="64"/>
          <bgColor rgb="FFFFF9C4"/>
        </patternFill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9C4"/>
        </patternFill>
      </fill>
      <alignment horizontal="center" vertical="bottom" textRotation="0" wrapText="0" indent="0" justifyLastLine="0" shrinkToFit="0" readingOrder="0"/>
    </dxf>
    <dxf>
      <font>
        <sz val="11"/>
        <color rgb="FF000000"/>
        <name val="Calibri"/>
      </font>
      <numFmt numFmtId="164" formatCode="yyyy\-mm\-dd"/>
      <fill>
        <patternFill patternType="solid">
          <fgColor indexed="64"/>
          <bgColor rgb="FFFFF9C4"/>
        </patternFill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z val="11"/>
        <color rgb="FF008000"/>
        <name val="Arial"/>
      </font>
      <fill>
        <patternFill patternType="none"/>
      </fill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9C4"/>
        </patternFill>
      </fill>
      <alignment horizontal="left" vertical="bottom" textRotation="0" wrapText="0" indent="0" justifyLastLine="0" shrinkToFit="0" readingOrder="0"/>
    </dxf>
    <dxf>
      <font>
        <sz val="11"/>
        <color rgb="FF000000"/>
        <name val="Calibri"/>
      </font>
      <numFmt numFmtId="30" formatCode="@"/>
      <fill>
        <patternFill patternType="solid">
          <fgColor indexed="64"/>
          <bgColor rgb="FFFFF9C4"/>
        </patternFill>
      </fill>
      <alignment horizontal="left"/>
    </dxf>
    <dxf>
      <font>
        <b/>
        <sz val="11"/>
        <color rgb="FF000000"/>
        <name val="Arial"/>
      </font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5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9C4"/>
        </patternFill>
      </fill>
      <alignment horizontal="left" vertical="bottom" textRotation="0" wrapText="0" indent="0" justifyLastLine="0" shrinkToFit="0" readingOrder="0"/>
    </dxf>
    <dxf>
      <font>
        <sz val="11"/>
        <color rgb="FF000000"/>
        <name val="Calibri"/>
      </font>
      <numFmt numFmtId="0" formatCode="General"/>
      <fill>
        <patternFill patternType="solid">
          <fgColor indexed="64"/>
          <bgColor rgb="FFFFF9C4"/>
        </patternFill>
      </fill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z val="11"/>
        <color rgb="FF000000"/>
        <name val="Arial"/>
      </font>
      <numFmt numFmtId="0" formatCode="General"/>
      <fill>
        <patternFill patternType="none"/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z val="11"/>
        <color rgb="FF008000"/>
        <name val="Arial"/>
      </font>
      <numFmt numFmtId="1" formatCode="0"/>
      <fill>
        <patternFill patternType="none"/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\$#,##0.00"/>
      <alignment horizontal="center" vertical="bottom" textRotation="0" wrapText="0" indent="0" justifyLastLine="0" shrinkToFit="0" readingOrder="0"/>
    </dxf>
    <dxf>
      <font>
        <sz val="11"/>
        <color rgb="FF000000"/>
        <name val="Arial"/>
      </font>
      <numFmt numFmtId="167" formatCode="\$#,##0.00;\(&quot;$&quot;#,##0.00\);\-"/>
      <fill>
        <patternFill patternType="none"/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\$#,##0.00"/>
      <alignment horizontal="center" vertical="bottom" textRotation="0" wrapText="0" indent="0" justifyLastLine="0" shrinkToFit="0" readingOrder="0"/>
    </dxf>
    <dxf>
      <font>
        <sz val="11"/>
        <color rgb="FF008000"/>
        <name val="Arial"/>
      </font>
      <numFmt numFmtId="165" formatCode="\$#,##0.00"/>
      <fill>
        <patternFill patternType="none"/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z val="11"/>
        <color rgb="FF008000"/>
        <name val="Arial"/>
      </font>
      <numFmt numFmtId="164" formatCode="yyyy\-mm\-dd"/>
      <fill>
        <patternFill patternType="none"/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\$#,##0.00"/>
      <fill>
        <patternFill patternType="solid">
          <fgColor indexed="64"/>
          <bgColor rgb="FFFFF9C4"/>
        </patternFill>
      </fill>
      <alignment horizontal="center" vertical="bottom" textRotation="0" wrapText="0" indent="0" justifyLastLine="0" shrinkToFit="0" readingOrder="0"/>
    </dxf>
    <dxf>
      <font>
        <sz val="11"/>
        <color rgb="FF000000"/>
        <name val="Calibri"/>
      </font>
      <numFmt numFmtId="165" formatCode="\$#,##0.00"/>
      <fill>
        <patternFill patternType="solid">
          <fgColor indexed="64"/>
          <bgColor rgb="FFFFF9C4"/>
        </patternFill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9C4"/>
        </patternFill>
      </fill>
      <alignment horizontal="center" vertical="bottom" textRotation="0" wrapText="0" indent="0" justifyLastLine="0" shrinkToFit="0" readingOrder="0"/>
    </dxf>
    <dxf>
      <font>
        <sz val="11"/>
        <color rgb="FF000000"/>
        <name val="Calibri"/>
      </font>
      <numFmt numFmtId="164" formatCode="yyyy\-mm\-dd"/>
      <fill>
        <patternFill patternType="solid">
          <fgColor indexed="64"/>
          <bgColor rgb="FFFFF9C4"/>
        </patternFill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9C4"/>
        </patternFill>
      </fill>
      <alignment horizontal="left" vertical="bottom" textRotation="0" wrapText="0" indent="0" justifyLastLine="0" shrinkToFit="0" readingOrder="0"/>
    </dxf>
    <dxf>
      <font>
        <sz val="11"/>
        <color rgb="FF000000"/>
        <name val="Calibri"/>
      </font>
      <numFmt numFmtId="0" formatCode="General"/>
      <fill>
        <patternFill patternType="solid">
          <fgColor indexed="64"/>
          <bgColor rgb="FFFFF9C4"/>
        </patternFill>
      </fill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9C4"/>
        </patternFill>
      </fill>
      <alignment horizontal="left" vertical="bottom" textRotation="0" wrapText="0" indent="0" justifyLastLine="0" shrinkToFit="0" readingOrder="0"/>
    </dxf>
    <dxf>
      <font>
        <sz val="11"/>
        <color rgb="FF000000"/>
        <name val="Calibri"/>
      </font>
      <numFmt numFmtId="30" formatCode="@"/>
      <fill>
        <patternFill patternType="solid">
          <fgColor indexed="64"/>
          <bgColor rgb="FFFFF9C4"/>
        </patternFill>
      </fill>
      <alignment horizontal="left"/>
    </dxf>
    <dxf>
      <font>
        <b/>
        <sz val="11"/>
        <color rgb="FF000000"/>
        <name val="Arial"/>
      </font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5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1" defaultTableStyle="TableStyleMedium2" defaultPivotStyle="PivotStyleLight16">
    <tableStyle name="Invisible" pivot="0" table="0" count="0" xr9:uid="{C4C53401-A78F-40CD-AC5A-E03B72BF3243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27D7AF-F6B3-49D7-AEEB-48F45A294A46}" name="PledgeLog" displayName="PledgeLog" ref="A4:K2000" headerRowDxfId="43" totalsRowDxfId="40" headerRowBorderDxfId="42" tableBorderDxfId="41">
  <autoFilter ref="A4:K2000" xr:uid="{3127D7AF-F6B3-49D7-AEEB-48F45A294A46}"/>
  <tableColumns count="11">
    <tableColumn id="1" xr3:uid="{1104F58D-1020-4266-9A11-E5F6CD048F68}" name="Phone Number (Donor ID)" totalsRowLabel="TOTALS" dataDxfId="39" totalsRowDxfId="38"/>
    <tableColumn id="2" xr3:uid="{2C551E05-EB10-4A21-B4F5-131E4E911732}" name="Donor Name" dataDxfId="37" totalsRowDxfId="36"/>
    <tableColumn id="3" xr3:uid="{D46576DA-CA86-4698-A1AE-A1C3D83923A0}" name="Date Pledged" dataDxfId="35" totalsRowDxfId="34"/>
    <tableColumn id="4" xr3:uid="{49B2BC76-5622-4646-9896-5EFF365CD501}" name="Amount Pledged ($)" totalsRowFunction="sum" dataDxfId="33" totalsRowDxfId="32"/>
    <tableColumn id="5" xr3:uid="{30844A7A-4304-48A6-92AC-C030038B58B8}" name="Last Payment Date" dataDxfId="31" totalsRowDxfId="30">
      <calculatedColumnFormula>IF(OR($D5="",$K5=""),"",IF(COUNTIFS(Payments!$G$5:$G$2500,$K5,Payments!$C$5:$C$2500,"&lt;&gt;")=0,"",_xlfn.MAXIFS(Payments!$C$5:$C$2500,Payments!$G$5:$G$2500,$K5)))</calculatedColumnFormula>
    </tableColumn>
    <tableColumn id="6" xr3:uid="{7EB7ECE1-848E-4715-BFBA-307775AF688E}" name="Amount Received ($)" totalsRowFunction="sum" dataDxfId="29" totalsRowDxfId="28">
      <calculatedColumnFormula>IF(OR($D5="",$K5=""),"",SUMIF(Payments!$G$5:$G$2500,$K5,Payments!$D$5:$D$2500))</calculatedColumnFormula>
    </tableColumn>
    <tableColumn id="7" xr3:uid="{6C9001E2-5120-46BE-A10D-D096ABC4AD41}" name="Balance Due ($)" totalsRowFunction="sum" dataDxfId="27" totalsRowDxfId="26">
      <calculatedColumnFormula>IF($D5="","",ROUND($D5-IF($F5="",0,$F5),2))</calculatedColumnFormula>
    </tableColumn>
    <tableColumn id="8" xr3:uid="{F9692BE5-5CAD-4EBF-BF2E-FD292E085D98}" name="# Payments" totalsRowFunction="sum" dataDxfId="25" totalsRowDxfId="24">
      <calculatedColumnFormula>IF(OR($D5="",$K5=""),"",COUNTIF(Payments!$G$5:$G$2500,$K5))</calculatedColumnFormula>
    </tableColumn>
    <tableColumn id="9" xr3:uid="{2C052B0C-A7FB-4441-B318-9C249396F0D8}" name="Status" dataDxfId="23" totalsRowDxfId="22">
      <calculatedColumnFormula>IF($D5="","",IF(OR($F5="",$F5=0),"Pending",IF(ROUND($F5-$D5,2)&gt;0,"Overpaid",IF(ROUND($F5-$D5,2)=0,"Paid","Partial"))))</calculatedColumnFormula>
    </tableColumn>
    <tableColumn id="10" xr3:uid="{C869C5FA-96D0-41F4-96E8-6F39BCA14D90}" name="Notes" dataDxfId="21" totalsRowDxfId="20"/>
    <tableColumn id="11" name="Match Key">
      <calculatedColumnFormula>IF($A5="","","#"&amp;TRIM(SUBSTITUTE(SUBSTITUTE(SUBSTITUTE(SUBSTITUTE(SUBSTITUTE(SUBSTITUTE($A5,"-",""),"(",""),")",""),".",""),"+","")," ","")))</calculatedColumnFormula>
    </tableColumn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849CD2-E14F-42E2-83F7-012B88B69136}" name="PaymentLog" displayName="PaymentLog" ref="A4:G2000" headerRowDxfId="19" totalsRowDxfId="16" headerRowBorderDxfId="18" tableBorderDxfId="17">
  <autoFilter ref="A4:G2000" xr:uid="{18849CD2-E14F-42E2-83F7-012B88B69136}"/>
  <tableColumns count="7">
    <tableColumn id="1" xr3:uid="{39AFF785-82E4-4236-A9AD-ED742397B36A}" name="Phone Number (Donor ID)" totalsRowLabel="TOTALS" dataDxfId="15" totalsRowDxfId="14"/>
    <tableColumn id="2" xr3:uid="{3F420C5E-4C3E-4843-B273-8ABE6783F358}" name="Donor Name" dataDxfId="13" totalsRowDxfId="12">
      <calculatedColumnFormula>IF($A5="","",IFERROR(IF(INDEX(Pledges!$D$5:$D$2500,MATCH($G5,Pledges!$K$5:$K$2500,0))="","⚠ no amount on Pledges",IF(INDEX(Pledges!$B$5:$B$2500,MATCH($G5,Pledges!$K$5:$K$2500,0))="","",INDEX(Pledges!$B$5:$B$2500,MATCH($G5,Pledges!$K$5:$K$2500,0)))),"⚠ phone not in Pledges"))</calculatedColumnFormula>
    </tableColumn>
    <tableColumn id="3" xr3:uid="{2CE4A1A6-FFE8-4BDD-9395-5874E374F97B}" name="Date Received" dataDxfId="11" totalsRowDxfId="10"/>
    <tableColumn id="4" xr3:uid="{C1DFB8BF-A9F7-4938-8ED4-E0F32A5137A3}" name="Amount Received ($)" totalsRowFunction="sum" dataDxfId="9" totalsRowDxfId="8"/>
    <tableColumn id="5" xr3:uid="{BD04FA0B-CB9A-4A3C-BC02-DFC5B03951F3}" name="Payment Method" dataDxfId="7" totalsRowDxfId="6"/>
    <tableColumn id="6" xr3:uid="{F04DC992-A702-4ED0-99C3-1901779F48B7}" name="Notes" dataDxfId="5" totalsRowDxfId="4"/>
    <tableColumn id="7" name="Match Key">
      <calculatedColumnFormula>IF($A5="","","#"&amp;TRIM(SUBSTITUTE(SUBSTITUTE(SUBSTITUTE(SUBSTITUTE(SUBSTITUTE(SUBSTITUTE($A5,"-",""),"(",""),")",""),".",""),"+","")," ","")))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926DFF-221A-4CFD-BC3A-D6B58E5C0D5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5db86ca-670a-4de4-8db1-dbbd8dba5d7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8.6640625" defaultRowHeight="14.4" x14ac:dyDescent="0.3"/>
  <cols>
    <col min="1" max="1" width="28.33203125" customWidth="1"/>
    <col min="2" max="2" width="22" customWidth="1"/>
    <col min="3" max="3" width="16.21875" customWidth="1"/>
    <col min="4" max="4" width="22.109375" customWidth="1"/>
    <col min="5" max="5" width="21.109375" customWidth="1"/>
    <col min="6" max="6" width="23.33203125" customWidth="1"/>
    <col min="7" max="7" width="18.44140625" customWidth="1"/>
    <col min="8" max="8" width="16" customWidth="1"/>
    <col min="9" max="9" width="12" customWidth="1"/>
    <col min="10" max="10" width="28" customWidth="1"/>
    <col min="11" max="11" width="20" hidden="1" customWidth="1"/>
  </cols>
  <sheetData>
    <row r="1" spans="1:10" ht="21" x14ac:dyDescent="0.4">
      <c r="A1" s="1" t="s">
        <v>0</v>
      </c>
    </row>
    <row r="2" spans="1:10" x14ac:dyDescent="0.3">
      <c r="A2" s="2" t="s">
        <v>31</v>
      </c>
    </row>
    <row r="3" spans="1:10" x14ac:dyDescent="0.3">
      <c r="C3" s="27" t="s">
        <v>30</v>
      </c>
      <c r="D3" s="25">
        <f>SUM($D$5:$D$2500)</f>
        <v>0</v>
      </c>
      <c r="E3" s="24"/>
      <c r="F3" s="25">
        <f>SUM($F$5:$F$2500)</f>
        <v>0</v>
      </c>
      <c r="G3" s="25">
        <f>SUMIF($G$5:$G$2500,"&gt;0")</f>
        <v>0</v>
      </c>
      <c r="H3" s="26">
        <f>SUM($H$5:$H$2500)</f>
        <v>0</v>
      </c>
    </row>
    <row r="4" spans="1:11" ht="27.45" customHeight="1" x14ac:dyDescent="0.3">
      <c r="A4" s="21" t="s">
        <v>1</v>
      </c>
      <c r="B4" s="21" t="s">
        <v>2</v>
      </c>
      <c r="C4" s="21" t="s">
        <v>3</v>
      </c>
      <c r="D4" s="21" t="s">
        <v>4</v>
      </c>
      <c r="E4" s="21" t="s">
        <v>26</v>
      </c>
      <c r="F4" s="21" t="s">
        <v>6</v>
      </c>
      <c r="G4" s="21" t="s">
        <v>7</v>
      </c>
      <c r="H4" s="21" t="s">
        <v>27</v>
      </c>
      <c r="I4" s="21" t="s">
        <v>9</v>
      </c>
      <c r="J4" s="21" t="s">
        <v>10</v>
      </c>
      <c r="K4" s="21" t="inlineStr">
        <is>
          <t>Match Key</t>
        </is>
      </c>
    </row>
    <row r="5" spans="1:11" x14ac:dyDescent="0.3">
      <c r="A5" s="28"/>
      <c r="B5" s="29"/>
      <c r="C5" s="30"/>
      <c r="D5" s="31"/>
      <c r="E5" s="33">
        <f>IF(OR($D5="",$K5=""),"",IF(COUNTIFS(Payments!$G$5:$G$2500,$K5,Payments!$C$5:$C$2500,"&lt;&gt;")=0,"",_xlfn.MAXIFS(Payments!$C$5:$C$2500,Payments!$G$5:$G$2500,$K5)))</f>
      </c>
      <c r="F5" s="34">
        <f>IF(OR($D5="",$K5=""),"",SUMIF(Payments!$G$5:$G$2500,$K5,Payments!$D$5:$D$2500))</f>
      </c>
      <c r="G5" s="36">
        <f>IF($D5="","",ROUND($D5-IF($F5="",0,$F5),2))</f>
      </c>
      <c r="H5" s="35">
        <f>IF(OR($D5="",$K5=""),"",COUNTIF(Payments!$G$5:$G$2500,$K5))</f>
      </c>
      <c r="I5" s="37">
        <f>IF($D5="","",IF(OR($F5="",$F5=0),"Pending",IF(ROUND($F5-$D5,2)&gt;0,"Overpaid",IF(ROUND($F5-$D5,2)=0,"Paid","Partial"))))</f>
      </c>
      <c r="J5" s="29"/>
      <c r="K5">
        <f>IF($A5="","","#"&amp;TRIM(SUBSTITUTE(SUBSTITUTE(SUBSTITUTE(SUBSTITUTE(SUBSTITUTE(SUBSTITUTE($A5,"-",""),"(",""),")",""),".",""),"+","")," ","")))</f>
      </c>
    </row>
    <row r="6" spans="1:11" x14ac:dyDescent="0.3">
      <c r="A6" s="28"/>
      <c r="B6" s="29"/>
      <c r="C6" s="30"/>
      <c r="D6" s="31"/>
      <c r="E6" s="33">
        <f>IF(OR($D6="",$K6=""),"",IF(COUNTIFS(Payments!$G$5:$G$2500,$K6,Payments!$C$5:$C$2500,"&lt;&gt;")=0,"",_xlfn.MAXIFS(Payments!$C$5:$C$2500,Payments!$G$5:$G$2500,$K6)))</f>
      </c>
      <c r="F6" s="34">
        <f>IF(OR($D6="",$K6=""),"",SUMIF(Payments!$G$5:$G$2500,$K6,Payments!$D$5:$D$2500))</f>
      </c>
      <c r="G6" s="36">
        <f>IF($D6="","",ROUND($D6-IF($F6="",0,$F6),2))</f>
      </c>
      <c r="H6" s="35">
        <f>IF(OR($D6="",$K6=""),"",COUNTIF(Payments!$G$5:$G$2500,$K6))</f>
      </c>
      <c r="I6" s="37">
        <f>IF($D6="","",IF(OR($F6="",$F6=0),"Pending",IF(ROUND($F6-$D6,2)&gt;0,"Overpaid",IF(ROUND($F6-$D6,2)=0,"Paid","Partial"))))</f>
      </c>
      <c r="J6" s="29"/>
      <c r="K6">
        <f>IF($A6="","","#"&amp;TRIM(SUBSTITUTE(SUBSTITUTE(SUBSTITUTE(SUBSTITUTE(SUBSTITUTE(SUBSTITUTE($A6,"-",""),"(",""),")",""),".",""),"+","")," ","")))</f>
      </c>
    </row>
    <row r="7" spans="1:11" x14ac:dyDescent="0.3">
      <c r="A7" s="28"/>
      <c r="B7" s="29"/>
      <c r="C7" s="30"/>
      <c r="D7" s="31"/>
      <c r="E7" s="33">
        <f>IF(OR($D7="",$K7=""),"",IF(COUNTIFS(Payments!$G$5:$G$2500,$K7,Payments!$C$5:$C$2500,"&lt;&gt;")=0,"",_xlfn.MAXIFS(Payments!$C$5:$C$2500,Payments!$G$5:$G$2500,$K7)))</f>
      </c>
      <c r="F7" s="34">
        <f>IF(OR($D7="",$K7=""),"",SUMIF(Payments!$G$5:$G$2500,$K7,Payments!$D$5:$D$2500))</f>
      </c>
      <c r="G7" s="36">
        <f>IF($D7="","",ROUND($D7-IF($F7="",0,$F7),2))</f>
      </c>
      <c r="H7" s="35">
        <f>IF(OR($D7="",$K7=""),"",COUNTIF(Payments!$G$5:$G$2500,$K7))</f>
      </c>
      <c r="I7" s="37">
        <f>IF($D7="","",IF(OR($F7="",$F7=0),"Pending",IF(ROUND($F7-$D7,2)&gt;0,"Overpaid",IF(ROUND($F7-$D7,2)=0,"Paid","Partial"))))</f>
      </c>
      <c r="J7" s="29"/>
      <c r="K7">
        <f>IF($A7="","","#"&amp;TRIM(SUBSTITUTE(SUBSTITUTE(SUBSTITUTE(SUBSTITUTE(SUBSTITUTE(SUBSTITUTE($A7,"-",""),"(",""),")",""),".",""),"+","")," ","")))</f>
      </c>
    </row>
    <row r="8" spans="1:11" x14ac:dyDescent="0.3">
      <c r="A8" s="28"/>
      <c r="B8" s="29"/>
      <c r="C8" s="30"/>
      <c r="D8" s="31"/>
      <c r="E8" s="33">
        <f>IF(OR($D8="",$K8=""),"",IF(COUNTIFS(Payments!$G$5:$G$2500,$K8,Payments!$C$5:$C$2500,"&lt;&gt;")=0,"",_xlfn.MAXIFS(Payments!$C$5:$C$2500,Payments!$G$5:$G$2500,$K8)))</f>
      </c>
      <c r="F8" s="34">
        <f>IF(OR($D8="",$K8=""),"",SUMIF(Payments!$G$5:$G$2500,$K8,Payments!$D$5:$D$2500))</f>
      </c>
      <c r="G8" s="36">
        <f>IF($D8="","",ROUND($D8-IF($F8="",0,$F8),2))</f>
      </c>
      <c r="H8" s="35">
        <f>IF(OR($D8="",$K8=""),"",COUNTIF(Payments!$G$5:$G$2500,$K8))</f>
      </c>
      <c r="I8" s="37">
        <f>IF($D8="","",IF(OR($F8="",$F8=0),"Pending",IF(ROUND($F8-$D8,2)&gt;0,"Overpaid",IF(ROUND($F8-$D8,2)=0,"Paid","Partial"))))</f>
      </c>
      <c r="J8" s="29"/>
      <c r="K8">
        <f>IF($A8="","","#"&amp;TRIM(SUBSTITUTE(SUBSTITUTE(SUBSTITUTE(SUBSTITUTE(SUBSTITUTE(SUBSTITUTE($A8,"-",""),"(",""),")",""),".",""),"+","")," ","")))</f>
      </c>
    </row>
    <row r="9" spans="1:11" x14ac:dyDescent="0.3">
      <c r="A9" s="28"/>
      <c r="B9" s="29"/>
      <c r="C9" s="30"/>
      <c r="D9" s="31"/>
      <c r="E9" s="33">
        <f>IF(OR($D9="",$K9=""),"",IF(COUNTIFS(Payments!$G$5:$G$2500,$K9,Payments!$C$5:$C$2500,"&lt;&gt;")=0,"",_xlfn.MAXIFS(Payments!$C$5:$C$2500,Payments!$G$5:$G$2500,$K9)))</f>
      </c>
      <c r="F9" s="34">
        <f>IF(OR($D9="",$K9=""),"",SUMIF(Payments!$G$5:$G$2500,$K9,Payments!$D$5:$D$2500))</f>
      </c>
      <c r="G9" s="36">
        <f>IF($D9="","",ROUND($D9-IF($F9="",0,$F9),2))</f>
      </c>
      <c r="H9" s="35">
        <f>IF(OR($D9="",$K9=""),"",COUNTIF(Payments!$G$5:$G$2500,$K9))</f>
      </c>
      <c r="I9" s="37">
        <f>IF($D9="","",IF(OR($F9="",$F9=0),"Pending",IF(ROUND($F9-$D9,2)&gt;0,"Overpaid",IF(ROUND($F9-$D9,2)=0,"Paid","Partial"))))</f>
      </c>
      <c r="J9" s="29"/>
      <c r="K9">
        <f>IF($A9="","","#"&amp;TRIM(SUBSTITUTE(SUBSTITUTE(SUBSTITUTE(SUBSTITUTE(SUBSTITUTE(SUBSTITUTE($A9,"-",""),"(",""),")",""),".",""),"+","")," ","")))</f>
      </c>
    </row>
    <row r="10" spans="1:11" x14ac:dyDescent="0.3">
      <c r="A10" s="28"/>
      <c r="B10" s="29"/>
      <c r="C10" s="30"/>
      <c r="D10" s="31"/>
      <c r="E10" s="33">
        <f>IF(OR($D10="",$K10=""),"",IF(COUNTIFS(Payments!$G$5:$G$2500,$K10,Payments!$C$5:$C$2500,"&lt;&gt;")=0,"",_xlfn.MAXIFS(Payments!$C$5:$C$2500,Payments!$G$5:$G$2500,$K10)))</f>
      </c>
      <c r="F10" s="34">
        <f>IF(OR($D10="",$K10=""),"",SUMIF(Payments!$G$5:$G$2500,$K10,Payments!$D$5:$D$2500))</f>
      </c>
      <c r="G10" s="36">
        <f>IF($D10="","",ROUND($D10-IF($F10="",0,$F10),2))</f>
      </c>
      <c r="H10" s="35">
        <f>IF(OR($D10="",$K10=""),"",COUNTIF(Payments!$G$5:$G$2500,$K10))</f>
      </c>
      <c r="I10" s="37">
        <f>IF($D10="","",IF(OR($F10="",$F10=0),"Pending",IF(ROUND($F10-$D10,2)&gt;0,"Overpaid",IF(ROUND($F10-$D10,2)=0,"Paid","Partial"))))</f>
      </c>
      <c r="J10" s="29"/>
      <c r="K10">
        <f>IF($A10="","","#"&amp;TRIM(SUBSTITUTE(SUBSTITUTE(SUBSTITUTE(SUBSTITUTE(SUBSTITUTE(SUBSTITUTE($A10,"-",""),"(",""),")",""),".",""),"+","")," ","")))</f>
      </c>
    </row>
    <row r="11" spans="1:11" x14ac:dyDescent="0.3">
      <c r="A11" s="28"/>
      <c r="B11" s="29"/>
      <c r="C11" s="30"/>
      <c r="D11" s="31"/>
      <c r="E11" s="33">
        <f>IF(OR($D11="",$K11=""),"",IF(COUNTIFS(Payments!$G$5:$G$2500,$K11,Payments!$C$5:$C$2500,"&lt;&gt;")=0,"",_xlfn.MAXIFS(Payments!$C$5:$C$2500,Payments!$G$5:$G$2500,$K11)))</f>
      </c>
      <c r="F11" s="34">
        <f>IF(OR($D11="",$K11=""),"",SUMIF(Payments!$G$5:$G$2500,$K11,Payments!$D$5:$D$2500))</f>
      </c>
      <c r="G11" s="36">
        <f>IF($D11="","",ROUND($D11-IF($F11="",0,$F11),2))</f>
      </c>
      <c r="H11" s="35">
        <f>IF(OR($D11="",$K11=""),"",COUNTIF(Payments!$G$5:$G$2500,$K11))</f>
      </c>
      <c r="I11" s="37">
        <f>IF($D11="","",IF(OR($F11="",$F11=0),"Pending",IF(ROUND($F11-$D11,2)&gt;0,"Overpaid",IF(ROUND($F11-$D11,2)=0,"Paid","Partial"))))</f>
      </c>
      <c r="J11" s="29"/>
      <c r="K11">
        <f>IF($A11="","","#"&amp;TRIM(SUBSTITUTE(SUBSTITUTE(SUBSTITUTE(SUBSTITUTE(SUBSTITUTE(SUBSTITUTE($A11,"-",""),"(",""),")",""),".",""),"+","")," ","")))</f>
      </c>
    </row>
    <row r="12" spans="1:11" x14ac:dyDescent="0.3">
      <c r="A12" s="28"/>
      <c r="B12" s="29"/>
      <c r="C12" s="30"/>
      <c r="D12" s="31"/>
      <c r="E12" s="33">
        <f>IF(OR($D12="",$K12=""),"",IF(COUNTIFS(Payments!$G$5:$G$2500,$K12,Payments!$C$5:$C$2500,"&lt;&gt;")=0,"",_xlfn.MAXIFS(Payments!$C$5:$C$2500,Payments!$G$5:$G$2500,$K12)))</f>
      </c>
      <c r="F12" s="34">
        <f>IF(OR($D12="",$K12=""),"",SUMIF(Payments!$G$5:$G$2500,$K12,Payments!$D$5:$D$2500))</f>
      </c>
      <c r="G12" s="36">
        <f>IF($D12="","",ROUND($D12-IF($F12="",0,$F12),2))</f>
      </c>
      <c r="H12" s="35">
        <f>IF(OR($D12="",$K12=""),"",COUNTIF(Payments!$G$5:$G$2500,$K12))</f>
      </c>
      <c r="I12" s="37">
        <f>IF($D12="","",IF(OR($F12="",$F12=0),"Pending",IF(ROUND($F12-$D12,2)&gt;0,"Overpaid",IF(ROUND($F12-$D12,2)=0,"Paid","Partial"))))</f>
      </c>
      <c r="J12" s="29"/>
      <c r="K12">
        <f>IF($A12="","","#"&amp;TRIM(SUBSTITUTE(SUBSTITUTE(SUBSTITUTE(SUBSTITUTE(SUBSTITUTE(SUBSTITUTE($A12,"-",""),"(",""),")",""),".",""),"+","")," ","")))</f>
      </c>
    </row>
    <row r="13" spans="1:11" x14ac:dyDescent="0.3">
      <c r="A13" s="28"/>
      <c r="B13" s="29"/>
      <c r="C13" s="30"/>
      <c r="D13" s="31"/>
      <c r="E13" s="33">
        <f>IF(OR($D13="",$K13=""),"",IF(COUNTIFS(Payments!$G$5:$G$2500,$K13,Payments!$C$5:$C$2500,"&lt;&gt;")=0,"",_xlfn.MAXIFS(Payments!$C$5:$C$2500,Payments!$G$5:$G$2500,$K13)))</f>
      </c>
      <c r="F13" s="34">
        <f>IF(OR($D13="",$K13=""),"",SUMIF(Payments!$G$5:$G$2500,$K13,Payments!$D$5:$D$2500))</f>
      </c>
      <c r="G13" s="36">
        <f>IF($D13="","",ROUND($D13-IF($F13="",0,$F13),2))</f>
      </c>
      <c r="H13" s="35">
        <f>IF(OR($D13="",$K13=""),"",COUNTIF(Payments!$G$5:$G$2500,$K13))</f>
      </c>
      <c r="I13" s="37">
        <f>IF($D13="","",IF(OR($F13="",$F13=0),"Pending",IF(ROUND($F13-$D13,2)&gt;0,"Overpaid",IF(ROUND($F13-$D13,2)=0,"Paid","Partial"))))</f>
      </c>
      <c r="J13" s="29"/>
      <c r="K13">
        <f>IF($A13="","","#"&amp;TRIM(SUBSTITUTE(SUBSTITUTE(SUBSTITUTE(SUBSTITUTE(SUBSTITUTE(SUBSTITUTE($A13,"-",""),"(",""),")",""),".",""),"+","")," ","")))</f>
      </c>
    </row>
    <row r="14" spans="1:11" x14ac:dyDescent="0.3">
      <c r="A14" s="28"/>
      <c r="B14" s="29"/>
      <c r="C14" s="30"/>
      <c r="D14" s="31"/>
      <c r="E14" s="33">
        <f>IF(OR($D14="",$K14=""),"",IF(COUNTIFS(Payments!$G$5:$G$2500,$K14,Payments!$C$5:$C$2500,"&lt;&gt;")=0,"",_xlfn.MAXIFS(Payments!$C$5:$C$2500,Payments!$G$5:$G$2500,$K14)))</f>
      </c>
      <c r="F14" s="34">
        <f>IF(OR($D14="",$K14=""),"",SUMIF(Payments!$G$5:$G$2500,$K14,Payments!$D$5:$D$2500))</f>
      </c>
      <c r="G14" s="36">
        <f>IF($D14="","",ROUND($D14-IF($F14="",0,$F14),2))</f>
      </c>
      <c r="H14" s="35">
        <f>IF(OR($D14="",$K14=""),"",COUNTIF(Payments!$G$5:$G$2500,$K14))</f>
      </c>
      <c r="I14" s="37">
        <f>IF($D14="","",IF(OR($F14="",$F14=0),"Pending",IF(ROUND($F14-$D14,2)&gt;0,"Overpaid",IF(ROUND($F14-$D14,2)=0,"Paid","Partial"))))</f>
      </c>
      <c r="J14" s="29"/>
      <c r="K14">
        <f>IF($A14="","","#"&amp;TRIM(SUBSTITUTE(SUBSTITUTE(SUBSTITUTE(SUBSTITUTE(SUBSTITUTE(SUBSTITUTE($A14,"-",""),"(",""),")",""),".",""),"+","")," ","")))</f>
      </c>
    </row>
    <row r="15" spans="1:11" x14ac:dyDescent="0.3">
      <c r="A15" s="28"/>
      <c r="B15" s="29"/>
      <c r="C15" s="30"/>
      <c r="D15" s="31"/>
      <c r="E15" s="33">
        <f>IF(OR($D15="",$K15=""),"",IF(COUNTIFS(Payments!$G$5:$G$2500,$K15,Payments!$C$5:$C$2500,"&lt;&gt;")=0,"",_xlfn.MAXIFS(Payments!$C$5:$C$2500,Payments!$G$5:$G$2500,$K15)))</f>
      </c>
      <c r="F15" s="34">
        <f>IF(OR($D15="",$K15=""),"",SUMIF(Payments!$G$5:$G$2500,$K15,Payments!$D$5:$D$2500))</f>
      </c>
      <c r="G15" s="36">
        <f>IF($D15="","",ROUND($D15-IF($F15="",0,$F15),2))</f>
      </c>
      <c r="H15" s="35">
        <f>IF(OR($D15="",$K15=""),"",COUNTIF(Payments!$G$5:$G$2500,$K15))</f>
      </c>
      <c r="I15" s="37">
        <f>IF($D15="","",IF(OR($F15="",$F15=0),"Pending",IF(ROUND($F15-$D15,2)&gt;0,"Overpaid",IF(ROUND($F15-$D15,2)=0,"Paid","Partial"))))</f>
      </c>
      <c r="J15" s="29"/>
      <c r="K15">
        <f>IF($A15="","","#"&amp;TRIM(SUBSTITUTE(SUBSTITUTE(SUBSTITUTE(SUBSTITUTE(SUBSTITUTE(SUBSTITUTE($A15,"-",""),"(",""),")",""),".",""),"+","")," ","")))</f>
      </c>
    </row>
    <row r="16" spans="1:11" x14ac:dyDescent="0.3">
      <c r="A16" s="28"/>
      <c r="B16" s="29"/>
      <c r="C16" s="30"/>
      <c r="D16" s="31"/>
      <c r="E16" s="33">
        <f>IF(OR($D16="",$K16=""),"",IF(COUNTIFS(Payments!$G$5:$G$2500,$K16,Payments!$C$5:$C$2500,"&lt;&gt;")=0,"",_xlfn.MAXIFS(Payments!$C$5:$C$2500,Payments!$G$5:$G$2500,$K16)))</f>
      </c>
      <c r="F16" s="34">
        <f>IF(OR($D16="",$K16=""),"",SUMIF(Payments!$G$5:$G$2500,$K16,Payments!$D$5:$D$2500))</f>
      </c>
      <c r="G16" s="36">
        <f>IF($D16="","",ROUND($D16-IF($F16="",0,$F16),2))</f>
      </c>
      <c r="H16" s="35">
        <f>IF(OR($D16="",$K16=""),"",COUNTIF(Payments!$G$5:$G$2500,$K16))</f>
      </c>
      <c r="I16" s="37">
        <f>IF($D16="","",IF(OR($F16="",$F16=0),"Pending",IF(ROUND($F16-$D16,2)&gt;0,"Overpaid",IF(ROUND($F16-$D16,2)=0,"Paid","Partial"))))</f>
      </c>
      <c r="J16" s="29"/>
      <c r="K16">
        <f>IF($A16="","","#"&amp;TRIM(SUBSTITUTE(SUBSTITUTE(SUBSTITUTE(SUBSTITUTE(SUBSTITUTE(SUBSTITUTE($A16,"-",""),"(",""),")",""),".",""),"+","")," ","")))</f>
      </c>
    </row>
    <row r="17" spans="1:11" x14ac:dyDescent="0.3">
      <c r="A17" s="28"/>
      <c r="B17" s="29"/>
      <c r="C17" s="30"/>
      <c r="D17" s="31"/>
      <c r="E17" s="33">
        <f>IF(OR($D17="",$K17=""),"",IF(COUNTIFS(Payments!$G$5:$G$2500,$K17,Payments!$C$5:$C$2500,"&lt;&gt;")=0,"",_xlfn.MAXIFS(Payments!$C$5:$C$2500,Payments!$G$5:$G$2500,$K17)))</f>
      </c>
      <c r="F17" s="34">
        <f>IF(OR($D17="",$K17=""),"",SUMIF(Payments!$G$5:$G$2500,$K17,Payments!$D$5:$D$2500))</f>
      </c>
      <c r="G17" s="36">
        <f>IF($D17="","",ROUND($D17-IF($F17="",0,$F17),2))</f>
      </c>
      <c r="H17" s="35">
        <f>IF(OR($D17="",$K17=""),"",COUNTIF(Payments!$G$5:$G$2500,$K17))</f>
      </c>
      <c r="I17" s="37">
        <f>IF($D17="","",IF(OR($F17="",$F17=0),"Pending",IF(ROUND($F17-$D17,2)&gt;0,"Overpaid",IF(ROUND($F17-$D17,2)=0,"Paid","Partial"))))</f>
      </c>
      <c r="J17" s="29"/>
      <c r="K17">
        <f>IF($A17="","","#"&amp;TRIM(SUBSTITUTE(SUBSTITUTE(SUBSTITUTE(SUBSTITUTE(SUBSTITUTE(SUBSTITUTE($A17,"-",""),"(",""),")",""),".",""),"+","")," ","")))</f>
      </c>
    </row>
    <row r="18" spans="1:11" x14ac:dyDescent="0.3">
      <c r="A18" s="28"/>
      <c r="B18" s="29"/>
      <c r="C18" s="30"/>
      <c r="D18" s="31"/>
      <c r="E18" s="33">
        <f>IF(OR($D18="",$K18=""),"",IF(COUNTIFS(Payments!$G$5:$G$2500,$K18,Payments!$C$5:$C$2500,"&lt;&gt;")=0,"",_xlfn.MAXIFS(Payments!$C$5:$C$2500,Payments!$G$5:$G$2500,$K18)))</f>
      </c>
      <c r="F18" s="34">
        <f>IF(OR($D18="",$K18=""),"",SUMIF(Payments!$G$5:$G$2500,$K18,Payments!$D$5:$D$2500))</f>
      </c>
      <c r="G18" s="36">
        <f>IF($D18="","",ROUND($D18-IF($F18="",0,$F18),2))</f>
      </c>
      <c r="H18" s="35">
        <f>IF(OR($D18="",$K18=""),"",COUNTIF(Payments!$G$5:$G$2500,$K18))</f>
      </c>
      <c r="I18" s="37">
        <f>IF($D18="","",IF(OR($F18="",$F18=0),"Pending",IF(ROUND($F18-$D18,2)&gt;0,"Overpaid",IF(ROUND($F18-$D18,2)=0,"Paid","Partial"))))</f>
      </c>
      <c r="J18" s="29"/>
      <c r="K18">
        <f>IF($A18="","","#"&amp;TRIM(SUBSTITUTE(SUBSTITUTE(SUBSTITUTE(SUBSTITUTE(SUBSTITUTE(SUBSTITUTE($A18,"-",""),"(",""),")",""),".",""),"+","")," ","")))</f>
      </c>
    </row>
    <row r="19" spans="1:11" x14ac:dyDescent="0.3">
      <c r="A19" s="28"/>
      <c r="B19" s="29"/>
      <c r="C19" s="30"/>
      <c r="D19" s="31"/>
      <c r="E19" s="33">
        <f>IF(OR($D19="",$K19=""),"",IF(COUNTIFS(Payments!$G$5:$G$2500,$K19,Payments!$C$5:$C$2500,"&lt;&gt;")=0,"",_xlfn.MAXIFS(Payments!$C$5:$C$2500,Payments!$G$5:$G$2500,$K19)))</f>
      </c>
      <c r="F19" s="34">
        <f>IF(OR($D19="",$K19=""),"",SUMIF(Payments!$G$5:$G$2500,$K19,Payments!$D$5:$D$2500))</f>
      </c>
      <c r="G19" s="36">
        <f>IF($D19="","",ROUND($D19-IF($F19="",0,$F19),2))</f>
      </c>
      <c r="H19" s="35">
        <f>IF(OR($D19="",$K19=""),"",COUNTIF(Payments!$G$5:$G$2500,$K19))</f>
      </c>
      <c r="I19" s="37">
        <f>IF($D19="","",IF(OR($F19="",$F19=0),"Pending",IF(ROUND($F19-$D19,2)&gt;0,"Overpaid",IF(ROUND($F19-$D19,2)=0,"Paid","Partial"))))</f>
      </c>
      <c r="J19" s="29"/>
      <c r="K19">
        <f>IF($A19="","","#"&amp;TRIM(SUBSTITUTE(SUBSTITUTE(SUBSTITUTE(SUBSTITUTE(SUBSTITUTE(SUBSTITUTE($A19,"-",""),"(",""),")",""),".",""),"+","")," ","")))</f>
      </c>
    </row>
    <row r="20" spans="1:11" x14ac:dyDescent="0.3">
      <c r="A20" s="28"/>
      <c r="B20" s="29"/>
      <c r="C20" s="30"/>
      <c r="D20" s="31"/>
      <c r="E20" s="33">
        <f>IF(OR($D20="",$K20=""),"",IF(COUNTIFS(Payments!$G$5:$G$2500,$K20,Payments!$C$5:$C$2500,"&lt;&gt;")=0,"",_xlfn.MAXIFS(Payments!$C$5:$C$2500,Payments!$G$5:$G$2500,$K20)))</f>
      </c>
      <c r="F20" s="34">
        <f>IF(OR($D20="",$K20=""),"",SUMIF(Payments!$G$5:$G$2500,$K20,Payments!$D$5:$D$2500))</f>
      </c>
      <c r="G20" s="36">
        <f>IF($D20="","",ROUND($D20-IF($F20="",0,$F20),2))</f>
      </c>
      <c r="H20" s="35">
        <f>IF(OR($D20="",$K20=""),"",COUNTIF(Payments!$G$5:$G$2500,$K20))</f>
      </c>
      <c r="I20" s="37">
        <f>IF($D20="","",IF(OR($F20="",$F20=0),"Pending",IF(ROUND($F20-$D20,2)&gt;0,"Overpaid",IF(ROUND($F20-$D20,2)=0,"Paid","Partial"))))</f>
      </c>
      <c r="J20" s="29"/>
      <c r="K20">
        <f>IF($A20="","","#"&amp;TRIM(SUBSTITUTE(SUBSTITUTE(SUBSTITUTE(SUBSTITUTE(SUBSTITUTE(SUBSTITUTE($A20,"-",""),"(",""),")",""),".",""),"+","")," ","")))</f>
      </c>
    </row>
    <row r="21" spans="1:11" x14ac:dyDescent="0.3">
      <c r="A21" s="28"/>
      <c r="B21" s="29"/>
      <c r="C21" s="30"/>
      <c r="D21" s="31"/>
      <c r="E21" s="33">
        <f>IF(OR($D21="",$K21=""),"",IF(COUNTIFS(Payments!$G$5:$G$2500,$K21,Payments!$C$5:$C$2500,"&lt;&gt;")=0,"",_xlfn.MAXIFS(Payments!$C$5:$C$2500,Payments!$G$5:$G$2500,$K21)))</f>
      </c>
      <c r="F21" s="34">
        <f>IF(OR($D21="",$K21=""),"",SUMIF(Payments!$G$5:$G$2500,$K21,Payments!$D$5:$D$2500))</f>
      </c>
      <c r="G21" s="36">
        <f>IF($D21="","",ROUND($D21-IF($F21="",0,$F21),2))</f>
      </c>
      <c r="H21" s="35">
        <f>IF(OR($D21="",$K21=""),"",COUNTIF(Payments!$G$5:$G$2500,$K21))</f>
      </c>
      <c r="I21" s="37">
        <f>IF($D21="","",IF(OR($F21="",$F21=0),"Pending",IF(ROUND($F21-$D21,2)&gt;0,"Overpaid",IF(ROUND($F21-$D21,2)=0,"Paid","Partial"))))</f>
      </c>
      <c r="J21" s="29"/>
      <c r="K21">
        <f>IF($A21="","","#"&amp;TRIM(SUBSTITUTE(SUBSTITUTE(SUBSTITUTE(SUBSTITUTE(SUBSTITUTE(SUBSTITUTE($A21,"-",""),"(",""),")",""),".",""),"+","")," ","")))</f>
      </c>
    </row>
    <row r="22" spans="1:11" x14ac:dyDescent="0.3">
      <c r="A22" s="28"/>
      <c r="B22" s="29"/>
      <c r="C22" s="30"/>
      <c r="D22" s="31"/>
      <c r="E22" s="33">
        <f>IF(OR($D22="",$K22=""),"",IF(COUNTIFS(Payments!$G$5:$G$2500,$K22,Payments!$C$5:$C$2500,"&lt;&gt;")=0,"",_xlfn.MAXIFS(Payments!$C$5:$C$2500,Payments!$G$5:$G$2500,$K22)))</f>
      </c>
      <c r="F22" s="34">
        <f>IF(OR($D22="",$K22=""),"",SUMIF(Payments!$G$5:$G$2500,$K22,Payments!$D$5:$D$2500))</f>
      </c>
      <c r="G22" s="36">
        <f>IF($D22="","",ROUND($D22-IF($F22="",0,$F22),2))</f>
      </c>
      <c r="H22" s="35">
        <f>IF(OR($D22="",$K22=""),"",COUNTIF(Payments!$G$5:$G$2500,$K22))</f>
      </c>
      <c r="I22" s="37">
        <f>IF($D22="","",IF(OR($F22="",$F22=0),"Pending",IF(ROUND($F22-$D22,2)&gt;0,"Overpaid",IF(ROUND($F22-$D22,2)=0,"Paid","Partial"))))</f>
      </c>
      <c r="J22" s="29"/>
      <c r="K22">
        <f>IF($A22="","","#"&amp;TRIM(SUBSTITUTE(SUBSTITUTE(SUBSTITUTE(SUBSTITUTE(SUBSTITUTE(SUBSTITUTE($A22,"-",""),"(",""),")",""),".",""),"+","")," ","")))</f>
      </c>
    </row>
    <row r="23" spans="1:11" x14ac:dyDescent="0.3">
      <c r="A23" s="28"/>
      <c r="B23" s="29"/>
      <c r="C23" s="30"/>
      <c r="D23" s="31"/>
      <c r="E23" s="33">
        <f>IF(OR($D23="",$K23=""),"",IF(COUNTIFS(Payments!$G$5:$G$2500,$K23,Payments!$C$5:$C$2500,"&lt;&gt;")=0,"",_xlfn.MAXIFS(Payments!$C$5:$C$2500,Payments!$G$5:$G$2500,$K23)))</f>
      </c>
      <c r="F23" s="34">
        <f>IF(OR($D23="",$K23=""),"",SUMIF(Payments!$G$5:$G$2500,$K23,Payments!$D$5:$D$2500))</f>
      </c>
      <c r="G23" s="36">
        <f>IF($D23="","",ROUND($D23-IF($F23="",0,$F23),2))</f>
      </c>
      <c r="H23" s="35">
        <f>IF(OR($D23="",$K23=""),"",COUNTIF(Payments!$G$5:$G$2500,$K23))</f>
      </c>
      <c r="I23" s="37">
        <f>IF($D23="","",IF(OR($F23="",$F23=0),"Pending",IF(ROUND($F23-$D23,2)&gt;0,"Overpaid",IF(ROUND($F23-$D23,2)=0,"Paid","Partial"))))</f>
      </c>
      <c r="J23" s="29"/>
      <c r="K23">
        <f>IF($A23="","","#"&amp;TRIM(SUBSTITUTE(SUBSTITUTE(SUBSTITUTE(SUBSTITUTE(SUBSTITUTE(SUBSTITUTE($A23,"-",""),"(",""),")",""),".",""),"+","")," ","")))</f>
      </c>
    </row>
    <row r="24" spans="1:11" x14ac:dyDescent="0.3">
      <c r="A24" s="28"/>
      <c r="B24" s="29"/>
      <c r="C24" s="30"/>
      <c r="D24" s="31"/>
      <c r="E24" s="33">
        <f>IF(OR($D24="",$K24=""),"",IF(COUNTIFS(Payments!$G$5:$G$2500,$K24,Payments!$C$5:$C$2500,"&lt;&gt;")=0,"",_xlfn.MAXIFS(Payments!$C$5:$C$2500,Payments!$G$5:$G$2500,$K24)))</f>
      </c>
      <c r="F24" s="34">
        <f>IF(OR($D24="",$K24=""),"",SUMIF(Payments!$G$5:$G$2500,$K24,Payments!$D$5:$D$2500))</f>
      </c>
      <c r="G24" s="36">
        <f>IF($D24="","",ROUND($D24-IF($F24="",0,$F24),2))</f>
      </c>
      <c r="H24" s="35">
        <f>IF(OR($D24="",$K24=""),"",COUNTIF(Payments!$G$5:$G$2500,$K24))</f>
      </c>
      <c r="I24" s="37">
        <f>IF($D24="","",IF(OR($F24="",$F24=0),"Pending",IF(ROUND($F24-$D24,2)&gt;0,"Overpaid",IF(ROUND($F24-$D24,2)=0,"Paid","Partial"))))</f>
      </c>
      <c r="J24" s="29"/>
      <c r="K24">
        <f>IF($A24="","","#"&amp;TRIM(SUBSTITUTE(SUBSTITUTE(SUBSTITUTE(SUBSTITUTE(SUBSTITUTE(SUBSTITUTE($A24,"-",""),"(",""),")",""),".",""),"+","")," ","")))</f>
      </c>
    </row>
    <row r="25" spans="1:11" x14ac:dyDescent="0.3">
      <c r="A25" s="28"/>
      <c r="B25" s="29"/>
      <c r="C25" s="30"/>
      <c r="D25" s="31"/>
      <c r="E25" s="33">
        <f>IF(OR($D25="",$K25=""),"",IF(COUNTIFS(Payments!$G$5:$G$2500,$K25,Payments!$C$5:$C$2500,"&lt;&gt;")=0,"",_xlfn.MAXIFS(Payments!$C$5:$C$2500,Payments!$G$5:$G$2500,$K25)))</f>
      </c>
      <c r="F25" s="34">
        <f>IF(OR($D25="",$K25=""),"",SUMIF(Payments!$G$5:$G$2500,$K25,Payments!$D$5:$D$2500))</f>
      </c>
      <c r="G25" s="36">
        <f>IF($D25="","",ROUND($D25-IF($F25="",0,$F25),2))</f>
      </c>
      <c r="H25" s="35">
        <f>IF(OR($D25="",$K25=""),"",COUNTIF(Payments!$G$5:$G$2500,$K25))</f>
      </c>
      <c r="I25" s="37">
        <f>IF($D25="","",IF(OR($F25="",$F25=0),"Pending",IF(ROUND($F25-$D25,2)&gt;0,"Overpaid",IF(ROUND($F25-$D25,2)=0,"Paid","Partial"))))</f>
      </c>
      <c r="J25" s="29"/>
      <c r="K25">
        <f>IF($A25="","","#"&amp;TRIM(SUBSTITUTE(SUBSTITUTE(SUBSTITUTE(SUBSTITUTE(SUBSTITUTE(SUBSTITUTE($A25,"-",""),"(",""),")",""),".",""),"+","")," ","")))</f>
      </c>
    </row>
    <row r="26" spans="1:11" x14ac:dyDescent="0.3">
      <c r="A26" s="28"/>
      <c r="B26" s="29"/>
      <c r="C26" s="30"/>
      <c r="D26" s="31"/>
      <c r="E26" s="33">
        <f>IF(OR($D26="",$K26=""),"",IF(COUNTIFS(Payments!$G$5:$G$2500,$K26,Payments!$C$5:$C$2500,"&lt;&gt;")=0,"",_xlfn.MAXIFS(Payments!$C$5:$C$2500,Payments!$G$5:$G$2500,$K26)))</f>
      </c>
      <c r="F26" s="34">
        <f>IF(OR($D26="",$K26=""),"",SUMIF(Payments!$G$5:$G$2500,$K26,Payments!$D$5:$D$2500))</f>
      </c>
      <c r="G26" s="36">
        <f>IF($D26="","",ROUND($D26-IF($F26="",0,$F26),2))</f>
      </c>
      <c r="H26" s="35">
        <f>IF(OR($D26="",$K26=""),"",COUNTIF(Payments!$G$5:$G$2500,$K26))</f>
      </c>
      <c r="I26" s="37">
        <f>IF($D26="","",IF(OR($F26="",$F26=0),"Pending",IF(ROUND($F26-$D26,2)&gt;0,"Overpaid",IF(ROUND($F26-$D26,2)=0,"Paid","Partial"))))</f>
      </c>
      <c r="J26" s="29"/>
      <c r="K26">
        <f>IF($A26="","","#"&amp;TRIM(SUBSTITUTE(SUBSTITUTE(SUBSTITUTE(SUBSTITUTE(SUBSTITUTE(SUBSTITUTE($A26,"-",""),"(",""),")",""),".",""),"+","")," ","")))</f>
      </c>
    </row>
    <row r="27" spans="1:11" x14ac:dyDescent="0.3">
      <c r="A27" s="28"/>
      <c r="B27" s="29"/>
      <c r="C27" s="30"/>
      <c r="D27" s="31"/>
      <c r="E27" s="33">
        <f>IF(OR($D27="",$K27=""),"",IF(COUNTIFS(Payments!$G$5:$G$2500,$K27,Payments!$C$5:$C$2500,"&lt;&gt;")=0,"",_xlfn.MAXIFS(Payments!$C$5:$C$2500,Payments!$G$5:$G$2500,$K27)))</f>
      </c>
      <c r="F27" s="34">
        <f>IF(OR($D27="",$K27=""),"",SUMIF(Payments!$G$5:$G$2500,$K27,Payments!$D$5:$D$2500))</f>
      </c>
      <c r="G27" s="36">
        <f>IF($D27="","",ROUND($D27-IF($F27="",0,$F27),2))</f>
      </c>
      <c r="H27" s="35">
        <f>IF(OR($D27="",$K27=""),"",COUNTIF(Payments!$G$5:$G$2500,$K27))</f>
      </c>
      <c r="I27" s="37">
        <f>IF($D27="","",IF(OR($F27="",$F27=0),"Pending",IF(ROUND($F27-$D27,2)&gt;0,"Overpaid",IF(ROUND($F27-$D27,2)=0,"Paid","Partial"))))</f>
      </c>
      <c r="J27" s="29"/>
      <c r="K27">
        <f>IF($A27="","","#"&amp;TRIM(SUBSTITUTE(SUBSTITUTE(SUBSTITUTE(SUBSTITUTE(SUBSTITUTE(SUBSTITUTE($A27,"-",""),"(",""),")",""),".",""),"+","")," ","")))</f>
      </c>
    </row>
    <row r="28" spans="1:11" x14ac:dyDescent="0.3">
      <c r="A28" s="28"/>
      <c r="B28" s="29"/>
      <c r="C28" s="30"/>
      <c r="D28" s="31"/>
      <c r="E28" s="33">
        <f>IF(OR($D28="",$K28=""),"",IF(COUNTIFS(Payments!$G$5:$G$2500,$K28,Payments!$C$5:$C$2500,"&lt;&gt;")=0,"",_xlfn.MAXIFS(Payments!$C$5:$C$2500,Payments!$G$5:$G$2500,$K28)))</f>
      </c>
      <c r="F28" s="34">
        <f>IF(OR($D28="",$K28=""),"",SUMIF(Payments!$G$5:$G$2500,$K28,Payments!$D$5:$D$2500))</f>
      </c>
      <c r="G28" s="36">
        <f>IF($D28="","",ROUND($D28-IF($F28="",0,$F28),2))</f>
      </c>
      <c r="H28" s="35">
        <f>IF(OR($D28="",$K28=""),"",COUNTIF(Payments!$G$5:$G$2500,$K28))</f>
      </c>
      <c r="I28" s="37">
        <f>IF($D28="","",IF(OR($F28="",$F28=0),"Pending",IF(ROUND($F28-$D28,2)&gt;0,"Overpaid",IF(ROUND($F28-$D28,2)=0,"Paid","Partial"))))</f>
      </c>
      <c r="J28" s="29"/>
      <c r="K28">
        <f>IF($A28="","","#"&amp;TRIM(SUBSTITUTE(SUBSTITUTE(SUBSTITUTE(SUBSTITUTE(SUBSTITUTE(SUBSTITUTE($A28,"-",""),"(",""),")",""),".",""),"+","")," ","")))</f>
      </c>
    </row>
    <row r="29" spans="1:11" x14ac:dyDescent="0.3">
      <c r="A29" s="28"/>
      <c r="B29" s="29"/>
      <c r="C29" s="30"/>
      <c r="D29" s="31"/>
      <c r="E29" s="33">
        <f>IF(OR($D29="",$K29=""),"",IF(COUNTIFS(Payments!$G$5:$G$2500,$K29,Payments!$C$5:$C$2500,"&lt;&gt;")=0,"",_xlfn.MAXIFS(Payments!$C$5:$C$2500,Payments!$G$5:$G$2500,$K29)))</f>
      </c>
      <c r="F29" s="34">
        <f>IF(OR($D29="",$K29=""),"",SUMIF(Payments!$G$5:$G$2500,$K29,Payments!$D$5:$D$2500))</f>
      </c>
      <c r="G29" s="36">
        <f>IF($D29="","",ROUND($D29-IF($F29="",0,$F29),2))</f>
      </c>
      <c r="H29" s="35">
        <f>IF(OR($D29="",$K29=""),"",COUNTIF(Payments!$G$5:$G$2500,$K29))</f>
      </c>
      <c r="I29" s="37">
        <f>IF($D29="","",IF(OR($F29="",$F29=0),"Pending",IF(ROUND($F29-$D29,2)&gt;0,"Overpaid",IF(ROUND($F29-$D29,2)=0,"Paid","Partial"))))</f>
      </c>
      <c r="J29" s="29"/>
      <c r="K29">
        <f>IF($A29="","","#"&amp;TRIM(SUBSTITUTE(SUBSTITUTE(SUBSTITUTE(SUBSTITUTE(SUBSTITUTE(SUBSTITUTE($A29,"-",""),"(",""),")",""),".",""),"+","")," ","")))</f>
      </c>
    </row>
    <row r="30" spans="1:11" x14ac:dyDescent="0.3">
      <c r="A30" s="28"/>
      <c r="B30" s="29"/>
      <c r="C30" s="30"/>
      <c r="D30" s="31"/>
      <c r="E30" s="33">
        <f>IF(OR($D30="",$K30=""),"",IF(COUNTIFS(Payments!$G$5:$G$2500,$K30,Payments!$C$5:$C$2500,"&lt;&gt;")=0,"",_xlfn.MAXIFS(Payments!$C$5:$C$2500,Payments!$G$5:$G$2500,$K30)))</f>
      </c>
      <c r="F30" s="34">
        <f>IF(OR($D30="",$K30=""),"",SUMIF(Payments!$G$5:$G$2500,$K30,Payments!$D$5:$D$2500))</f>
      </c>
      <c r="G30" s="36">
        <f>IF($D30="","",ROUND($D30-IF($F30="",0,$F30),2))</f>
      </c>
      <c r="H30" s="35">
        <f>IF(OR($D30="",$K30=""),"",COUNTIF(Payments!$G$5:$G$2500,$K30))</f>
      </c>
      <c r="I30" s="37">
        <f>IF($D30="","",IF(OR($F30="",$F30=0),"Pending",IF(ROUND($F30-$D30,2)&gt;0,"Overpaid",IF(ROUND($F30-$D30,2)=0,"Paid","Partial"))))</f>
      </c>
      <c r="J30" s="29"/>
      <c r="K30">
        <f>IF($A30="","","#"&amp;TRIM(SUBSTITUTE(SUBSTITUTE(SUBSTITUTE(SUBSTITUTE(SUBSTITUTE(SUBSTITUTE($A30,"-",""),"(",""),")",""),".",""),"+","")," ","")))</f>
      </c>
    </row>
    <row r="31" spans="1:11" x14ac:dyDescent="0.3">
      <c r="A31" s="28"/>
      <c r="B31" s="29"/>
      <c r="C31" s="30"/>
      <c r="D31" s="31"/>
      <c r="E31" s="33">
        <f>IF(OR($D31="",$K31=""),"",IF(COUNTIFS(Payments!$G$5:$G$2500,$K31,Payments!$C$5:$C$2500,"&lt;&gt;")=0,"",_xlfn.MAXIFS(Payments!$C$5:$C$2500,Payments!$G$5:$G$2500,$K31)))</f>
      </c>
      <c r="F31" s="34">
        <f>IF(OR($D31="",$K31=""),"",SUMIF(Payments!$G$5:$G$2500,$K31,Payments!$D$5:$D$2500))</f>
      </c>
      <c r="G31" s="36">
        <f>IF($D31="","",ROUND($D31-IF($F31="",0,$F31),2))</f>
      </c>
      <c r="H31" s="35">
        <f>IF(OR($D31="",$K31=""),"",COUNTIF(Payments!$G$5:$G$2500,$K31))</f>
      </c>
      <c r="I31" s="37">
        <f>IF($D31="","",IF(OR($F31="",$F31=0),"Pending",IF(ROUND($F31-$D31,2)&gt;0,"Overpaid",IF(ROUND($F31-$D31,2)=0,"Paid","Partial"))))</f>
      </c>
      <c r="J31" s="29"/>
      <c r="K31">
        <f>IF($A31="","","#"&amp;TRIM(SUBSTITUTE(SUBSTITUTE(SUBSTITUTE(SUBSTITUTE(SUBSTITUTE(SUBSTITUTE($A31,"-",""),"(",""),")",""),".",""),"+","")," ","")))</f>
      </c>
    </row>
    <row r="32" spans="1:11" x14ac:dyDescent="0.3">
      <c r="A32" s="28"/>
      <c r="B32" s="29"/>
      <c r="C32" s="30"/>
      <c r="D32" s="31"/>
      <c r="E32" s="33">
        <f>IF(OR($D32="",$K32=""),"",IF(COUNTIFS(Payments!$G$5:$G$2500,$K32,Payments!$C$5:$C$2500,"&lt;&gt;")=0,"",_xlfn.MAXIFS(Payments!$C$5:$C$2500,Payments!$G$5:$G$2500,$K32)))</f>
      </c>
      <c r="F32" s="34">
        <f>IF(OR($D32="",$K32=""),"",SUMIF(Payments!$G$5:$G$2500,$K32,Payments!$D$5:$D$2500))</f>
      </c>
      <c r="G32" s="36">
        <f>IF($D32="","",ROUND($D32-IF($F32="",0,$F32),2))</f>
      </c>
      <c r="H32" s="35">
        <f>IF(OR($D32="",$K32=""),"",COUNTIF(Payments!$G$5:$G$2500,$K32))</f>
      </c>
      <c r="I32" s="37">
        <f>IF($D32="","",IF(OR($F32="",$F32=0),"Pending",IF(ROUND($F32-$D32,2)&gt;0,"Overpaid",IF(ROUND($F32-$D32,2)=0,"Paid","Partial"))))</f>
      </c>
      <c r="J32" s="29"/>
      <c r="K32">
        <f>IF($A32="","","#"&amp;TRIM(SUBSTITUTE(SUBSTITUTE(SUBSTITUTE(SUBSTITUTE(SUBSTITUTE(SUBSTITUTE($A32,"-",""),"(",""),")",""),".",""),"+","")," ","")))</f>
      </c>
    </row>
    <row r="33" spans="1:11" x14ac:dyDescent="0.3">
      <c r="A33" s="28"/>
      <c r="B33" s="29"/>
      <c r="C33" s="30"/>
      <c r="D33" s="31"/>
      <c r="E33" s="33">
        <f>IF(OR($D33="",$K33=""),"",IF(COUNTIFS(Payments!$G$5:$G$2500,$K33,Payments!$C$5:$C$2500,"&lt;&gt;")=0,"",_xlfn.MAXIFS(Payments!$C$5:$C$2500,Payments!$G$5:$G$2500,$K33)))</f>
      </c>
      <c r="F33" s="34">
        <f>IF(OR($D33="",$K33=""),"",SUMIF(Payments!$G$5:$G$2500,$K33,Payments!$D$5:$D$2500))</f>
      </c>
      <c r="G33" s="36">
        <f>IF($D33="","",ROUND($D33-IF($F33="",0,$F33),2))</f>
      </c>
      <c r="H33" s="35">
        <f>IF(OR($D33="",$K33=""),"",COUNTIF(Payments!$G$5:$G$2500,$K33))</f>
      </c>
      <c r="I33" s="37">
        <f>IF($D33="","",IF(OR($F33="",$F33=0),"Pending",IF(ROUND($F33-$D33,2)&gt;0,"Overpaid",IF(ROUND($F33-$D33,2)=0,"Paid","Partial"))))</f>
      </c>
      <c r="J33" s="29"/>
      <c r="K33">
        <f>IF($A33="","","#"&amp;TRIM(SUBSTITUTE(SUBSTITUTE(SUBSTITUTE(SUBSTITUTE(SUBSTITUTE(SUBSTITUTE($A33,"-",""),"(",""),")",""),".",""),"+","")," ","")))</f>
      </c>
    </row>
    <row r="34" spans="1:11" x14ac:dyDescent="0.3">
      <c r="A34" s="28"/>
      <c r="B34" s="29"/>
      <c r="C34" s="30"/>
      <c r="D34" s="31"/>
      <c r="E34" s="33">
        <f>IF(OR($D34="",$K34=""),"",IF(COUNTIFS(Payments!$G$5:$G$2500,$K34,Payments!$C$5:$C$2500,"&lt;&gt;")=0,"",_xlfn.MAXIFS(Payments!$C$5:$C$2500,Payments!$G$5:$G$2500,$K34)))</f>
      </c>
      <c r="F34" s="34">
        <f>IF(OR($D34="",$K34=""),"",SUMIF(Payments!$G$5:$G$2500,$K34,Payments!$D$5:$D$2500))</f>
      </c>
      <c r="G34" s="36">
        <f>IF($D34="","",ROUND($D34-IF($F34="",0,$F34),2))</f>
      </c>
      <c r="H34" s="35">
        <f>IF(OR($D34="",$K34=""),"",COUNTIF(Payments!$G$5:$G$2500,$K34))</f>
      </c>
      <c r="I34" s="37">
        <f>IF($D34="","",IF(OR($F34="",$F34=0),"Pending",IF(ROUND($F34-$D34,2)&gt;0,"Overpaid",IF(ROUND($F34-$D34,2)=0,"Paid","Partial"))))</f>
      </c>
      <c r="J34" s="29"/>
      <c r="K34">
        <f>IF($A34="","","#"&amp;TRIM(SUBSTITUTE(SUBSTITUTE(SUBSTITUTE(SUBSTITUTE(SUBSTITUTE(SUBSTITUTE($A34,"-",""),"(",""),")",""),".",""),"+","")," ","")))</f>
      </c>
    </row>
    <row r="35" spans="1:11" x14ac:dyDescent="0.3">
      <c r="A35" s="28"/>
      <c r="B35" s="29"/>
      <c r="C35" s="30"/>
      <c r="D35" s="31"/>
      <c r="E35" s="33">
        <f>IF(OR($D35="",$K35=""),"",IF(COUNTIFS(Payments!$G$5:$G$2500,$K35,Payments!$C$5:$C$2500,"&lt;&gt;")=0,"",_xlfn.MAXIFS(Payments!$C$5:$C$2500,Payments!$G$5:$G$2500,$K35)))</f>
      </c>
      <c r="F35" s="34">
        <f>IF(OR($D35="",$K35=""),"",SUMIF(Payments!$G$5:$G$2500,$K35,Payments!$D$5:$D$2500))</f>
      </c>
      <c r="G35" s="36">
        <f>IF($D35="","",ROUND($D35-IF($F35="",0,$F35),2))</f>
      </c>
      <c r="H35" s="35">
        <f>IF(OR($D35="",$K35=""),"",COUNTIF(Payments!$G$5:$G$2500,$K35))</f>
      </c>
      <c r="I35" s="37">
        <f>IF($D35="","",IF(OR($F35="",$F35=0),"Pending",IF(ROUND($F35-$D35,2)&gt;0,"Overpaid",IF(ROUND($F35-$D35,2)=0,"Paid","Partial"))))</f>
      </c>
      <c r="J35" s="29"/>
      <c r="K35">
        <f>IF($A35="","","#"&amp;TRIM(SUBSTITUTE(SUBSTITUTE(SUBSTITUTE(SUBSTITUTE(SUBSTITUTE(SUBSTITUTE($A35,"-",""),"(",""),")",""),".",""),"+","")," ","")))</f>
      </c>
    </row>
    <row r="36" spans="1:11" x14ac:dyDescent="0.3">
      <c r="A36" s="28"/>
      <c r="B36" s="29"/>
      <c r="C36" s="30"/>
      <c r="D36" s="31"/>
      <c r="E36" s="33">
        <f>IF(OR($D36="",$K36=""),"",IF(COUNTIFS(Payments!$G$5:$G$2500,$K36,Payments!$C$5:$C$2500,"&lt;&gt;")=0,"",_xlfn.MAXIFS(Payments!$C$5:$C$2500,Payments!$G$5:$G$2500,$K36)))</f>
      </c>
      <c r="F36" s="34">
        <f>IF(OR($D36="",$K36=""),"",SUMIF(Payments!$G$5:$G$2500,$K36,Payments!$D$5:$D$2500))</f>
      </c>
      <c r="G36" s="36">
        <f>IF($D36="","",ROUND($D36-IF($F36="",0,$F36),2))</f>
      </c>
      <c r="H36" s="35">
        <f>IF(OR($D36="",$K36=""),"",COUNTIF(Payments!$G$5:$G$2500,$K36))</f>
      </c>
      <c r="I36" s="37">
        <f>IF($D36="","",IF(OR($F36="",$F36=0),"Pending",IF(ROUND($F36-$D36,2)&gt;0,"Overpaid",IF(ROUND($F36-$D36,2)=0,"Paid","Partial"))))</f>
      </c>
      <c r="J36" s="29"/>
      <c r="K36">
        <f>IF($A36="","","#"&amp;TRIM(SUBSTITUTE(SUBSTITUTE(SUBSTITUTE(SUBSTITUTE(SUBSTITUTE(SUBSTITUTE($A36,"-",""),"(",""),")",""),".",""),"+","")," ","")))</f>
      </c>
    </row>
    <row r="37" spans="1:11" x14ac:dyDescent="0.3">
      <c r="A37" s="28"/>
      <c r="B37" s="29"/>
      <c r="C37" s="30"/>
      <c r="D37" s="31"/>
      <c r="E37" s="33">
        <f>IF(OR($D37="",$K37=""),"",IF(COUNTIFS(Payments!$G$5:$G$2500,$K37,Payments!$C$5:$C$2500,"&lt;&gt;")=0,"",_xlfn.MAXIFS(Payments!$C$5:$C$2500,Payments!$G$5:$G$2500,$K37)))</f>
      </c>
      <c r="F37" s="34">
        <f>IF(OR($D37="",$K37=""),"",SUMIF(Payments!$G$5:$G$2500,$K37,Payments!$D$5:$D$2500))</f>
      </c>
      <c r="G37" s="36">
        <f>IF($D37="","",ROUND($D37-IF($F37="",0,$F37),2))</f>
      </c>
      <c r="H37" s="35">
        <f>IF(OR($D37="",$K37=""),"",COUNTIF(Payments!$G$5:$G$2500,$K37))</f>
      </c>
      <c r="I37" s="37">
        <f>IF($D37="","",IF(OR($F37="",$F37=0),"Pending",IF(ROUND($F37-$D37,2)&gt;0,"Overpaid",IF(ROUND($F37-$D37,2)=0,"Paid","Partial"))))</f>
      </c>
      <c r="J37" s="29"/>
      <c r="K37">
        <f>IF($A37="","","#"&amp;TRIM(SUBSTITUTE(SUBSTITUTE(SUBSTITUTE(SUBSTITUTE(SUBSTITUTE(SUBSTITUTE($A37,"-",""),"(",""),")",""),".",""),"+","")," ","")))</f>
      </c>
    </row>
    <row r="38" spans="1:11" x14ac:dyDescent="0.3">
      <c r="A38" s="28"/>
      <c r="B38" s="29"/>
      <c r="C38" s="30"/>
      <c r="D38" s="31"/>
      <c r="E38" s="33">
        <f>IF(OR($D38="",$K38=""),"",IF(COUNTIFS(Payments!$G$5:$G$2500,$K38,Payments!$C$5:$C$2500,"&lt;&gt;")=0,"",_xlfn.MAXIFS(Payments!$C$5:$C$2500,Payments!$G$5:$G$2500,$K38)))</f>
      </c>
      <c r="F38" s="34">
        <f>IF(OR($D38="",$K38=""),"",SUMIF(Payments!$G$5:$G$2500,$K38,Payments!$D$5:$D$2500))</f>
      </c>
      <c r="G38" s="36">
        <f>IF($D38="","",ROUND($D38-IF($F38="",0,$F38),2))</f>
      </c>
      <c r="H38" s="35">
        <f>IF(OR($D38="",$K38=""),"",COUNTIF(Payments!$G$5:$G$2500,$K38))</f>
      </c>
      <c r="I38" s="37">
        <f>IF($D38="","",IF(OR($F38="",$F38=0),"Pending",IF(ROUND($F38-$D38,2)&gt;0,"Overpaid",IF(ROUND($F38-$D38,2)=0,"Paid","Partial"))))</f>
      </c>
      <c r="J38" s="29"/>
      <c r="K38">
        <f>IF($A38="","","#"&amp;TRIM(SUBSTITUTE(SUBSTITUTE(SUBSTITUTE(SUBSTITUTE(SUBSTITUTE(SUBSTITUTE($A38,"-",""),"(",""),")",""),".",""),"+","")," ","")))</f>
      </c>
    </row>
    <row r="39" spans="1:11" x14ac:dyDescent="0.3">
      <c r="A39" s="28"/>
      <c r="B39" s="29"/>
      <c r="C39" s="30"/>
      <c r="D39" s="31"/>
      <c r="E39" s="33">
        <f>IF(OR($D39="",$K39=""),"",IF(COUNTIFS(Payments!$G$5:$G$2500,$K39,Payments!$C$5:$C$2500,"&lt;&gt;")=0,"",_xlfn.MAXIFS(Payments!$C$5:$C$2500,Payments!$G$5:$G$2500,$K39)))</f>
      </c>
      <c r="F39" s="34">
        <f>IF(OR($D39="",$K39=""),"",SUMIF(Payments!$G$5:$G$2500,$K39,Payments!$D$5:$D$2500))</f>
      </c>
      <c r="G39" s="36">
        <f>IF($D39="","",ROUND($D39-IF($F39="",0,$F39),2))</f>
      </c>
      <c r="H39" s="35">
        <f>IF(OR($D39="",$K39=""),"",COUNTIF(Payments!$G$5:$G$2500,$K39))</f>
      </c>
      <c r="I39" s="37">
        <f>IF($D39="","",IF(OR($F39="",$F39=0),"Pending",IF(ROUND($F39-$D39,2)&gt;0,"Overpaid",IF(ROUND($F39-$D39,2)=0,"Paid","Partial"))))</f>
      </c>
      <c r="J39" s="29"/>
      <c r="K39">
        <f>IF($A39="","","#"&amp;TRIM(SUBSTITUTE(SUBSTITUTE(SUBSTITUTE(SUBSTITUTE(SUBSTITUTE(SUBSTITUTE($A39,"-",""),"(",""),")",""),".",""),"+","")," ","")))</f>
      </c>
    </row>
    <row r="40" spans="1:11" x14ac:dyDescent="0.3">
      <c r="A40" s="28"/>
      <c r="B40" s="29"/>
      <c r="C40" s="30"/>
      <c r="D40" s="31"/>
      <c r="E40" s="33">
        <f>IF(OR($D40="",$K40=""),"",IF(COUNTIFS(Payments!$G$5:$G$2500,$K40,Payments!$C$5:$C$2500,"&lt;&gt;")=0,"",_xlfn.MAXIFS(Payments!$C$5:$C$2500,Payments!$G$5:$G$2500,$K40)))</f>
      </c>
      <c r="F40" s="34">
        <f>IF(OR($D40="",$K40=""),"",SUMIF(Payments!$G$5:$G$2500,$K40,Payments!$D$5:$D$2500))</f>
      </c>
      <c r="G40" s="36">
        <f>IF($D40="","",ROUND($D40-IF($F40="",0,$F40),2))</f>
      </c>
      <c r="H40" s="35">
        <f>IF(OR($D40="",$K40=""),"",COUNTIF(Payments!$G$5:$G$2500,$K40))</f>
      </c>
      <c r="I40" s="37">
        <f>IF($D40="","",IF(OR($F40="",$F40=0),"Pending",IF(ROUND($F40-$D40,2)&gt;0,"Overpaid",IF(ROUND($F40-$D40,2)=0,"Paid","Partial"))))</f>
      </c>
      <c r="J40" s="29"/>
      <c r="K40">
        <f>IF($A40="","","#"&amp;TRIM(SUBSTITUTE(SUBSTITUTE(SUBSTITUTE(SUBSTITUTE(SUBSTITUTE(SUBSTITUTE($A40,"-",""),"(",""),")",""),".",""),"+","")," ","")))</f>
      </c>
    </row>
    <row r="41" spans="1:11" x14ac:dyDescent="0.3">
      <c r="A41" s="28"/>
      <c r="B41" s="29"/>
      <c r="C41" s="30"/>
      <c r="D41" s="31"/>
      <c r="E41" s="33">
        <f>IF(OR($D41="",$K41=""),"",IF(COUNTIFS(Payments!$G$5:$G$2500,$K41,Payments!$C$5:$C$2500,"&lt;&gt;")=0,"",_xlfn.MAXIFS(Payments!$C$5:$C$2500,Payments!$G$5:$G$2500,$K41)))</f>
      </c>
      <c r="F41" s="34">
        <f>IF(OR($D41="",$K41=""),"",SUMIF(Payments!$G$5:$G$2500,$K41,Payments!$D$5:$D$2500))</f>
      </c>
      <c r="G41" s="36">
        <f>IF($D41="","",ROUND($D41-IF($F41="",0,$F41),2))</f>
      </c>
      <c r="H41" s="35">
        <f>IF(OR($D41="",$K41=""),"",COUNTIF(Payments!$G$5:$G$2500,$K41))</f>
      </c>
      <c r="I41" s="37">
        <f>IF($D41="","",IF(OR($F41="",$F41=0),"Pending",IF(ROUND($F41-$D41,2)&gt;0,"Overpaid",IF(ROUND($F41-$D41,2)=0,"Paid","Partial"))))</f>
      </c>
      <c r="J41" s="29"/>
      <c r="K41">
        <f>IF($A41="","","#"&amp;TRIM(SUBSTITUTE(SUBSTITUTE(SUBSTITUTE(SUBSTITUTE(SUBSTITUTE(SUBSTITUTE($A41,"-",""),"(",""),")",""),".",""),"+","")," ","")))</f>
      </c>
    </row>
    <row r="42" spans="1:11" x14ac:dyDescent="0.3">
      <c r="A42" s="28"/>
      <c r="B42" s="29"/>
      <c r="C42" s="30"/>
      <c r="D42" s="31"/>
      <c r="E42" s="33">
        <f>IF(OR($D42="",$K42=""),"",IF(COUNTIFS(Payments!$G$5:$G$2500,$K42,Payments!$C$5:$C$2500,"&lt;&gt;")=0,"",_xlfn.MAXIFS(Payments!$C$5:$C$2500,Payments!$G$5:$G$2500,$K42)))</f>
      </c>
      <c r="F42" s="34">
        <f>IF(OR($D42="",$K42=""),"",SUMIF(Payments!$G$5:$G$2500,$K42,Payments!$D$5:$D$2500))</f>
      </c>
      <c r="G42" s="36">
        <f>IF($D42="","",ROUND($D42-IF($F42="",0,$F42),2))</f>
      </c>
      <c r="H42" s="35">
        <f>IF(OR($D42="",$K42=""),"",COUNTIF(Payments!$G$5:$G$2500,$K42))</f>
      </c>
      <c r="I42" s="37">
        <f>IF($D42="","",IF(OR($F42="",$F42=0),"Pending",IF(ROUND($F42-$D42,2)&gt;0,"Overpaid",IF(ROUND($F42-$D42,2)=0,"Paid","Partial"))))</f>
      </c>
      <c r="J42" s="29"/>
      <c r="K42">
        <f>IF($A42="","","#"&amp;TRIM(SUBSTITUTE(SUBSTITUTE(SUBSTITUTE(SUBSTITUTE(SUBSTITUTE(SUBSTITUTE($A42,"-",""),"(",""),")",""),".",""),"+","")," ","")))</f>
      </c>
    </row>
    <row r="43" spans="1:11" x14ac:dyDescent="0.3">
      <c r="A43" s="28"/>
      <c r="B43" s="29"/>
      <c r="C43" s="30"/>
      <c r="D43" s="31"/>
      <c r="E43" s="33">
        <f>IF(OR($D43="",$K43=""),"",IF(COUNTIFS(Payments!$G$5:$G$2500,$K43,Payments!$C$5:$C$2500,"&lt;&gt;")=0,"",_xlfn.MAXIFS(Payments!$C$5:$C$2500,Payments!$G$5:$G$2500,$K43)))</f>
      </c>
      <c r="F43" s="34">
        <f>IF(OR($D43="",$K43=""),"",SUMIF(Payments!$G$5:$G$2500,$K43,Payments!$D$5:$D$2500))</f>
      </c>
      <c r="G43" s="36">
        <f>IF($D43="","",ROUND($D43-IF($F43="",0,$F43),2))</f>
      </c>
      <c r="H43" s="35">
        <f>IF(OR($D43="",$K43=""),"",COUNTIF(Payments!$G$5:$G$2500,$K43))</f>
      </c>
      <c r="I43" s="37">
        <f>IF($D43="","",IF(OR($F43="",$F43=0),"Pending",IF(ROUND($F43-$D43,2)&gt;0,"Overpaid",IF(ROUND($F43-$D43,2)=0,"Paid","Partial"))))</f>
      </c>
      <c r="J43" s="29"/>
      <c r="K43">
        <f>IF($A43="","","#"&amp;TRIM(SUBSTITUTE(SUBSTITUTE(SUBSTITUTE(SUBSTITUTE(SUBSTITUTE(SUBSTITUTE($A43,"-",""),"(",""),")",""),".",""),"+","")," ","")))</f>
      </c>
    </row>
    <row r="44" spans="1:11" x14ac:dyDescent="0.3">
      <c r="A44" s="28"/>
      <c r="B44" s="29"/>
      <c r="C44" s="30"/>
      <c r="D44" s="31"/>
      <c r="E44" s="33">
        <f>IF(OR($D44="",$K44=""),"",IF(COUNTIFS(Payments!$G$5:$G$2500,$K44,Payments!$C$5:$C$2500,"&lt;&gt;")=0,"",_xlfn.MAXIFS(Payments!$C$5:$C$2500,Payments!$G$5:$G$2500,$K44)))</f>
      </c>
      <c r="F44" s="34">
        <f>IF(OR($D44="",$K44=""),"",SUMIF(Payments!$G$5:$G$2500,$K44,Payments!$D$5:$D$2500))</f>
      </c>
      <c r="G44" s="36">
        <f>IF($D44="","",ROUND($D44-IF($F44="",0,$F44),2))</f>
      </c>
      <c r="H44" s="35">
        <f>IF(OR($D44="",$K44=""),"",COUNTIF(Payments!$G$5:$G$2500,$K44))</f>
      </c>
      <c r="I44" s="37">
        <f>IF($D44="","",IF(OR($F44="",$F44=0),"Pending",IF(ROUND($F44-$D44,2)&gt;0,"Overpaid",IF(ROUND($F44-$D44,2)=0,"Paid","Partial"))))</f>
      </c>
      <c r="J44" s="29"/>
      <c r="K44">
        <f>IF($A44="","","#"&amp;TRIM(SUBSTITUTE(SUBSTITUTE(SUBSTITUTE(SUBSTITUTE(SUBSTITUTE(SUBSTITUTE($A44,"-",""),"(",""),")",""),".",""),"+","")," ","")))</f>
      </c>
    </row>
    <row r="45" spans="1:11" x14ac:dyDescent="0.3">
      <c r="A45" s="28"/>
      <c r="B45" s="29"/>
      <c r="C45" s="30"/>
      <c r="D45" s="31"/>
      <c r="E45" s="33">
        <f>IF(OR($D45="",$K45=""),"",IF(COUNTIFS(Payments!$G$5:$G$2500,$K45,Payments!$C$5:$C$2500,"&lt;&gt;")=0,"",_xlfn.MAXIFS(Payments!$C$5:$C$2500,Payments!$G$5:$G$2500,$K45)))</f>
      </c>
      <c r="F45" s="34">
        <f>IF(OR($D45="",$K45=""),"",SUMIF(Payments!$G$5:$G$2500,$K45,Payments!$D$5:$D$2500))</f>
      </c>
      <c r="G45" s="36">
        <f>IF($D45="","",ROUND($D45-IF($F45="",0,$F45),2))</f>
      </c>
      <c r="H45" s="35">
        <f>IF(OR($D45="",$K45=""),"",COUNTIF(Payments!$G$5:$G$2500,$K45))</f>
      </c>
      <c r="I45" s="37">
        <f>IF($D45="","",IF(OR($F45="",$F45=0),"Pending",IF(ROUND($F45-$D45,2)&gt;0,"Overpaid",IF(ROUND($F45-$D45,2)=0,"Paid","Partial"))))</f>
      </c>
      <c r="J45" s="29"/>
      <c r="K45">
        <f>IF($A45="","","#"&amp;TRIM(SUBSTITUTE(SUBSTITUTE(SUBSTITUTE(SUBSTITUTE(SUBSTITUTE(SUBSTITUTE($A45,"-",""),"(",""),")",""),".",""),"+","")," ","")))</f>
      </c>
    </row>
    <row r="46" spans="1:11" x14ac:dyDescent="0.3">
      <c r="A46" s="28"/>
      <c r="B46" s="29"/>
      <c r="C46" s="30"/>
      <c r="D46" s="31"/>
      <c r="E46" s="33">
        <f>IF(OR($D46="",$K46=""),"",IF(COUNTIFS(Payments!$G$5:$G$2500,$K46,Payments!$C$5:$C$2500,"&lt;&gt;")=0,"",_xlfn.MAXIFS(Payments!$C$5:$C$2500,Payments!$G$5:$G$2500,$K46)))</f>
      </c>
      <c r="F46" s="34">
        <f>IF(OR($D46="",$K46=""),"",SUMIF(Payments!$G$5:$G$2500,$K46,Payments!$D$5:$D$2500))</f>
      </c>
      <c r="G46" s="36">
        <f>IF($D46="","",ROUND($D46-IF($F46="",0,$F46),2))</f>
      </c>
      <c r="H46" s="35">
        <f>IF(OR($D46="",$K46=""),"",COUNTIF(Payments!$G$5:$G$2500,$K46))</f>
      </c>
      <c r="I46" s="37">
        <f>IF($D46="","",IF(OR($F46="",$F46=0),"Pending",IF(ROUND($F46-$D46,2)&gt;0,"Overpaid",IF(ROUND($F46-$D46,2)=0,"Paid","Partial"))))</f>
      </c>
      <c r="J46" s="29"/>
      <c r="K46">
        <f>IF($A46="","","#"&amp;TRIM(SUBSTITUTE(SUBSTITUTE(SUBSTITUTE(SUBSTITUTE(SUBSTITUTE(SUBSTITUTE($A46,"-",""),"(",""),")",""),".",""),"+","")," ","")))</f>
      </c>
    </row>
    <row r="47" spans="1:11" x14ac:dyDescent="0.3">
      <c r="A47" s="28"/>
      <c r="B47" s="29"/>
      <c r="C47" s="30"/>
      <c r="D47" s="31"/>
      <c r="E47" s="33">
        <f>IF(OR($D47="",$K47=""),"",IF(COUNTIFS(Payments!$G$5:$G$2500,$K47,Payments!$C$5:$C$2500,"&lt;&gt;")=0,"",_xlfn.MAXIFS(Payments!$C$5:$C$2500,Payments!$G$5:$G$2500,$K47)))</f>
      </c>
      <c r="F47" s="34">
        <f>IF(OR($D47="",$K47=""),"",SUMIF(Payments!$G$5:$G$2500,$K47,Payments!$D$5:$D$2500))</f>
      </c>
      <c r="G47" s="36">
        <f>IF($D47="","",ROUND($D47-IF($F47="",0,$F47),2))</f>
      </c>
      <c r="H47" s="35">
        <f>IF(OR($D47="",$K47=""),"",COUNTIF(Payments!$G$5:$G$2500,$K47))</f>
      </c>
      <c r="I47" s="37">
        <f>IF($D47="","",IF(OR($F47="",$F47=0),"Pending",IF(ROUND($F47-$D47,2)&gt;0,"Overpaid",IF(ROUND($F47-$D47,2)=0,"Paid","Partial"))))</f>
      </c>
      <c r="J47" s="29"/>
      <c r="K47">
        <f>IF($A47="","","#"&amp;TRIM(SUBSTITUTE(SUBSTITUTE(SUBSTITUTE(SUBSTITUTE(SUBSTITUTE(SUBSTITUTE($A47,"-",""),"(",""),")",""),".",""),"+","")," ","")))</f>
      </c>
    </row>
    <row r="48" spans="1:11" x14ac:dyDescent="0.3">
      <c r="A48" s="28"/>
      <c r="B48" s="29"/>
      <c r="C48" s="30"/>
      <c r="D48" s="31"/>
      <c r="E48" s="33">
        <f>IF(OR($D48="",$K48=""),"",IF(COUNTIFS(Payments!$G$5:$G$2500,$K48,Payments!$C$5:$C$2500,"&lt;&gt;")=0,"",_xlfn.MAXIFS(Payments!$C$5:$C$2500,Payments!$G$5:$G$2500,$K48)))</f>
      </c>
      <c r="F48" s="34">
        <f>IF(OR($D48="",$K48=""),"",SUMIF(Payments!$G$5:$G$2500,$K48,Payments!$D$5:$D$2500))</f>
      </c>
      <c r="G48" s="36">
        <f>IF($D48="","",ROUND($D48-IF($F48="",0,$F48),2))</f>
      </c>
      <c r="H48" s="35">
        <f>IF(OR($D48="",$K48=""),"",COUNTIF(Payments!$G$5:$G$2500,$K48))</f>
      </c>
      <c r="I48" s="37">
        <f>IF($D48="","",IF(OR($F48="",$F48=0),"Pending",IF(ROUND($F48-$D48,2)&gt;0,"Overpaid",IF(ROUND($F48-$D48,2)=0,"Paid","Partial"))))</f>
      </c>
      <c r="J48" s="29"/>
      <c r="K48">
        <f>IF($A48="","","#"&amp;TRIM(SUBSTITUTE(SUBSTITUTE(SUBSTITUTE(SUBSTITUTE(SUBSTITUTE(SUBSTITUTE($A48,"-",""),"(",""),")",""),".",""),"+","")," ","")))</f>
      </c>
    </row>
    <row r="49" spans="1:11" x14ac:dyDescent="0.3">
      <c r="A49" s="28"/>
      <c r="B49" s="29"/>
      <c r="C49" s="30"/>
      <c r="D49" s="31"/>
      <c r="E49" s="33">
        <f>IF(OR($D49="",$K49=""),"",IF(COUNTIFS(Payments!$G$5:$G$2500,$K49,Payments!$C$5:$C$2500,"&lt;&gt;")=0,"",_xlfn.MAXIFS(Payments!$C$5:$C$2500,Payments!$G$5:$G$2500,$K49)))</f>
      </c>
      <c r="F49" s="34">
        <f>IF(OR($D49="",$K49=""),"",SUMIF(Payments!$G$5:$G$2500,$K49,Payments!$D$5:$D$2500))</f>
      </c>
      <c r="G49" s="36">
        <f>IF($D49="","",ROUND($D49-IF($F49="",0,$F49),2))</f>
      </c>
      <c r="H49" s="35">
        <f>IF(OR($D49="",$K49=""),"",COUNTIF(Payments!$G$5:$G$2500,$K49))</f>
      </c>
      <c r="I49" s="37">
        <f>IF($D49="","",IF(OR($F49="",$F49=0),"Pending",IF(ROUND($F49-$D49,2)&gt;0,"Overpaid",IF(ROUND($F49-$D49,2)=0,"Paid","Partial"))))</f>
      </c>
      <c r="J49" s="29"/>
      <c r="K49">
        <f>IF($A49="","","#"&amp;TRIM(SUBSTITUTE(SUBSTITUTE(SUBSTITUTE(SUBSTITUTE(SUBSTITUTE(SUBSTITUTE($A49,"-",""),"(",""),")",""),".",""),"+","")," ","")))</f>
      </c>
    </row>
    <row r="50" spans="1:11" x14ac:dyDescent="0.3">
      <c r="A50" s="28"/>
      <c r="B50" s="29"/>
      <c r="C50" s="30"/>
      <c r="D50" s="31"/>
      <c r="E50" s="33">
        <f>IF(OR($D50="",$K50=""),"",IF(COUNTIFS(Payments!$G$5:$G$2500,$K50,Payments!$C$5:$C$2500,"&lt;&gt;")=0,"",_xlfn.MAXIFS(Payments!$C$5:$C$2500,Payments!$G$5:$G$2500,$K50)))</f>
      </c>
      <c r="F50" s="34">
        <f>IF(OR($D50="",$K50=""),"",SUMIF(Payments!$G$5:$G$2500,$K50,Payments!$D$5:$D$2500))</f>
      </c>
      <c r="G50" s="36">
        <f>IF($D50="","",ROUND($D50-IF($F50="",0,$F50),2))</f>
      </c>
      <c r="H50" s="35">
        <f>IF(OR($D50="",$K50=""),"",COUNTIF(Payments!$G$5:$G$2500,$K50))</f>
      </c>
      <c r="I50" s="37">
        <f>IF($D50="","",IF(OR($F50="",$F50=0),"Pending",IF(ROUND($F50-$D50,2)&gt;0,"Overpaid",IF(ROUND($F50-$D50,2)=0,"Paid","Partial"))))</f>
      </c>
      <c r="J50" s="29"/>
      <c r="K50">
        <f>IF($A50="","","#"&amp;TRIM(SUBSTITUTE(SUBSTITUTE(SUBSTITUTE(SUBSTITUTE(SUBSTITUTE(SUBSTITUTE($A50,"-",""),"(",""),")",""),".",""),"+","")," ","")))</f>
      </c>
    </row>
    <row r="51" spans="1:11" x14ac:dyDescent="0.3">
      <c r="A51" s="28"/>
      <c r="B51" s="29"/>
      <c r="C51" s="30"/>
      <c r="D51" s="31"/>
      <c r="E51" s="33">
        <f>IF(OR($D51="",$K51=""),"",IF(COUNTIFS(Payments!$G$5:$G$2500,$K51,Payments!$C$5:$C$2500,"&lt;&gt;")=0,"",_xlfn.MAXIFS(Payments!$C$5:$C$2500,Payments!$G$5:$G$2500,$K51)))</f>
      </c>
      <c r="F51" s="34">
        <f>IF(OR($D51="",$K51=""),"",SUMIF(Payments!$G$5:$G$2500,$K51,Payments!$D$5:$D$2500))</f>
      </c>
      <c r="G51" s="36">
        <f>IF($D51="","",ROUND($D51-IF($F51="",0,$F51),2))</f>
      </c>
      <c r="H51" s="35">
        <f>IF(OR($D51="",$K51=""),"",COUNTIF(Payments!$G$5:$G$2500,$K51))</f>
      </c>
      <c r="I51" s="37">
        <f>IF($D51="","",IF(OR($F51="",$F51=0),"Pending",IF(ROUND($F51-$D51,2)&gt;0,"Overpaid",IF(ROUND($F51-$D51,2)=0,"Paid","Partial"))))</f>
      </c>
      <c r="J51" s="29"/>
      <c r="K51">
        <f>IF($A51="","","#"&amp;TRIM(SUBSTITUTE(SUBSTITUTE(SUBSTITUTE(SUBSTITUTE(SUBSTITUTE(SUBSTITUTE($A51,"-",""),"(",""),")",""),".",""),"+","")," ","")))</f>
      </c>
    </row>
    <row r="52" spans="1:11" x14ac:dyDescent="0.3">
      <c r="A52" s="28"/>
      <c r="B52" s="29"/>
      <c r="C52" s="30"/>
      <c r="D52" s="31"/>
      <c r="E52" s="33">
        <f>IF(OR($D52="",$K52=""),"",IF(COUNTIFS(Payments!$G$5:$G$2500,$K52,Payments!$C$5:$C$2500,"&lt;&gt;")=0,"",_xlfn.MAXIFS(Payments!$C$5:$C$2500,Payments!$G$5:$G$2500,$K52)))</f>
      </c>
      <c r="F52" s="34">
        <f>IF(OR($D52="",$K52=""),"",SUMIF(Payments!$G$5:$G$2500,$K52,Payments!$D$5:$D$2500))</f>
      </c>
      <c r="G52" s="36">
        <f>IF($D52="","",ROUND($D52-IF($F52="",0,$F52),2))</f>
      </c>
      <c r="H52" s="35">
        <f>IF(OR($D52="",$K52=""),"",COUNTIF(Payments!$G$5:$G$2500,$K52))</f>
      </c>
      <c r="I52" s="37">
        <f>IF($D52="","",IF(OR($F52="",$F52=0),"Pending",IF(ROUND($F52-$D52,2)&gt;0,"Overpaid",IF(ROUND($F52-$D52,2)=0,"Paid","Partial"))))</f>
      </c>
      <c r="J52" s="29"/>
      <c r="K52">
        <f>IF($A52="","","#"&amp;TRIM(SUBSTITUTE(SUBSTITUTE(SUBSTITUTE(SUBSTITUTE(SUBSTITUTE(SUBSTITUTE($A52,"-",""),"(",""),")",""),".",""),"+","")," ","")))</f>
      </c>
    </row>
    <row r="53" spans="1:11" x14ac:dyDescent="0.3">
      <c r="A53" s="28"/>
      <c r="B53" s="29"/>
      <c r="C53" s="30"/>
      <c r="D53" s="31"/>
      <c r="E53" s="33">
        <f>IF(OR($D53="",$K53=""),"",IF(COUNTIFS(Payments!$G$5:$G$2500,$K53,Payments!$C$5:$C$2500,"&lt;&gt;")=0,"",_xlfn.MAXIFS(Payments!$C$5:$C$2500,Payments!$G$5:$G$2500,$K53)))</f>
      </c>
      <c r="F53" s="34">
        <f>IF(OR($D53="",$K53=""),"",SUMIF(Payments!$G$5:$G$2500,$K53,Payments!$D$5:$D$2500))</f>
      </c>
      <c r="G53" s="36">
        <f>IF($D53="","",ROUND($D53-IF($F53="",0,$F53),2))</f>
      </c>
      <c r="H53" s="35">
        <f>IF(OR($D53="",$K53=""),"",COUNTIF(Payments!$G$5:$G$2500,$K53))</f>
      </c>
      <c r="I53" s="37">
        <f>IF($D53="","",IF(OR($F53="",$F53=0),"Pending",IF(ROUND($F53-$D53,2)&gt;0,"Overpaid",IF(ROUND($F53-$D53,2)=0,"Paid","Partial"))))</f>
      </c>
      <c r="J53" s="29"/>
      <c r="K53">
        <f>IF($A53="","","#"&amp;TRIM(SUBSTITUTE(SUBSTITUTE(SUBSTITUTE(SUBSTITUTE(SUBSTITUTE(SUBSTITUTE($A53,"-",""),"(",""),")",""),".",""),"+","")," ","")))</f>
      </c>
    </row>
    <row r="54" spans="1:11" x14ac:dyDescent="0.3">
      <c r="A54" s="28"/>
      <c r="B54" s="29"/>
      <c r="C54" s="30"/>
      <c r="D54" s="31"/>
      <c r="E54" s="33">
        <f>IF(OR($D54="",$K54=""),"",IF(COUNTIFS(Payments!$G$5:$G$2500,$K54,Payments!$C$5:$C$2500,"&lt;&gt;")=0,"",_xlfn.MAXIFS(Payments!$C$5:$C$2500,Payments!$G$5:$G$2500,$K54)))</f>
      </c>
      <c r="F54" s="34">
        <f>IF(OR($D54="",$K54=""),"",SUMIF(Payments!$G$5:$G$2500,$K54,Payments!$D$5:$D$2500))</f>
      </c>
      <c r="G54" s="36">
        <f>IF($D54="","",ROUND($D54-IF($F54="",0,$F54),2))</f>
      </c>
      <c r="H54" s="35">
        <f>IF(OR($D54="",$K54=""),"",COUNTIF(Payments!$G$5:$G$2500,$K54))</f>
      </c>
      <c r="I54" s="37">
        <f>IF($D54="","",IF(OR($F54="",$F54=0),"Pending",IF(ROUND($F54-$D54,2)&gt;0,"Overpaid",IF(ROUND($F54-$D54,2)=0,"Paid","Partial"))))</f>
      </c>
      <c r="J54" s="29"/>
      <c r="K54">
        <f>IF($A54="","","#"&amp;TRIM(SUBSTITUTE(SUBSTITUTE(SUBSTITUTE(SUBSTITUTE(SUBSTITUTE(SUBSTITUTE($A54,"-",""),"(",""),")",""),".",""),"+","")," ","")))</f>
      </c>
    </row>
    <row r="55" spans="1:11" x14ac:dyDescent="0.3">
      <c r="A55" s="28"/>
      <c r="B55" s="29"/>
      <c r="C55" s="30"/>
      <c r="D55" s="31"/>
      <c r="E55" s="33">
        <f>IF(OR($D55="",$K55=""),"",IF(COUNTIFS(Payments!$G$5:$G$2500,$K55,Payments!$C$5:$C$2500,"&lt;&gt;")=0,"",_xlfn.MAXIFS(Payments!$C$5:$C$2500,Payments!$G$5:$G$2500,$K55)))</f>
      </c>
      <c r="F55" s="34">
        <f>IF(OR($D55="",$K55=""),"",SUMIF(Payments!$G$5:$G$2500,$K55,Payments!$D$5:$D$2500))</f>
      </c>
      <c r="G55" s="36">
        <f>IF($D55="","",ROUND($D55-IF($F55="",0,$F55),2))</f>
      </c>
      <c r="H55" s="35">
        <f>IF(OR($D55="",$K55=""),"",COUNTIF(Payments!$G$5:$G$2500,$K55))</f>
      </c>
      <c r="I55" s="37">
        <f>IF($D55="","",IF(OR($F55="",$F55=0),"Pending",IF(ROUND($F55-$D55,2)&gt;0,"Overpaid",IF(ROUND($F55-$D55,2)=0,"Paid","Partial"))))</f>
      </c>
      <c r="J55" s="29"/>
      <c r="K55">
        <f>IF($A55="","","#"&amp;TRIM(SUBSTITUTE(SUBSTITUTE(SUBSTITUTE(SUBSTITUTE(SUBSTITUTE(SUBSTITUTE($A55,"-",""),"(",""),")",""),".",""),"+","")," ","")))</f>
      </c>
    </row>
    <row r="56" spans="1:11" x14ac:dyDescent="0.3">
      <c r="A56" s="28"/>
      <c r="B56" s="29"/>
      <c r="C56" s="30"/>
      <c r="D56" s="31"/>
      <c r="E56" s="33">
        <f>IF(OR($D56="",$K56=""),"",IF(COUNTIFS(Payments!$G$5:$G$2500,$K56,Payments!$C$5:$C$2500,"&lt;&gt;")=0,"",_xlfn.MAXIFS(Payments!$C$5:$C$2500,Payments!$G$5:$G$2500,$K56)))</f>
      </c>
      <c r="F56" s="34">
        <f>IF(OR($D56="",$K56=""),"",SUMIF(Payments!$G$5:$G$2500,$K56,Payments!$D$5:$D$2500))</f>
      </c>
      <c r="G56" s="36">
        <f>IF($D56="","",ROUND($D56-IF($F56="",0,$F56),2))</f>
      </c>
      <c r="H56" s="35">
        <f>IF(OR($D56="",$K56=""),"",COUNTIF(Payments!$G$5:$G$2500,$K56))</f>
      </c>
      <c r="I56" s="37">
        <f>IF($D56="","",IF(OR($F56="",$F56=0),"Pending",IF(ROUND($F56-$D56,2)&gt;0,"Overpaid",IF(ROUND($F56-$D56,2)=0,"Paid","Partial"))))</f>
      </c>
      <c r="J56" s="29"/>
      <c r="K56">
        <f>IF($A56="","","#"&amp;TRIM(SUBSTITUTE(SUBSTITUTE(SUBSTITUTE(SUBSTITUTE(SUBSTITUTE(SUBSTITUTE($A56,"-",""),"(",""),")",""),".",""),"+","")," ","")))</f>
      </c>
    </row>
    <row r="57" spans="1:11" x14ac:dyDescent="0.3">
      <c r="A57" s="28"/>
      <c r="B57" s="29"/>
      <c r="C57" s="30"/>
      <c r="D57" s="31"/>
      <c r="E57" s="33">
        <f>IF(OR($D57="",$K57=""),"",IF(COUNTIFS(Payments!$G$5:$G$2500,$K57,Payments!$C$5:$C$2500,"&lt;&gt;")=0,"",_xlfn.MAXIFS(Payments!$C$5:$C$2500,Payments!$G$5:$G$2500,$K57)))</f>
      </c>
      <c r="F57" s="34">
        <f>IF(OR($D57="",$K57=""),"",SUMIF(Payments!$G$5:$G$2500,$K57,Payments!$D$5:$D$2500))</f>
      </c>
      <c r="G57" s="36">
        <f>IF($D57="","",ROUND($D57-IF($F57="",0,$F57),2))</f>
      </c>
      <c r="H57" s="35">
        <f>IF(OR($D57="",$K57=""),"",COUNTIF(Payments!$G$5:$G$2500,$K57))</f>
      </c>
      <c r="I57" s="37">
        <f>IF($D57="","",IF(OR($F57="",$F57=0),"Pending",IF(ROUND($F57-$D57,2)&gt;0,"Overpaid",IF(ROUND($F57-$D57,2)=0,"Paid","Partial"))))</f>
      </c>
      <c r="J57" s="29"/>
      <c r="K57">
        <f>IF($A57="","","#"&amp;TRIM(SUBSTITUTE(SUBSTITUTE(SUBSTITUTE(SUBSTITUTE(SUBSTITUTE(SUBSTITUTE($A57,"-",""),"(",""),")",""),".",""),"+","")," ","")))</f>
      </c>
    </row>
    <row r="58" spans="1:11" x14ac:dyDescent="0.3">
      <c r="A58" s="28"/>
      <c r="B58" s="29"/>
      <c r="C58" s="30"/>
      <c r="D58" s="31"/>
      <c r="E58" s="33">
        <f>IF(OR($D58="",$K58=""),"",IF(COUNTIFS(Payments!$G$5:$G$2500,$K58,Payments!$C$5:$C$2500,"&lt;&gt;")=0,"",_xlfn.MAXIFS(Payments!$C$5:$C$2500,Payments!$G$5:$G$2500,$K58)))</f>
      </c>
      <c r="F58" s="34">
        <f>IF(OR($D58="",$K58=""),"",SUMIF(Payments!$G$5:$G$2500,$K58,Payments!$D$5:$D$2500))</f>
      </c>
      <c r="G58" s="36">
        <f>IF($D58="","",ROUND($D58-IF($F58="",0,$F58),2))</f>
      </c>
      <c r="H58" s="35">
        <f>IF(OR($D58="",$K58=""),"",COUNTIF(Payments!$G$5:$G$2500,$K58))</f>
      </c>
      <c r="I58" s="37">
        <f>IF($D58="","",IF(OR($F58="",$F58=0),"Pending",IF(ROUND($F58-$D58,2)&gt;0,"Overpaid",IF(ROUND($F58-$D58,2)=0,"Paid","Partial"))))</f>
      </c>
      <c r="J58" s="29"/>
      <c r="K58">
        <f>IF($A58="","","#"&amp;TRIM(SUBSTITUTE(SUBSTITUTE(SUBSTITUTE(SUBSTITUTE(SUBSTITUTE(SUBSTITUTE($A58,"-",""),"(",""),")",""),".",""),"+","")," ","")))</f>
      </c>
    </row>
    <row r="59" spans="1:11" x14ac:dyDescent="0.3">
      <c r="A59" s="28"/>
      <c r="B59" s="29"/>
      <c r="C59" s="30"/>
      <c r="D59" s="31"/>
      <c r="E59" s="33">
        <f>IF(OR($D59="",$K59=""),"",IF(COUNTIFS(Payments!$G$5:$G$2500,$K59,Payments!$C$5:$C$2500,"&lt;&gt;")=0,"",_xlfn.MAXIFS(Payments!$C$5:$C$2500,Payments!$G$5:$G$2500,$K59)))</f>
      </c>
      <c r="F59" s="34">
        <f>IF(OR($D59="",$K59=""),"",SUMIF(Payments!$G$5:$G$2500,$K59,Payments!$D$5:$D$2500))</f>
      </c>
      <c r="G59" s="36">
        <f>IF($D59="","",ROUND($D59-IF($F59="",0,$F59),2))</f>
      </c>
      <c r="H59" s="35">
        <f>IF(OR($D59="",$K59=""),"",COUNTIF(Payments!$G$5:$G$2500,$K59))</f>
      </c>
      <c r="I59" s="37">
        <f>IF($D59="","",IF(OR($F59="",$F59=0),"Pending",IF(ROUND($F59-$D59,2)&gt;0,"Overpaid",IF(ROUND($F59-$D59,2)=0,"Paid","Partial"))))</f>
      </c>
      <c r="J59" s="29"/>
      <c r="K59">
        <f>IF($A59="","","#"&amp;TRIM(SUBSTITUTE(SUBSTITUTE(SUBSTITUTE(SUBSTITUTE(SUBSTITUTE(SUBSTITUTE($A59,"-",""),"(",""),")",""),".",""),"+","")," ","")))</f>
      </c>
    </row>
    <row r="60" spans="1:11" x14ac:dyDescent="0.3">
      <c r="A60" s="28"/>
      <c r="B60" s="29"/>
      <c r="C60" s="30"/>
      <c r="D60" s="31"/>
      <c r="E60" s="33">
        <f>IF(OR($D60="",$K60=""),"",IF(COUNTIFS(Payments!$G$5:$G$2500,$K60,Payments!$C$5:$C$2500,"&lt;&gt;")=0,"",_xlfn.MAXIFS(Payments!$C$5:$C$2500,Payments!$G$5:$G$2500,$K60)))</f>
      </c>
      <c r="F60" s="34">
        <f>IF(OR($D60="",$K60=""),"",SUMIF(Payments!$G$5:$G$2500,$K60,Payments!$D$5:$D$2500))</f>
      </c>
      <c r="G60" s="36">
        <f>IF($D60="","",ROUND($D60-IF($F60="",0,$F60),2))</f>
      </c>
      <c r="H60" s="35">
        <f>IF(OR($D60="",$K60=""),"",COUNTIF(Payments!$G$5:$G$2500,$K60))</f>
      </c>
      <c r="I60" s="37">
        <f>IF($D60="","",IF(OR($F60="",$F60=0),"Pending",IF(ROUND($F60-$D60,2)&gt;0,"Overpaid",IF(ROUND($F60-$D60,2)=0,"Paid","Partial"))))</f>
      </c>
      <c r="J60" s="29"/>
      <c r="K60">
        <f>IF($A60="","","#"&amp;TRIM(SUBSTITUTE(SUBSTITUTE(SUBSTITUTE(SUBSTITUTE(SUBSTITUTE(SUBSTITUTE($A60,"-",""),"(",""),")",""),".",""),"+","")," ","")))</f>
      </c>
    </row>
    <row r="61" spans="1:11" x14ac:dyDescent="0.3">
      <c r="A61" s="28"/>
      <c r="B61" s="29"/>
      <c r="C61" s="30"/>
      <c r="D61" s="31"/>
      <c r="E61" s="33">
        <f>IF(OR($D61="",$K61=""),"",IF(COUNTIFS(Payments!$G$5:$G$2500,$K61,Payments!$C$5:$C$2500,"&lt;&gt;")=0,"",_xlfn.MAXIFS(Payments!$C$5:$C$2500,Payments!$G$5:$G$2500,$K61)))</f>
      </c>
      <c r="F61" s="34">
        <f>IF(OR($D61="",$K61=""),"",SUMIF(Payments!$G$5:$G$2500,$K61,Payments!$D$5:$D$2500))</f>
      </c>
      <c r="G61" s="36">
        <f>IF($D61="","",ROUND($D61-IF($F61="",0,$F61),2))</f>
      </c>
      <c r="H61" s="35">
        <f>IF(OR($D61="",$K61=""),"",COUNTIF(Payments!$G$5:$G$2500,$K61))</f>
      </c>
      <c r="I61" s="37">
        <f>IF($D61="","",IF(OR($F61="",$F61=0),"Pending",IF(ROUND($F61-$D61,2)&gt;0,"Overpaid",IF(ROUND($F61-$D61,2)=0,"Paid","Partial"))))</f>
      </c>
      <c r="J61" s="29"/>
      <c r="K61">
        <f>IF($A61="","","#"&amp;TRIM(SUBSTITUTE(SUBSTITUTE(SUBSTITUTE(SUBSTITUTE(SUBSTITUTE(SUBSTITUTE($A61,"-",""),"(",""),")",""),".",""),"+","")," ","")))</f>
      </c>
    </row>
    <row r="62" spans="1:11" x14ac:dyDescent="0.3">
      <c r="A62" s="28"/>
      <c r="B62" s="29"/>
      <c r="C62" s="30"/>
      <c r="D62" s="31"/>
      <c r="E62" s="33">
        <f>IF(OR($D62="",$K62=""),"",IF(COUNTIFS(Payments!$G$5:$G$2500,$K62,Payments!$C$5:$C$2500,"&lt;&gt;")=0,"",_xlfn.MAXIFS(Payments!$C$5:$C$2500,Payments!$G$5:$G$2500,$K62)))</f>
      </c>
      <c r="F62" s="34">
        <f>IF(OR($D62="",$K62=""),"",SUMIF(Payments!$G$5:$G$2500,$K62,Payments!$D$5:$D$2500))</f>
      </c>
      <c r="G62" s="36">
        <f>IF($D62="","",ROUND($D62-IF($F62="",0,$F62),2))</f>
      </c>
      <c r="H62" s="35">
        <f>IF(OR($D62="",$K62=""),"",COUNTIF(Payments!$G$5:$G$2500,$K62))</f>
      </c>
      <c r="I62" s="37">
        <f>IF($D62="","",IF(OR($F62="",$F62=0),"Pending",IF(ROUND($F62-$D62,2)&gt;0,"Overpaid",IF(ROUND($F62-$D62,2)=0,"Paid","Partial"))))</f>
      </c>
      <c r="J62" s="29"/>
      <c r="K62">
        <f>IF($A62="","","#"&amp;TRIM(SUBSTITUTE(SUBSTITUTE(SUBSTITUTE(SUBSTITUTE(SUBSTITUTE(SUBSTITUTE($A62,"-",""),"(",""),")",""),".",""),"+","")," ","")))</f>
      </c>
    </row>
    <row r="63" spans="1:11" x14ac:dyDescent="0.3">
      <c r="A63" s="28"/>
      <c r="B63" s="29"/>
      <c r="C63" s="30"/>
      <c r="D63" s="31"/>
      <c r="E63" s="33">
        <f>IF(OR($D63="",$K63=""),"",IF(COUNTIFS(Payments!$G$5:$G$2500,$K63,Payments!$C$5:$C$2500,"&lt;&gt;")=0,"",_xlfn.MAXIFS(Payments!$C$5:$C$2500,Payments!$G$5:$G$2500,$K63)))</f>
      </c>
      <c r="F63" s="34">
        <f>IF(OR($D63="",$K63=""),"",SUMIF(Payments!$G$5:$G$2500,$K63,Payments!$D$5:$D$2500))</f>
      </c>
      <c r="G63" s="36">
        <f>IF($D63="","",ROUND($D63-IF($F63="",0,$F63),2))</f>
      </c>
      <c r="H63" s="35">
        <f>IF(OR($D63="",$K63=""),"",COUNTIF(Payments!$G$5:$G$2500,$K63))</f>
      </c>
      <c r="I63" s="37">
        <f>IF($D63="","",IF(OR($F63="",$F63=0),"Pending",IF(ROUND($F63-$D63,2)&gt;0,"Overpaid",IF(ROUND($F63-$D63,2)=0,"Paid","Partial"))))</f>
      </c>
      <c r="J63" s="29"/>
      <c r="K63">
        <f>IF($A63="","","#"&amp;TRIM(SUBSTITUTE(SUBSTITUTE(SUBSTITUTE(SUBSTITUTE(SUBSTITUTE(SUBSTITUTE($A63,"-",""),"(",""),")",""),".",""),"+","")," ","")))</f>
      </c>
    </row>
    <row r="64" spans="1:11" x14ac:dyDescent="0.3">
      <c r="A64" s="28"/>
      <c r="B64" s="29"/>
      <c r="C64" s="30"/>
      <c r="D64" s="31"/>
      <c r="E64" s="33">
        <f>IF(OR($D64="",$K64=""),"",IF(COUNTIFS(Payments!$G$5:$G$2500,$K64,Payments!$C$5:$C$2500,"&lt;&gt;")=0,"",_xlfn.MAXIFS(Payments!$C$5:$C$2500,Payments!$G$5:$G$2500,$K64)))</f>
      </c>
      <c r="F64" s="34">
        <f>IF(OR($D64="",$K64=""),"",SUMIF(Payments!$G$5:$G$2500,$K64,Payments!$D$5:$D$2500))</f>
      </c>
      <c r="G64" s="36">
        <f>IF($D64="","",ROUND($D64-IF($F64="",0,$F64),2))</f>
      </c>
      <c r="H64" s="35">
        <f>IF(OR($D64="",$K64=""),"",COUNTIF(Payments!$G$5:$G$2500,$K64))</f>
      </c>
      <c r="I64" s="37">
        <f>IF($D64="","",IF(OR($F64="",$F64=0),"Pending",IF(ROUND($F64-$D64,2)&gt;0,"Overpaid",IF(ROUND($F64-$D64,2)=0,"Paid","Partial"))))</f>
      </c>
      <c r="J64" s="29"/>
      <c r="K64">
        <f>IF($A64="","","#"&amp;TRIM(SUBSTITUTE(SUBSTITUTE(SUBSTITUTE(SUBSTITUTE(SUBSTITUTE(SUBSTITUTE($A64,"-",""),"(",""),")",""),".",""),"+","")," ","")))</f>
      </c>
    </row>
    <row r="65" spans="1:11" x14ac:dyDescent="0.3">
      <c r="A65" s="28"/>
      <c r="B65" s="29"/>
      <c r="C65" s="30"/>
      <c r="D65" s="31"/>
      <c r="E65" s="33">
        <f>IF(OR($D65="",$K65=""),"",IF(COUNTIFS(Payments!$G$5:$G$2500,$K65,Payments!$C$5:$C$2500,"&lt;&gt;")=0,"",_xlfn.MAXIFS(Payments!$C$5:$C$2500,Payments!$G$5:$G$2500,$K65)))</f>
      </c>
      <c r="F65" s="34">
        <f>IF(OR($D65="",$K65=""),"",SUMIF(Payments!$G$5:$G$2500,$K65,Payments!$D$5:$D$2500))</f>
      </c>
      <c r="G65" s="36">
        <f>IF($D65="","",ROUND($D65-IF($F65="",0,$F65),2))</f>
      </c>
      <c r="H65" s="35">
        <f>IF(OR($D65="",$K65=""),"",COUNTIF(Payments!$G$5:$G$2500,$K65))</f>
      </c>
      <c r="I65" s="37">
        <f>IF($D65="","",IF(OR($F65="",$F65=0),"Pending",IF(ROUND($F65-$D65,2)&gt;0,"Overpaid",IF(ROUND($F65-$D65,2)=0,"Paid","Partial"))))</f>
      </c>
      <c r="J65" s="29"/>
      <c r="K65">
        <f>IF($A65="","","#"&amp;TRIM(SUBSTITUTE(SUBSTITUTE(SUBSTITUTE(SUBSTITUTE(SUBSTITUTE(SUBSTITUTE($A65,"-",""),"(",""),")",""),".",""),"+","")," ","")))</f>
      </c>
    </row>
    <row r="66" spans="1:11" x14ac:dyDescent="0.3">
      <c r="A66" s="28"/>
      <c r="B66" s="29"/>
      <c r="C66" s="30"/>
      <c r="D66" s="31"/>
      <c r="E66" s="33">
        <f>IF(OR($D66="",$K66=""),"",IF(COUNTIFS(Payments!$G$5:$G$2500,$K66,Payments!$C$5:$C$2500,"&lt;&gt;")=0,"",_xlfn.MAXIFS(Payments!$C$5:$C$2500,Payments!$G$5:$G$2500,$K66)))</f>
      </c>
      <c r="F66" s="34">
        <f>IF(OR($D66="",$K66=""),"",SUMIF(Payments!$G$5:$G$2500,$K66,Payments!$D$5:$D$2500))</f>
      </c>
      <c r="G66" s="36">
        <f>IF($D66="","",ROUND($D66-IF($F66="",0,$F66),2))</f>
      </c>
      <c r="H66" s="35">
        <f>IF(OR($D66="",$K66=""),"",COUNTIF(Payments!$G$5:$G$2500,$K66))</f>
      </c>
      <c r="I66" s="37">
        <f>IF($D66="","",IF(OR($F66="",$F66=0),"Pending",IF(ROUND($F66-$D66,2)&gt;0,"Overpaid",IF(ROUND($F66-$D66,2)=0,"Paid","Partial"))))</f>
      </c>
      <c r="J66" s="29"/>
      <c r="K66">
        <f>IF($A66="","","#"&amp;TRIM(SUBSTITUTE(SUBSTITUTE(SUBSTITUTE(SUBSTITUTE(SUBSTITUTE(SUBSTITUTE($A66,"-",""),"(",""),")",""),".",""),"+","")," ","")))</f>
      </c>
    </row>
    <row r="67" spans="1:11" x14ac:dyDescent="0.3">
      <c r="A67" s="28"/>
      <c r="B67" s="29"/>
      <c r="C67" s="30"/>
      <c r="D67" s="31"/>
      <c r="E67" s="33">
        <f>IF(OR($D67="",$K67=""),"",IF(COUNTIFS(Payments!$G$5:$G$2500,$K67,Payments!$C$5:$C$2500,"&lt;&gt;")=0,"",_xlfn.MAXIFS(Payments!$C$5:$C$2500,Payments!$G$5:$G$2500,$K67)))</f>
      </c>
      <c r="F67" s="34">
        <f>IF(OR($D67="",$K67=""),"",SUMIF(Payments!$G$5:$G$2500,$K67,Payments!$D$5:$D$2500))</f>
      </c>
      <c r="G67" s="36">
        <f>IF($D67="","",ROUND($D67-IF($F67="",0,$F67),2))</f>
      </c>
      <c r="H67" s="35">
        <f>IF(OR($D67="",$K67=""),"",COUNTIF(Payments!$G$5:$G$2500,$K67))</f>
      </c>
      <c r="I67" s="37">
        <f>IF($D67="","",IF(OR($F67="",$F67=0),"Pending",IF(ROUND($F67-$D67,2)&gt;0,"Overpaid",IF(ROUND($F67-$D67,2)=0,"Paid","Partial"))))</f>
      </c>
      <c r="J67" s="29"/>
      <c r="K67">
        <f>IF($A67="","","#"&amp;TRIM(SUBSTITUTE(SUBSTITUTE(SUBSTITUTE(SUBSTITUTE(SUBSTITUTE(SUBSTITUTE($A67,"-",""),"(",""),")",""),".",""),"+","")," ","")))</f>
      </c>
    </row>
    <row r="68" spans="1:11" x14ac:dyDescent="0.3">
      <c r="A68" s="28"/>
      <c r="B68" s="29"/>
      <c r="C68" s="30"/>
      <c r="D68" s="31"/>
      <c r="E68" s="33">
        <f>IF(OR($D68="",$K68=""),"",IF(COUNTIFS(Payments!$G$5:$G$2500,$K68,Payments!$C$5:$C$2500,"&lt;&gt;")=0,"",_xlfn.MAXIFS(Payments!$C$5:$C$2500,Payments!$G$5:$G$2500,$K68)))</f>
      </c>
      <c r="F68" s="34">
        <f>IF(OR($D68="",$K68=""),"",SUMIF(Payments!$G$5:$G$2500,$K68,Payments!$D$5:$D$2500))</f>
      </c>
      <c r="G68" s="36">
        <f>IF($D68="","",ROUND($D68-IF($F68="",0,$F68),2))</f>
      </c>
      <c r="H68" s="35">
        <f>IF(OR($D68="",$K68=""),"",COUNTIF(Payments!$G$5:$G$2500,$K68))</f>
      </c>
      <c r="I68" s="37">
        <f>IF($D68="","",IF(OR($F68="",$F68=0),"Pending",IF(ROUND($F68-$D68,2)&gt;0,"Overpaid",IF(ROUND($F68-$D68,2)=0,"Paid","Partial"))))</f>
      </c>
      <c r="J68" s="29"/>
      <c r="K68">
        <f>IF($A68="","","#"&amp;TRIM(SUBSTITUTE(SUBSTITUTE(SUBSTITUTE(SUBSTITUTE(SUBSTITUTE(SUBSTITUTE($A68,"-",""),"(",""),")",""),".",""),"+","")," ","")))</f>
      </c>
    </row>
    <row r="69" spans="1:11" x14ac:dyDescent="0.3">
      <c r="A69" s="28"/>
      <c r="B69" s="29"/>
      <c r="C69" s="30"/>
      <c r="D69" s="31"/>
      <c r="E69" s="33">
        <f>IF(OR($D69="",$K69=""),"",IF(COUNTIFS(Payments!$G$5:$G$2500,$K69,Payments!$C$5:$C$2500,"&lt;&gt;")=0,"",_xlfn.MAXIFS(Payments!$C$5:$C$2500,Payments!$G$5:$G$2500,$K69)))</f>
      </c>
      <c r="F69" s="34">
        <f>IF(OR($D69="",$K69=""),"",SUMIF(Payments!$G$5:$G$2500,$K69,Payments!$D$5:$D$2500))</f>
      </c>
      <c r="G69" s="36">
        <f>IF($D69="","",ROUND($D69-IF($F69="",0,$F69),2))</f>
      </c>
      <c r="H69" s="35">
        <f>IF(OR($D69="",$K69=""),"",COUNTIF(Payments!$G$5:$G$2500,$K69))</f>
      </c>
      <c r="I69" s="37">
        <f>IF($D69="","",IF(OR($F69="",$F69=0),"Pending",IF(ROUND($F69-$D69,2)&gt;0,"Overpaid",IF(ROUND($F69-$D69,2)=0,"Paid","Partial"))))</f>
      </c>
      <c r="J69" s="29"/>
      <c r="K69">
        <f>IF($A69="","","#"&amp;TRIM(SUBSTITUTE(SUBSTITUTE(SUBSTITUTE(SUBSTITUTE(SUBSTITUTE(SUBSTITUTE($A69,"-",""),"(",""),")",""),".",""),"+","")," ","")))</f>
      </c>
    </row>
    <row r="70" spans="1:11" x14ac:dyDescent="0.3">
      <c r="A70" s="28"/>
      <c r="B70" s="29"/>
      <c r="C70" s="30"/>
      <c r="D70" s="31"/>
      <c r="E70" s="33">
        <f>IF(OR($D70="",$K70=""),"",IF(COUNTIFS(Payments!$G$5:$G$2500,$K70,Payments!$C$5:$C$2500,"&lt;&gt;")=0,"",_xlfn.MAXIFS(Payments!$C$5:$C$2500,Payments!$G$5:$G$2500,$K70)))</f>
      </c>
      <c r="F70" s="34">
        <f>IF(OR($D70="",$K70=""),"",SUMIF(Payments!$G$5:$G$2500,$K70,Payments!$D$5:$D$2500))</f>
      </c>
      <c r="G70" s="36">
        <f>IF($D70="","",ROUND($D70-IF($F70="",0,$F70),2))</f>
      </c>
      <c r="H70" s="35">
        <f>IF(OR($D70="",$K70=""),"",COUNTIF(Payments!$G$5:$G$2500,$K70))</f>
      </c>
      <c r="I70" s="37">
        <f>IF($D70="","",IF(OR($F70="",$F70=0),"Pending",IF(ROUND($F70-$D70,2)&gt;0,"Overpaid",IF(ROUND($F70-$D70,2)=0,"Paid","Partial"))))</f>
      </c>
      <c r="J70" s="29"/>
      <c r="K70">
        <f>IF($A70="","","#"&amp;TRIM(SUBSTITUTE(SUBSTITUTE(SUBSTITUTE(SUBSTITUTE(SUBSTITUTE(SUBSTITUTE($A70,"-",""),"(",""),")",""),".",""),"+","")," ","")))</f>
      </c>
    </row>
    <row r="71" spans="1:11" x14ac:dyDescent="0.3">
      <c r="A71" s="28"/>
      <c r="B71" s="29"/>
      <c r="C71" s="30"/>
      <c r="D71" s="31"/>
      <c r="E71" s="33">
        <f>IF(OR($D71="",$K71=""),"",IF(COUNTIFS(Payments!$G$5:$G$2500,$K71,Payments!$C$5:$C$2500,"&lt;&gt;")=0,"",_xlfn.MAXIFS(Payments!$C$5:$C$2500,Payments!$G$5:$G$2500,$K71)))</f>
      </c>
      <c r="F71" s="34">
        <f>IF(OR($D71="",$K71=""),"",SUMIF(Payments!$G$5:$G$2500,$K71,Payments!$D$5:$D$2500))</f>
      </c>
      <c r="G71" s="36">
        <f>IF($D71="","",ROUND($D71-IF($F71="",0,$F71),2))</f>
      </c>
      <c r="H71" s="35">
        <f>IF(OR($D71="",$K71=""),"",COUNTIF(Payments!$G$5:$G$2500,$K71))</f>
      </c>
      <c r="I71" s="37">
        <f>IF($D71="","",IF(OR($F71="",$F71=0),"Pending",IF(ROUND($F71-$D71,2)&gt;0,"Overpaid",IF(ROUND($F71-$D71,2)=0,"Paid","Partial"))))</f>
      </c>
      <c r="J71" s="29"/>
      <c r="K71">
        <f>IF($A71="","","#"&amp;TRIM(SUBSTITUTE(SUBSTITUTE(SUBSTITUTE(SUBSTITUTE(SUBSTITUTE(SUBSTITUTE($A71,"-",""),"(",""),")",""),".",""),"+","")," ","")))</f>
      </c>
    </row>
    <row r="72" spans="1:11" x14ac:dyDescent="0.3">
      <c r="A72" s="28"/>
      <c r="B72" s="29"/>
      <c r="C72" s="30"/>
      <c r="D72" s="31"/>
      <c r="E72" s="33">
        <f>IF(OR($D72="",$K72=""),"",IF(COUNTIFS(Payments!$G$5:$G$2500,$K72,Payments!$C$5:$C$2500,"&lt;&gt;")=0,"",_xlfn.MAXIFS(Payments!$C$5:$C$2500,Payments!$G$5:$G$2500,$K72)))</f>
      </c>
      <c r="F72" s="34">
        <f>IF(OR($D72="",$K72=""),"",SUMIF(Payments!$G$5:$G$2500,$K72,Payments!$D$5:$D$2500))</f>
      </c>
      <c r="G72" s="36">
        <f>IF($D72="","",ROUND($D72-IF($F72="",0,$F72),2))</f>
      </c>
      <c r="H72" s="35">
        <f>IF(OR($D72="",$K72=""),"",COUNTIF(Payments!$G$5:$G$2500,$K72))</f>
      </c>
      <c r="I72" s="37">
        <f>IF($D72="","",IF(OR($F72="",$F72=0),"Pending",IF(ROUND($F72-$D72,2)&gt;0,"Overpaid",IF(ROUND($F72-$D72,2)=0,"Paid","Partial"))))</f>
      </c>
      <c r="J72" s="29"/>
      <c r="K72">
        <f>IF($A72="","","#"&amp;TRIM(SUBSTITUTE(SUBSTITUTE(SUBSTITUTE(SUBSTITUTE(SUBSTITUTE(SUBSTITUTE($A72,"-",""),"(",""),")",""),".",""),"+","")," ","")))</f>
      </c>
    </row>
    <row r="73" spans="1:11" x14ac:dyDescent="0.3">
      <c r="A73" s="28"/>
      <c r="B73" s="29"/>
      <c r="C73" s="30"/>
      <c r="D73" s="31"/>
      <c r="E73" s="33">
        <f>IF(OR($D73="",$K73=""),"",IF(COUNTIFS(Payments!$G$5:$G$2500,$K73,Payments!$C$5:$C$2500,"&lt;&gt;")=0,"",_xlfn.MAXIFS(Payments!$C$5:$C$2500,Payments!$G$5:$G$2500,$K73)))</f>
      </c>
      <c r="F73" s="34">
        <f>IF(OR($D73="",$K73=""),"",SUMIF(Payments!$G$5:$G$2500,$K73,Payments!$D$5:$D$2500))</f>
      </c>
      <c r="G73" s="36">
        <f>IF($D73="","",ROUND($D73-IF($F73="",0,$F73),2))</f>
      </c>
      <c r="H73" s="35">
        <f>IF(OR($D73="",$K73=""),"",COUNTIF(Payments!$G$5:$G$2500,$K73))</f>
      </c>
      <c r="I73" s="37">
        <f>IF($D73="","",IF(OR($F73="",$F73=0),"Pending",IF(ROUND($F73-$D73,2)&gt;0,"Overpaid",IF(ROUND($F73-$D73,2)=0,"Paid","Partial"))))</f>
      </c>
      <c r="J73" s="29"/>
      <c r="K73">
        <f>IF($A73="","","#"&amp;TRIM(SUBSTITUTE(SUBSTITUTE(SUBSTITUTE(SUBSTITUTE(SUBSTITUTE(SUBSTITUTE($A73,"-",""),"(",""),")",""),".",""),"+","")," ","")))</f>
      </c>
    </row>
    <row r="74" spans="1:11" x14ac:dyDescent="0.3">
      <c r="A74" s="28"/>
      <c r="B74" s="29"/>
      <c r="C74" s="30"/>
      <c r="D74" s="31"/>
      <c r="E74" s="33">
        <f>IF(OR($D74="",$K74=""),"",IF(COUNTIFS(Payments!$G$5:$G$2500,$K74,Payments!$C$5:$C$2500,"&lt;&gt;")=0,"",_xlfn.MAXIFS(Payments!$C$5:$C$2500,Payments!$G$5:$G$2500,$K74)))</f>
      </c>
      <c r="F74" s="34">
        <f>IF(OR($D74="",$K74=""),"",SUMIF(Payments!$G$5:$G$2500,$K74,Payments!$D$5:$D$2500))</f>
      </c>
      <c r="G74" s="36">
        <f>IF($D74="","",ROUND($D74-IF($F74="",0,$F74),2))</f>
      </c>
      <c r="H74" s="35">
        <f>IF(OR($D74="",$K74=""),"",COUNTIF(Payments!$G$5:$G$2500,$K74))</f>
      </c>
      <c r="I74" s="37">
        <f>IF($D74="","",IF(OR($F74="",$F74=0),"Pending",IF(ROUND($F74-$D74,2)&gt;0,"Overpaid",IF(ROUND($F74-$D74,2)=0,"Paid","Partial"))))</f>
      </c>
      <c r="J74" s="29"/>
      <c r="K74">
        <f>IF($A74="","","#"&amp;TRIM(SUBSTITUTE(SUBSTITUTE(SUBSTITUTE(SUBSTITUTE(SUBSTITUTE(SUBSTITUTE($A74,"-",""),"(",""),")",""),".",""),"+","")," ","")))</f>
      </c>
    </row>
    <row r="75" spans="1:11" x14ac:dyDescent="0.3">
      <c r="A75" s="28"/>
      <c r="B75" s="29"/>
      <c r="C75" s="30"/>
      <c r="D75" s="31"/>
      <c r="E75" s="33">
        <f>IF(OR($D75="",$K75=""),"",IF(COUNTIFS(Payments!$G$5:$G$2500,$K75,Payments!$C$5:$C$2500,"&lt;&gt;")=0,"",_xlfn.MAXIFS(Payments!$C$5:$C$2500,Payments!$G$5:$G$2500,$K75)))</f>
      </c>
      <c r="F75" s="34">
        <f>IF(OR($D75="",$K75=""),"",SUMIF(Payments!$G$5:$G$2500,$K75,Payments!$D$5:$D$2500))</f>
      </c>
      <c r="G75" s="36">
        <f>IF($D75="","",ROUND($D75-IF($F75="",0,$F75),2))</f>
      </c>
      <c r="H75" s="35">
        <f>IF(OR($D75="",$K75=""),"",COUNTIF(Payments!$G$5:$G$2500,$K75))</f>
      </c>
      <c r="I75" s="37">
        <f>IF($D75="","",IF(OR($F75="",$F75=0),"Pending",IF(ROUND($F75-$D75,2)&gt;0,"Overpaid",IF(ROUND($F75-$D75,2)=0,"Paid","Partial"))))</f>
      </c>
      <c r="J75" s="29"/>
      <c r="K75">
        <f>IF($A75="","","#"&amp;TRIM(SUBSTITUTE(SUBSTITUTE(SUBSTITUTE(SUBSTITUTE(SUBSTITUTE(SUBSTITUTE($A75,"-",""),"(",""),")",""),".",""),"+","")," ","")))</f>
      </c>
    </row>
    <row r="76" spans="1:11" x14ac:dyDescent="0.3">
      <c r="A76" s="28"/>
      <c r="B76" s="29"/>
      <c r="C76" s="30"/>
      <c r="D76" s="31"/>
      <c r="E76" s="33">
        <f>IF(OR($D76="",$K76=""),"",IF(COUNTIFS(Payments!$G$5:$G$2500,$K76,Payments!$C$5:$C$2500,"&lt;&gt;")=0,"",_xlfn.MAXIFS(Payments!$C$5:$C$2500,Payments!$G$5:$G$2500,$K76)))</f>
      </c>
      <c r="F76" s="34">
        <f>IF(OR($D76="",$K76=""),"",SUMIF(Payments!$G$5:$G$2500,$K76,Payments!$D$5:$D$2500))</f>
      </c>
      <c r="G76" s="36">
        <f>IF($D76="","",ROUND($D76-IF($F76="",0,$F76),2))</f>
      </c>
      <c r="H76" s="35">
        <f>IF(OR($D76="",$K76=""),"",COUNTIF(Payments!$G$5:$G$2500,$K76))</f>
      </c>
      <c r="I76" s="37">
        <f>IF($D76="","",IF(OR($F76="",$F76=0),"Pending",IF(ROUND($F76-$D76,2)&gt;0,"Overpaid",IF(ROUND($F76-$D76,2)=0,"Paid","Partial"))))</f>
      </c>
      <c r="J76" s="29"/>
      <c r="K76">
        <f>IF($A76="","","#"&amp;TRIM(SUBSTITUTE(SUBSTITUTE(SUBSTITUTE(SUBSTITUTE(SUBSTITUTE(SUBSTITUTE($A76,"-",""),"(",""),")",""),".",""),"+","")," ","")))</f>
      </c>
    </row>
    <row r="77" spans="1:11" x14ac:dyDescent="0.3">
      <c r="A77" s="28"/>
      <c r="B77" s="29"/>
      <c r="C77" s="30"/>
      <c r="D77" s="31"/>
      <c r="E77" s="33">
        <f>IF(OR($D77="",$K77=""),"",IF(COUNTIFS(Payments!$G$5:$G$2500,$K77,Payments!$C$5:$C$2500,"&lt;&gt;")=0,"",_xlfn.MAXIFS(Payments!$C$5:$C$2500,Payments!$G$5:$G$2500,$K77)))</f>
      </c>
      <c r="F77" s="34">
        <f>IF(OR($D77="",$K77=""),"",SUMIF(Payments!$G$5:$G$2500,$K77,Payments!$D$5:$D$2500))</f>
      </c>
      <c r="G77" s="36">
        <f>IF($D77="","",ROUND($D77-IF($F77="",0,$F77),2))</f>
      </c>
      <c r="H77" s="35">
        <f>IF(OR($D77="",$K77=""),"",COUNTIF(Payments!$G$5:$G$2500,$K77))</f>
      </c>
      <c r="I77" s="37">
        <f>IF($D77="","",IF(OR($F77="",$F77=0),"Pending",IF(ROUND($F77-$D77,2)&gt;0,"Overpaid",IF(ROUND($F77-$D77,2)=0,"Paid","Partial"))))</f>
      </c>
      <c r="J77" s="29"/>
      <c r="K77">
        <f>IF($A77="","","#"&amp;TRIM(SUBSTITUTE(SUBSTITUTE(SUBSTITUTE(SUBSTITUTE(SUBSTITUTE(SUBSTITUTE($A77,"-",""),"(",""),")",""),".",""),"+","")," ","")))</f>
      </c>
    </row>
    <row r="78" spans="1:11" x14ac:dyDescent="0.3">
      <c r="A78" s="28"/>
      <c r="B78" s="29"/>
      <c r="C78" s="30"/>
      <c r="D78" s="31"/>
      <c r="E78" s="33">
        <f>IF(OR($D78="",$K78=""),"",IF(COUNTIFS(Payments!$G$5:$G$2500,$K78,Payments!$C$5:$C$2500,"&lt;&gt;")=0,"",_xlfn.MAXIFS(Payments!$C$5:$C$2500,Payments!$G$5:$G$2500,$K78)))</f>
      </c>
      <c r="F78" s="34">
        <f>IF(OR($D78="",$K78=""),"",SUMIF(Payments!$G$5:$G$2500,$K78,Payments!$D$5:$D$2500))</f>
      </c>
      <c r="G78" s="36">
        <f>IF($D78="","",ROUND($D78-IF($F78="",0,$F78),2))</f>
      </c>
      <c r="H78" s="35">
        <f>IF(OR($D78="",$K78=""),"",COUNTIF(Payments!$G$5:$G$2500,$K78))</f>
      </c>
      <c r="I78" s="37">
        <f>IF($D78="","",IF(OR($F78="",$F78=0),"Pending",IF(ROUND($F78-$D78,2)&gt;0,"Overpaid",IF(ROUND($F78-$D78,2)=0,"Paid","Partial"))))</f>
      </c>
      <c r="J78" s="29"/>
      <c r="K78">
        <f>IF($A78="","","#"&amp;TRIM(SUBSTITUTE(SUBSTITUTE(SUBSTITUTE(SUBSTITUTE(SUBSTITUTE(SUBSTITUTE($A78,"-",""),"(",""),")",""),".",""),"+","")," ","")))</f>
      </c>
    </row>
    <row r="79" spans="1:11" x14ac:dyDescent="0.3">
      <c r="A79" s="28"/>
      <c r="B79" s="29"/>
      <c r="C79" s="30"/>
      <c r="D79" s="31"/>
      <c r="E79" s="33">
        <f>IF(OR($D79="",$K79=""),"",IF(COUNTIFS(Payments!$G$5:$G$2500,$K79,Payments!$C$5:$C$2500,"&lt;&gt;")=0,"",_xlfn.MAXIFS(Payments!$C$5:$C$2500,Payments!$G$5:$G$2500,$K79)))</f>
      </c>
      <c r="F79" s="34">
        <f>IF(OR($D79="",$K79=""),"",SUMIF(Payments!$G$5:$G$2500,$K79,Payments!$D$5:$D$2500))</f>
      </c>
      <c r="G79" s="36">
        <f>IF($D79="","",ROUND($D79-IF($F79="",0,$F79),2))</f>
      </c>
      <c r="H79" s="35">
        <f>IF(OR($D79="",$K79=""),"",COUNTIF(Payments!$G$5:$G$2500,$K79))</f>
      </c>
      <c r="I79" s="37">
        <f>IF($D79="","",IF(OR($F79="",$F79=0),"Pending",IF(ROUND($F79-$D79,2)&gt;0,"Overpaid",IF(ROUND($F79-$D79,2)=0,"Paid","Partial"))))</f>
      </c>
      <c r="J79" s="29"/>
      <c r="K79">
        <f>IF($A79="","","#"&amp;TRIM(SUBSTITUTE(SUBSTITUTE(SUBSTITUTE(SUBSTITUTE(SUBSTITUTE(SUBSTITUTE($A79,"-",""),"(",""),")",""),".",""),"+","")," ","")))</f>
      </c>
    </row>
    <row r="80" spans="1:11" x14ac:dyDescent="0.3">
      <c r="A80" s="28"/>
      <c r="B80" s="29"/>
      <c r="C80" s="30"/>
      <c r="D80" s="31"/>
      <c r="E80" s="33">
        <f>IF(OR($D80="",$K80=""),"",IF(COUNTIFS(Payments!$G$5:$G$2500,$K80,Payments!$C$5:$C$2500,"&lt;&gt;")=0,"",_xlfn.MAXIFS(Payments!$C$5:$C$2500,Payments!$G$5:$G$2500,$K80)))</f>
      </c>
      <c r="F80" s="34">
        <f>IF(OR($D80="",$K80=""),"",SUMIF(Payments!$G$5:$G$2500,$K80,Payments!$D$5:$D$2500))</f>
      </c>
      <c r="G80" s="36">
        <f>IF($D80="","",ROUND($D80-IF($F80="",0,$F80),2))</f>
      </c>
      <c r="H80" s="35">
        <f>IF(OR($D80="",$K80=""),"",COUNTIF(Payments!$G$5:$G$2500,$K80))</f>
      </c>
      <c r="I80" s="37">
        <f>IF($D80="","",IF(OR($F80="",$F80=0),"Pending",IF(ROUND($F80-$D80,2)&gt;0,"Overpaid",IF(ROUND($F80-$D80,2)=0,"Paid","Partial"))))</f>
      </c>
      <c r="J80" s="29"/>
      <c r="K80">
        <f>IF($A80="","","#"&amp;TRIM(SUBSTITUTE(SUBSTITUTE(SUBSTITUTE(SUBSTITUTE(SUBSTITUTE(SUBSTITUTE($A80,"-",""),"(",""),")",""),".",""),"+","")," ","")))</f>
      </c>
    </row>
    <row r="81" spans="1:11" x14ac:dyDescent="0.3">
      <c r="A81" s="28"/>
      <c r="B81" s="29"/>
      <c r="C81" s="30"/>
      <c r="D81" s="31"/>
      <c r="E81" s="33">
        <f>IF(OR($D81="",$K81=""),"",IF(COUNTIFS(Payments!$G$5:$G$2500,$K81,Payments!$C$5:$C$2500,"&lt;&gt;")=0,"",_xlfn.MAXIFS(Payments!$C$5:$C$2500,Payments!$G$5:$G$2500,$K81)))</f>
      </c>
      <c r="F81" s="34">
        <f>IF(OR($D81="",$K81=""),"",SUMIF(Payments!$G$5:$G$2500,$K81,Payments!$D$5:$D$2500))</f>
      </c>
      <c r="G81" s="36">
        <f>IF($D81="","",ROUND($D81-IF($F81="",0,$F81),2))</f>
      </c>
      <c r="H81" s="35">
        <f>IF(OR($D81="",$K81=""),"",COUNTIF(Payments!$G$5:$G$2500,$K81))</f>
      </c>
      <c r="I81" s="37">
        <f>IF($D81="","",IF(OR($F81="",$F81=0),"Pending",IF(ROUND($F81-$D81,2)&gt;0,"Overpaid",IF(ROUND($F81-$D81,2)=0,"Paid","Partial"))))</f>
      </c>
      <c r="J81" s="29"/>
      <c r="K81">
        <f>IF($A81="","","#"&amp;TRIM(SUBSTITUTE(SUBSTITUTE(SUBSTITUTE(SUBSTITUTE(SUBSTITUTE(SUBSTITUTE($A81,"-",""),"(",""),")",""),".",""),"+","")," ","")))</f>
      </c>
    </row>
    <row r="82" spans="1:11" x14ac:dyDescent="0.3">
      <c r="A82" s="28"/>
      <c r="B82" s="29"/>
      <c r="C82" s="30"/>
      <c r="D82" s="31"/>
      <c r="E82" s="33">
        <f>IF(OR($D82="",$K82=""),"",IF(COUNTIFS(Payments!$G$5:$G$2500,$K82,Payments!$C$5:$C$2500,"&lt;&gt;")=0,"",_xlfn.MAXIFS(Payments!$C$5:$C$2500,Payments!$G$5:$G$2500,$K82)))</f>
      </c>
      <c r="F82" s="34">
        <f>IF(OR($D82="",$K82=""),"",SUMIF(Payments!$G$5:$G$2500,$K82,Payments!$D$5:$D$2500))</f>
      </c>
      <c r="G82" s="36">
        <f>IF($D82="","",ROUND($D82-IF($F82="",0,$F82),2))</f>
      </c>
      <c r="H82" s="35">
        <f>IF(OR($D82="",$K82=""),"",COUNTIF(Payments!$G$5:$G$2500,$K82))</f>
      </c>
      <c r="I82" s="37">
        <f>IF($D82="","",IF(OR($F82="",$F82=0),"Pending",IF(ROUND($F82-$D82,2)&gt;0,"Overpaid",IF(ROUND($F82-$D82,2)=0,"Paid","Partial"))))</f>
      </c>
      <c r="J82" s="29"/>
      <c r="K82">
        <f>IF($A82="","","#"&amp;TRIM(SUBSTITUTE(SUBSTITUTE(SUBSTITUTE(SUBSTITUTE(SUBSTITUTE(SUBSTITUTE($A82,"-",""),"(",""),")",""),".",""),"+","")," ","")))</f>
      </c>
    </row>
    <row r="83" spans="1:11" x14ac:dyDescent="0.3">
      <c r="A83" s="28"/>
      <c r="B83" s="29"/>
      <c r="C83" s="30"/>
      <c r="D83" s="31"/>
      <c r="E83" s="33">
        <f>IF(OR($D83="",$K83=""),"",IF(COUNTIFS(Payments!$G$5:$G$2500,$K83,Payments!$C$5:$C$2500,"&lt;&gt;")=0,"",_xlfn.MAXIFS(Payments!$C$5:$C$2500,Payments!$G$5:$G$2500,$K83)))</f>
      </c>
      <c r="F83" s="34">
        <f>IF(OR($D83="",$K83=""),"",SUMIF(Payments!$G$5:$G$2500,$K83,Payments!$D$5:$D$2500))</f>
      </c>
      <c r="G83" s="36">
        <f>IF($D83="","",ROUND($D83-IF($F83="",0,$F83),2))</f>
      </c>
      <c r="H83" s="35">
        <f>IF(OR($D83="",$K83=""),"",COUNTIF(Payments!$G$5:$G$2500,$K83))</f>
      </c>
      <c r="I83" s="37">
        <f>IF($D83="","",IF(OR($F83="",$F83=0),"Pending",IF(ROUND($F83-$D83,2)&gt;0,"Overpaid",IF(ROUND($F83-$D83,2)=0,"Paid","Partial"))))</f>
      </c>
      <c r="J83" s="29"/>
      <c r="K83">
        <f>IF($A83="","","#"&amp;TRIM(SUBSTITUTE(SUBSTITUTE(SUBSTITUTE(SUBSTITUTE(SUBSTITUTE(SUBSTITUTE($A83,"-",""),"(",""),")",""),".",""),"+","")," ","")))</f>
      </c>
    </row>
    <row r="84" spans="1:11" x14ac:dyDescent="0.3">
      <c r="A84" s="28"/>
      <c r="B84" s="29"/>
      <c r="C84" s="30"/>
      <c r="D84" s="31"/>
      <c r="E84" s="33">
        <f>IF(OR($D84="",$K84=""),"",IF(COUNTIFS(Payments!$G$5:$G$2500,$K84,Payments!$C$5:$C$2500,"&lt;&gt;")=0,"",_xlfn.MAXIFS(Payments!$C$5:$C$2500,Payments!$G$5:$G$2500,$K84)))</f>
      </c>
      <c r="F84" s="34">
        <f>IF(OR($D84="",$K84=""),"",SUMIF(Payments!$G$5:$G$2500,$K84,Payments!$D$5:$D$2500))</f>
      </c>
      <c r="G84" s="36">
        <f>IF($D84="","",ROUND($D84-IF($F84="",0,$F84),2))</f>
      </c>
      <c r="H84" s="35">
        <f>IF(OR($D84="",$K84=""),"",COUNTIF(Payments!$G$5:$G$2500,$K84))</f>
      </c>
      <c r="I84" s="37">
        <f>IF($D84="","",IF(OR($F84="",$F84=0),"Pending",IF(ROUND($F84-$D84,2)&gt;0,"Overpaid",IF(ROUND($F84-$D84,2)=0,"Paid","Partial"))))</f>
      </c>
      <c r="J84" s="29"/>
      <c r="K84">
        <f>IF($A84="","","#"&amp;TRIM(SUBSTITUTE(SUBSTITUTE(SUBSTITUTE(SUBSTITUTE(SUBSTITUTE(SUBSTITUTE($A84,"-",""),"(",""),")",""),".",""),"+","")," ","")))</f>
      </c>
    </row>
    <row r="85" spans="1:11" x14ac:dyDescent="0.3">
      <c r="A85" s="28"/>
      <c r="B85" s="29"/>
      <c r="C85" s="30"/>
      <c r="D85" s="31"/>
      <c r="E85" s="33">
        <f>IF(OR($D85="",$K85=""),"",IF(COUNTIFS(Payments!$G$5:$G$2500,$K85,Payments!$C$5:$C$2500,"&lt;&gt;")=0,"",_xlfn.MAXIFS(Payments!$C$5:$C$2500,Payments!$G$5:$G$2500,$K85)))</f>
      </c>
      <c r="F85" s="34">
        <f>IF(OR($D85="",$K85=""),"",SUMIF(Payments!$G$5:$G$2500,$K85,Payments!$D$5:$D$2500))</f>
      </c>
      <c r="G85" s="36">
        <f>IF($D85="","",ROUND($D85-IF($F85="",0,$F85),2))</f>
      </c>
      <c r="H85" s="35">
        <f>IF(OR($D85="",$K85=""),"",COUNTIF(Payments!$G$5:$G$2500,$K85))</f>
      </c>
      <c r="I85" s="37">
        <f>IF($D85="","",IF(OR($F85="",$F85=0),"Pending",IF(ROUND($F85-$D85,2)&gt;0,"Overpaid",IF(ROUND($F85-$D85,2)=0,"Paid","Partial"))))</f>
      </c>
      <c r="J85" s="29"/>
      <c r="K85">
        <f>IF($A85="","","#"&amp;TRIM(SUBSTITUTE(SUBSTITUTE(SUBSTITUTE(SUBSTITUTE(SUBSTITUTE(SUBSTITUTE($A85,"-",""),"(",""),")",""),".",""),"+","")," ","")))</f>
      </c>
    </row>
    <row r="86" spans="1:11" x14ac:dyDescent="0.3">
      <c r="A86" s="28"/>
      <c r="B86" s="29"/>
      <c r="C86" s="30"/>
      <c r="D86" s="31"/>
      <c r="E86" s="33">
        <f>IF(OR($D86="",$K86=""),"",IF(COUNTIFS(Payments!$G$5:$G$2500,$K86,Payments!$C$5:$C$2500,"&lt;&gt;")=0,"",_xlfn.MAXIFS(Payments!$C$5:$C$2500,Payments!$G$5:$G$2500,$K86)))</f>
      </c>
      <c r="F86" s="34">
        <f>IF(OR($D86="",$K86=""),"",SUMIF(Payments!$G$5:$G$2500,$K86,Payments!$D$5:$D$2500))</f>
      </c>
      <c r="G86" s="36">
        <f>IF($D86="","",ROUND($D86-IF($F86="",0,$F86),2))</f>
      </c>
      <c r="H86" s="35">
        <f>IF(OR($D86="",$K86=""),"",COUNTIF(Payments!$G$5:$G$2500,$K86))</f>
      </c>
      <c r="I86" s="37">
        <f>IF($D86="","",IF(OR($F86="",$F86=0),"Pending",IF(ROUND($F86-$D86,2)&gt;0,"Overpaid",IF(ROUND($F86-$D86,2)=0,"Paid","Partial"))))</f>
      </c>
      <c r="J86" s="29"/>
      <c r="K86">
        <f>IF($A86="","","#"&amp;TRIM(SUBSTITUTE(SUBSTITUTE(SUBSTITUTE(SUBSTITUTE(SUBSTITUTE(SUBSTITUTE($A86,"-",""),"(",""),")",""),".",""),"+","")," ","")))</f>
      </c>
    </row>
    <row r="87" spans="1:11" x14ac:dyDescent="0.3">
      <c r="A87" s="28"/>
      <c r="B87" s="29"/>
      <c r="C87" s="30"/>
      <c r="D87" s="31"/>
      <c r="E87" s="33">
        <f>IF(OR($D87="",$K87=""),"",IF(COUNTIFS(Payments!$G$5:$G$2500,$K87,Payments!$C$5:$C$2500,"&lt;&gt;")=0,"",_xlfn.MAXIFS(Payments!$C$5:$C$2500,Payments!$G$5:$G$2500,$K87)))</f>
      </c>
      <c r="F87" s="34">
        <f>IF(OR($D87="",$K87=""),"",SUMIF(Payments!$G$5:$G$2500,$K87,Payments!$D$5:$D$2500))</f>
      </c>
      <c r="G87" s="36">
        <f>IF($D87="","",ROUND($D87-IF($F87="",0,$F87),2))</f>
      </c>
      <c r="H87" s="35">
        <f>IF(OR($D87="",$K87=""),"",COUNTIF(Payments!$G$5:$G$2500,$K87))</f>
      </c>
      <c r="I87" s="37">
        <f>IF($D87="","",IF(OR($F87="",$F87=0),"Pending",IF(ROUND($F87-$D87,2)&gt;0,"Overpaid",IF(ROUND($F87-$D87,2)=0,"Paid","Partial"))))</f>
      </c>
      <c r="J87" s="29"/>
      <c r="K87">
        <f>IF($A87="","","#"&amp;TRIM(SUBSTITUTE(SUBSTITUTE(SUBSTITUTE(SUBSTITUTE(SUBSTITUTE(SUBSTITUTE($A87,"-",""),"(",""),")",""),".",""),"+","")," ","")))</f>
      </c>
    </row>
    <row r="88" spans="1:11" x14ac:dyDescent="0.3">
      <c r="A88" s="28"/>
      <c r="B88" s="29"/>
      <c r="C88" s="30"/>
      <c r="D88" s="31"/>
      <c r="E88" s="33">
        <f>IF(OR($D88="",$K88=""),"",IF(COUNTIFS(Payments!$G$5:$G$2500,$K88,Payments!$C$5:$C$2500,"&lt;&gt;")=0,"",_xlfn.MAXIFS(Payments!$C$5:$C$2500,Payments!$G$5:$G$2500,$K88)))</f>
      </c>
      <c r="F88" s="34">
        <f>IF(OR($D88="",$K88=""),"",SUMIF(Payments!$G$5:$G$2500,$K88,Payments!$D$5:$D$2500))</f>
      </c>
      <c r="G88" s="36">
        <f>IF($D88="","",ROUND($D88-IF($F88="",0,$F88),2))</f>
      </c>
      <c r="H88" s="35">
        <f>IF(OR($D88="",$K88=""),"",COUNTIF(Payments!$G$5:$G$2500,$K88))</f>
      </c>
      <c r="I88" s="37">
        <f>IF($D88="","",IF(OR($F88="",$F88=0),"Pending",IF(ROUND($F88-$D88,2)&gt;0,"Overpaid",IF(ROUND($F88-$D88,2)=0,"Paid","Partial"))))</f>
      </c>
      <c r="J88" s="29"/>
      <c r="K88">
        <f>IF($A88="","","#"&amp;TRIM(SUBSTITUTE(SUBSTITUTE(SUBSTITUTE(SUBSTITUTE(SUBSTITUTE(SUBSTITUTE($A88,"-",""),"(",""),")",""),".",""),"+","")," ","")))</f>
      </c>
    </row>
    <row r="89" spans="1:11" x14ac:dyDescent="0.3">
      <c r="A89" s="28"/>
      <c r="B89" s="29"/>
      <c r="C89" s="30"/>
      <c r="D89" s="31"/>
      <c r="E89" s="33">
        <f>IF(OR($D89="",$K89=""),"",IF(COUNTIFS(Payments!$G$5:$G$2500,$K89,Payments!$C$5:$C$2500,"&lt;&gt;")=0,"",_xlfn.MAXIFS(Payments!$C$5:$C$2500,Payments!$G$5:$G$2500,$K89)))</f>
      </c>
      <c r="F89" s="34">
        <f>IF(OR($D89="",$K89=""),"",SUMIF(Payments!$G$5:$G$2500,$K89,Payments!$D$5:$D$2500))</f>
      </c>
      <c r="G89" s="36">
        <f>IF($D89="","",ROUND($D89-IF($F89="",0,$F89),2))</f>
      </c>
      <c r="H89" s="35">
        <f>IF(OR($D89="",$K89=""),"",COUNTIF(Payments!$G$5:$G$2500,$K89))</f>
      </c>
      <c r="I89" s="37">
        <f>IF($D89="","",IF(OR($F89="",$F89=0),"Pending",IF(ROUND($F89-$D89,2)&gt;0,"Overpaid",IF(ROUND($F89-$D89,2)=0,"Paid","Partial"))))</f>
      </c>
      <c r="J89" s="29"/>
      <c r="K89">
        <f>IF($A89="","","#"&amp;TRIM(SUBSTITUTE(SUBSTITUTE(SUBSTITUTE(SUBSTITUTE(SUBSTITUTE(SUBSTITUTE($A89,"-",""),"(",""),")",""),".",""),"+","")," ","")))</f>
      </c>
    </row>
    <row r="90" spans="1:11" x14ac:dyDescent="0.3">
      <c r="A90" s="28"/>
      <c r="B90" s="29"/>
      <c r="C90" s="30"/>
      <c r="D90" s="31"/>
      <c r="E90" s="33">
        <f>IF(OR($D90="",$K90=""),"",IF(COUNTIFS(Payments!$G$5:$G$2500,$K90,Payments!$C$5:$C$2500,"&lt;&gt;")=0,"",_xlfn.MAXIFS(Payments!$C$5:$C$2500,Payments!$G$5:$G$2500,$K90)))</f>
      </c>
      <c r="F90" s="34">
        <f>IF(OR($D90="",$K90=""),"",SUMIF(Payments!$G$5:$G$2500,$K90,Payments!$D$5:$D$2500))</f>
      </c>
      <c r="G90" s="36">
        <f>IF($D90="","",ROUND($D90-IF($F90="",0,$F90),2))</f>
      </c>
      <c r="H90" s="35">
        <f>IF(OR($D90="",$K90=""),"",COUNTIF(Payments!$G$5:$G$2500,$K90))</f>
      </c>
      <c r="I90" s="37">
        <f>IF($D90="","",IF(OR($F90="",$F90=0),"Pending",IF(ROUND($F90-$D90,2)&gt;0,"Overpaid",IF(ROUND($F90-$D90,2)=0,"Paid","Partial"))))</f>
      </c>
      <c r="J90" s="29"/>
      <c r="K90">
        <f>IF($A90="","","#"&amp;TRIM(SUBSTITUTE(SUBSTITUTE(SUBSTITUTE(SUBSTITUTE(SUBSTITUTE(SUBSTITUTE($A90,"-",""),"(",""),")",""),".",""),"+","")," ","")))</f>
      </c>
    </row>
    <row r="91" spans="1:11" x14ac:dyDescent="0.3">
      <c r="A91" s="28"/>
      <c r="B91" s="29"/>
      <c r="C91" s="30"/>
      <c r="D91" s="31"/>
      <c r="E91" s="33">
        <f>IF(OR($D91="",$K91=""),"",IF(COUNTIFS(Payments!$G$5:$G$2500,$K91,Payments!$C$5:$C$2500,"&lt;&gt;")=0,"",_xlfn.MAXIFS(Payments!$C$5:$C$2500,Payments!$G$5:$G$2500,$K91)))</f>
      </c>
      <c r="F91" s="34">
        <f>IF(OR($D91="",$K91=""),"",SUMIF(Payments!$G$5:$G$2500,$K91,Payments!$D$5:$D$2500))</f>
      </c>
      <c r="G91" s="36">
        <f>IF($D91="","",ROUND($D91-IF($F91="",0,$F91),2))</f>
      </c>
      <c r="H91" s="35">
        <f>IF(OR($D91="",$K91=""),"",COUNTIF(Payments!$G$5:$G$2500,$K91))</f>
      </c>
      <c r="I91" s="37">
        <f>IF($D91="","",IF(OR($F91="",$F91=0),"Pending",IF(ROUND($F91-$D91,2)&gt;0,"Overpaid",IF(ROUND($F91-$D91,2)=0,"Paid","Partial"))))</f>
      </c>
      <c r="J91" s="29"/>
      <c r="K91">
        <f>IF($A91="","","#"&amp;TRIM(SUBSTITUTE(SUBSTITUTE(SUBSTITUTE(SUBSTITUTE(SUBSTITUTE(SUBSTITUTE($A91,"-",""),"(",""),")",""),".",""),"+","")," ","")))</f>
      </c>
    </row>
    <row r="92" spans="1:11" x14ac:dyDescent="0.3">
      <c r="A92" s="28"/>
      <c r="B92" s="29"/>
      <c r="C92" s="30"/>
      <c r="D92" s="31"/>
      <c r="E92" s="33">
        <f>IF(OR($D92="",$K92=""),"",IF(COUNTIFS(Payments!$G$5:$G$2500,$K92,Payments!$C$5:$C$2500,"&lt;&gt;")=0,"",_xlfn.MAXIFS(Payments!$C$5:$C$2500,Payments!$G$5:$G$2500,$K92)))</f>
      </c>
      <c r="F92" s="34">
        <f>IF(OR($D92="",$K92=""),"",SUMIF(Payments!$G$5:$G$2500,$K92,Payments!$D$5:$D$2500))</f>
      </c>
      <c r="G92" s="36">
        <f>IF($D92="","",ROUND($D92-IF($F92="",0,$F92),2))</f>
      </c>
      <c r="H92" s="35">
        <f>IF(OR($D92="",$K92=""),"",COUNTIF(Payments!$G$5:$G$2500,$K92))</f>
      </c>
      <c r="I92" s="37">
        <f>IF($D92="","",IF(OR($F92="",$F92=0),"Pending",IF(ROUND($F92-$D92,2)&gt;0,"Overpaid",IF(ROUND($F92-$D92,2)=0,"Paid","Partial"))))</f>
      </c>
      <c r="J92" s="29"/>
      <c r="K92">
        <f>IF($A92="","","#"&amp;TRIM(SUBSTITUTE(SUBSTITUTE(SUBSTITUTE(SUBSTITUTE(SUBSTITUTE(SUBSTITUTE($A92,"-",""),"(",""),")",""),".",""),"+","")," ","")))</f>
      </c>
    </row>
    <row r="93" spans="1:11" x14ac:dyDescent="0.3">
      <c r="A93" s="28"/>
      <c r="B93" s="29"/>
      <c r="C93" s="30"/>
      <c r="D93" s="31"/>
      <c r="E93" s="33">
        <f>IF(OR($D93="",$K93=""),"",IF(COUNTIFS(Payments!$G$5:$G$2500,$K93,Payments!$C$5:$C$2500,"&lt;&gt;")=0,"",_xlfn.MAXIFS(Payments!$C$5:$C$2500,Payments!$G$5:$G$2500,$K93)))</f>
      </c>
      <c r="F93" s="34">
        <f>IF(OR($D93="",$K93=""),"",SUMIF(Payments!$G$5:$G$2500,$K93,Payments!$D$5:$D$2500))</f>
      </c>
      <c r="G93" s="36">
        <f>IF($D93="","",ROUND($D93-IF($F93="",0,$F93),2))</f>
      </c>
      <c r="H93" s="35">
        <f>IF(OR($D93="",$K93=""),"",COUNTIF(Payments!$G$5:$G$2500,$K93))</f>
      </c>
      <c r="I93" s="37">
        <f>IF($D93="","",IF(OR($F93="",$F93=0),"Pending",IF(ROUND($F93-$D93,2)&gt;0,"Overpaid",IF(ROUND($F93-$D93,2)=0,"Paid","Partial"))))</f>
      </c>
      <c r="J93" s="29"/>
      <c r="K93">
        <f>IF($A93="","","#"&amp;TRIM(SUBSTITUTE(SUBSTITUTE(SUBSTITUTE(SUBSTITUTE(SUBSTITUTE(SUBSTITUTE($A93,"-",""),"(",""),")",""),".",""),"+","")," ","")))</f>
      </c>
    </row>
    <row r="94" spans="1:11" x14ac:dyDescent="0.3">
      <c r="A94" s="28"/>
      <c r="B94" s="29"/>
      <c r="C94" s="30"/>
      <c r="D94" s="31"/>
      <c r="E94" s="33">
        <f>IF(OR($D94="",$K94=""),"",IF(COUNTIFS(Payments!$G$5:$G$2500,$K94,Payments!$C$5:$C$2500,"&lt;&gt;")=0,"",_xlfn.MAXIFS(Payments!$C$5:$C$2500,Payments!$G$5:$G$2500,$K94)))</f>
      </c>
      <c r="F94" s="34">
        <f>IF(OR($D94="",$K94=""),"",SUMIF(Payments!$G$5:$G$2500,$K94,Payments!$D$5:$D$2500))</f>
      </c>
      <c r="G94" s="36">
        <f>IF($D94="","",ROUND($D94-IF($F94="",0,$F94),2))</f>
      </c>
      <c r="H94" s="35">
        <f>IF(OR($D94="",$K94=""),"",COUNTIF(Payments!$G$5:$G$2500,$K94))</f>
      </c>
      <c r="I94" s="37">
        <f>IF($D94="","",IF(OR($F94="",$F94=0),"Pending",IF(ROUND($F94-$D94,2)&gt;0,"Overpaid",IF(ROUND($F94-$D94,2)=0,"Paid","Partial"))))</f>
      </c>
      <c r="J94" s="29"/>
      <c r="K94">
        <f>IF($A94="","","#"&amp;TRIM(SUBSTITUTE(SUBSTITUTE(SUBSTITUTE(SUBSTITUTE(SUBSTITUTE(SUBSTITUTE($A94,"-",""),"(",""),")",""),".",""),"+","")," ","")))</f>
      </c>
    </row>
    <row r="95" spans="1:11" x14ac:dyDescent="0.3">
      <c r="A95" s="28"/>
      <c r="B95" s="29"/>
      <c r="C95" s="30"/>
      <c r="D95" s="31"/>
      <c r="E95" s="33">
        <f>IF(OR($D95="",$K95=""),"",IF(COUNTIFS(Payments!$G$5:$G$2500,$K95,Payments!$C$5:$C$2500,"&lt;&gt;")=0,"",_xlfn.MAXIFS(Payments!$C$5:$C$2500,Payments!$G$5:$G$2500,$K95)))</f>
      </c>
      <c r="F95" s="34">
        <f>IF(OR($D95="",$K95=""),"",SUMIF(Payments!$G$5:$G$2500,$K95,Payments!$D$5:$D$2500))</f>
      </c>
      <c r="G95" s="36">
        <f>IF($D95="","",ROUND($D95-IF($F95="",0,$F95),2))</f>
      </c>
      <c r="H95" s="35">
        <f>IF(OR($D95="",$K95=""),"",COUNTIF(Payments!$G$5:$G$2500,$K95))</f>
      </c>
      <c r="I95" s="37">
        <f>IF($D95="","",IF(OR($F95="",$F95=0),"Pending",IF(ROUND($F95-$D95,2)&gt;0,"Overpaid",IF(ROUND($F95-$D95,2)=0,"Paid","Partial"))))</f>
      </c>
      <c r="J95" s="29"/>
      <c r="K95">
        <f>IF($A95="","","#"&amp;TRIM(SUBSTITUTE(SUBSTITUTE(SUBSTITUTE(SUBSTITUTE(SUBSTITUTE(SUBSTITUTE($A95,"-",""),"(",""),")",""),".",""),"+","")," ","")))</f>
      </c>
    </row>
    <row r="96" spans="1:11" x14ac:dyDescent="0.3">
      <c r="A96" s="28"/>
      <c r="B96" s="29"/>
      <c r="C96" s="30"/>
      <c r="D96" s="31"/>
      <c r="E96" s="33">
        <f>IF(OR($D96="",$K96=""),"",IF(COUNTIFS(Payments!$G$5:$G$2500,$K96,Payments!$C$5:$C$2500,"&lt;&gt;")=0,"",_xlfn.MAXIFS(Payments!$C$5:$C$2500,Payments!$G$5:$G$2500,$K96)))</f>
      </c>
      <c r="F96" s="34">
        <f>IF(OR($D96="",$K96=""),"",SUMIF(Payments!$G$5:$G$2500,$K96,Payments!$D$5:$D$2500))</f>
      </c>
      <c r="G96" s="36">
        <f>IF($D96="","",ROUND($D96-IF($F96="",0,$F96),2))</f>
      </c>
      <c r="H96" s="35">
        <f>IF(OR($D96="",$K96=""),"",COUNTIF(Payments!$G$5:$G$2500,$K96))</f>
      </c>
      <c r="I96" s="37">
        <f>IF($D96="","",IF(OR($F96="",$F96=0),"Pending",IF(ROUND($F96-$D96,2)&gt;0,"Overpaid",IF(ROUND($F96-$D96,2)=0,"Paid","Partial"))))</f>
      </c>
      <c r="J96" s="29"/>
      <c r="K96">
        <f>IF($A96="","","#"&amp;TRIM(SUBSTITUTE(SUBSTITUTE(SUBSTITUTE(SUBSTITUTE(SUBSTITUTE(SUBSTITUTE($A96,"-",""),"(",""),")",""),".",""),"+","")," ","")))</f>
      </c>
    </row>
    <row r="97" spans="1:11" x14ac:dyDescent="0.3">
      <c r="A97" s="28"/>
      <c r="B97" s="29"/>
      <c r="C97" s="30"/>
      <c r="D97" s="31"/>
      <c r="E97" s="33">
        <f>IF(OR($D97="",$K97=""),"",IF(COUNTIFS(Payments!$G$5:$G$2500,$K97,Payments!$C$5:$C$2500,"&lt;&gt;")=0,"",_xlfn.MAXIFS(Payments!$C$5:$C$2500,Payments!$G$5:$G$2500,$K97)))</f>
      </c>
      <c r="F97" s="34">
        <f>IF(OR($D97="",$K97=""),"",SUMIF(Payments!$G$5:$G$2500,$K97,Payments!$D$5:$D$2500))</f>
      </c>
      <c r="G97" s="36">
        <f>IF($D97="","",ROUND($D97-IF($F97="",0,$F97),2))</f>
      </c>
      <c r="H97" s="35">
        <f>IF(OR($D97="",$K97=""),"",COUNTIF(Payments!$G$5:$G$2500,$K97))</f>
      </c>
      <c r="I97" s="37">
        <f>IF($D97="","",IF(OR($F97="",$F97=0),"Pending",IF(ROUND($F97-$D97,2)&gt;0,"Overpaid",IF(ROUND($F97-$D97,2)=0,"Paid","Partial"))))</f>
      </c>
      <c r="J97" s="29"/>
      <c r="K97">
        <f>IF($A97="","","#"&amp;TRIM(SUBSTITUTE(SUBSTITUTE(SUBSTITUTE(SUBSTITUTE(SUBSTITUTE(SUBSTITUTE($A97,"-",""),"(",""),")",""),".",""),"+","")," ","")))</f>
      </c>
    </row>
    <row r="98" spans="1:11" x14ac:dyDescent="0.3">
      <c r="A98" s="28"/>
      <c r="B98" s="29"/>
      <c r="C98" s="30"/>
      <c r="D98" s="31"/>
      <c r="E98" s="33">
        <f>IF(OR($D98="",$K98=""),"",IF(COUNTIFS(Payments!$G$5:$G$2500,$K98,Payments!$C$5:$C$2500,"&lt;&gt;")=0,"",_xlfn.MAXIFS(Payments!$C$5:$C$2500,Payments!$G$5:$G$2500,$K98)))</f>
      </c>
      <c r="F98" s="34">
        <f>IF(OR($D98="",$K98=""),"",SUMIF(Payments!$G$5:$G$2500,$K98,Payments!$D$5:$D$2500))</f>
      </c>
      <c r="G98" s="36">
        <f>IF($D98="","",ROUND($D98-IF($F98="",0,$F98),2))</f>
      </c>
      <c r="H98" s="35">
        <f>IF(OR($D98="",$K98=""),"",COUNTIF(Payments!$G$5:$G$2500,$K98))</f>
      </c>
      <c r="I98" s="37">
        <f>IF($D98="","",IF(OR($F98="",$F98=0),"Pending",IF(ROUND($F98-$D98,2)&gt;0,"Overpaid",IF(ROUND($F98-$D98,2)=0,"Paid","Partial"))))</f>
      </c>
      <c r="J98" s="29"/>
      <c r="K98">
        <f>IF($A98="","","#"&amp;TRIM(SUBSTITUTE(SUBSTITUTE(SUBSTITUTE(SUBSTITUTE(SUBSTITUTE(SUBSTITUTE($A98,"-",""),"(",""),")",""),".",""),"+","")," ","")))</f>
      </c>
    </row>
    <row r="99" spans="1:11" x14ac:dyDescent="0.3">
      <c r="A99" s="28"/>
      <c r="B99" s="29"/>
      <c r="C99" s="30"/>
      <c r="D99" s="31"/>
      <c r="E99" s="33">
        <f>IF(OR($D99="",$K99=""),"",IF(COUNTIFS(Payments!$G$5:$G$2500,$K99,Payments!$C$5:$C$2500,"&lt;&gt;")=0,"",_xlfn.MAXIFS(Payments!$C$5:$C$2500,Payments!$G$5:$G$2500,$K99)))</f>
      </c>
      <c r="F99" s="34">
        <f>IF(OR($D99="",$K99=""),"",SUMIF(Payments!$G$5:$G$2500,$K99,Payments!$D$5:$D$2500))</f>
      </c>
      <c r="G99" s="36">
        <f>IF($D99="","",ROUND($D99-IF($F99="",0,$F99),2))</f>
      </c>
      <c r="H99" s="35">
        <f>IF(OR($D99="",$K99=""),"",COUNTIF(Payments!$G$5:$G$2500,$K99))</f>
      </c>
      <c r="I99" s="37">
        <f>IF($D99="","",IF(OR($F99="",$F99=0),"Pending",IF(ROUND($F99-$D99,2)&gt;0,"Overpaid",IF(ROUND($F99-$D99,2)=0,"Paid","Partial"))))</f>
      </c>
      <c r="J99" s="29"/>
      <c r="K99">
        <f>IF($A99="","","#"&amp;TRIM(SUBSTITUTE(SUBSTITUTE(SUBSTITUTE(SUBSTITUTE(SUBSTITUTE(SUBSTITUTE($A99,"-",""),"(",""),")",""),".",""),"+","")," ","")))</f>
      </c>
    </row>
    <row r="100" spans="1:11" x14ac:dyDescent="0.3">
      <c r="A100" s="28"/>
      <c r="B100" s="29"/>
      <c r="C100" s="30"/>
      <c r="D100" s="31"/>
      <c r="E100" s="33">
        <f>IF(OR($D100="",$K100=""),"",IF(COUNTIFS(Payments!$G$5:$G$2500,$K100,Payments!$C$5:$C$2500,"&lt;&gt;")=0,"",_xlfn.MAXIFS(Payments!$C$5:$C$2500,Payments!$G$5:$G$2500,$K100)))</f>
      </c>
      <c r="F100" s="34">
        <f>IF(OR($D100="",$K100=""),"",SUMIF(Payments!$G$5:$G$2500,$K100,Payments!$D$5:$D$2500))</f>
      </c>
      <c r="G100" s="36">
        <f>IF($D100="","",ROUND($D100-IF($F100="",0,$F100),2))</f>
      </c>
      <c r="H100" s="35">
        <f>IF(OR($D100="",$K100=""),"",COUNTIF(Payments!$G$5:$G$2500,$K100))</f>
      </c>
      <c r="I100" s="37">
        <f>IF($D100="","",IF(OR($F100="",$F100=0),"Pending",IF(ROUND($F100-$D100,2)&gt;0,"Overpaid",IF(ROUND($F100-$D100,2)=0,"Paid","Partial"))))</f>
      </c>
      <c r="J100" s="29"/>
      <c r="K100">
        <f>IF($A100="","","#"&amp;TRIM(SUBSTITUTE(SUBSTITUTE(SUBSTITUTE(SUBSTITUTE(SUBSTITUTE(SUBSTITUTE($A100,"-",""),"(",""),")",""),".",""),"+","")," ","")))</f>
      </c>
    </row>
    <row r="101" spans="1:11" x14ac:dyDescent="0.3">
      <c r="A101" s="28"/>
      <c r="B101" s="29"/>
      <c r="C101" s="30"/>
      <c r="D101" s="31"/>
      <c r="E101" s="33">
        <f>IF(OR($D101="",$K101=""),"",IF(COUNTIFS(Payments!$G$5:$G$2500,$K101,Payments!$C$5:$C$2500,"&lt;&gt;")=0,"",_xlfn.MAXIFS(Payments!$C$5:$C$2500,Payments!$G$5:$G$2500,$K101)))</f>
      </c>
      <c r="F101" s="34">
        <f>IF(OR($D101="",$K101=""),"",SUMIF(Payments!$G$5:$G$2500,$K101,Payments!$D$5:$D$2500))</f>
      </c>
      <c r="G101" s="36">
        <f>IF($D101="","",ROUND($D101-IF($F101="",0,$F101),2))</f>
      </c>
      <c r="H101" s="35">
        <f>IF(OR($D101="",$K101=""),"",COUNTIF(Payments!$G$5:$G$2500,$K101))</f>
      </c>
      <c r="I101" s="37">
        <f>IF($D101="","",IF(OR($F101="",$F101=0),"Pending",IF(ROUND($F101-$D101,2)&gt;0,"Overpaid",IF(ROUND($F101-$D101,2)=0,"Paid","Partial"))))</f>
      </c>
      <c r="J101" s="29"/>
      <c r="K101">
        <f>IF($A101="","","#"&amp;TRIM(SUBSTITUTE(SUBSTITUTE(SUBSTITUTE(SUBSTITUTE(SUBSTITUTE(SUBSTITUTE($A101,"-",""),"(",""),")",""),".",""),"+","")," ","")))</f>
      </c>
    </row>
    <row r="102" spans="1:11" x14ac:dyDescent="0.3">
      <c r="A102" s="28"/>
      <c r="B102" s="29"/>
      <c r="C102" s="30"/>
      <c r="D102" s="31"/>
      <c r="E102" s="33">
        <f>IF(OR($D102="",$K102=""),"",IF(COUNTIFS(Payments!$G$5:$G$2500,$K102,Payments!$C$5:$C$2500,"&lt;&gt;")=0,"",_xlfn.MAXIFS(Payments!$C$5:$C$2500,Payments!$G$5:$G$2500,$K102)))</f>
      </c>
      <c r="F102" s="34">
        <f>IF(OR($D102="",$K102=""),"",SUMIF(Payments!$G$5:$G$2500,$K102,Payments!$D$5:$D$2500))</f>
      </c>
      <c r="G102" s="36">
        <f>IF($D102="","",ROUND($D102-IF($F102="",0,$F102),2))</f>
      </c>
      <c r="H102" s="35">
        <f>IF(OR($D102="",$K102=""),"",COUNTIF(Payments!$G$5:$G$2500,$K102))</f>
      </c>
      <c r="I102" s="37">
        <f>IF($D102="","",IF(OR($F102="",$F102=0),"Pending",IF(ROUND($F102-$D102,2)&gt;0,"Overpaid",IF(ROUND($F102-$D102,2)=0,"Paid","Partial"))))</f>
      </c>
      <c r="J102" s="29"/>
      <c r="K102">
        <f>IF($A102="","","#"&amp;TRIM(SUBSTITUTE(SUBSTITUTE(SUBSTITUTE(SUBSTITUTE(SUBSTITUTE(SUBSTITUTE($A102,"-",""),"(",""),")",""),".",""),"+","")," ","")))</f>
      </c>
    </row>
    <row r="103" spans="1:11" x14ac:dyDescent="0.3">
      <c r="A103" s="28"/>
      <c r="B103" s="29"/>
      <c r="C103" s="30"/>
      <c r="D103" s="31"/>
      <c r="E103" s="33">
        <f>IF(OR($D103="",$K103=""),"",IF(COUNTIFS(Payments!$G$5:$G$2500,$K103,Payments!$C$5:$C$2500,"&lt;&gt;")=0,"",_xlfn.MAXIFS(Payments!$C$5:$C$2500,Payments!$G$5:$G$2500,$K103)))</f>
      </c>
      <c r="F103" s="34">
        <f>IF(OR($D103="",$K103=""),"",SUMIF(Payments!$G$5:$G$2500,$K103,Payments!$D$5:$D$2500))</f>
      </c>
      <c r="G103" s="36">
        <f>IF($D103="","",ROUND($D103-IF($F103="",0,$F103),2))</f>
      </c>
      <c r="H103" s="35">
        <f>IF(OR($D103="",$K103=""),"",COUNTIF(Payments!$G$5:$G$2500,$K103))</f>
      </c>
      <c r="I103" s="37">
        <f>IF($D103="","",IF(OR($F103="",$F103=0),"Pending",IF(ROUND($F103-$D103,2)&gt;0,"Overpaid",IF(ROUND($F103-$D103,2)=0,"Paid","Partial"))))</f>
      </c>
      <c r="J103" s="29"/>
      <c r="K103">
        <f>IF($A103="","","#"&amp;TRIM(SUBSTITUTE(SUBSTITUTE(SUBSTITUTE(SUBSTITUTE(SUBSTITUTE(SUBSTITUTE($A103,"-",""),"(",""),")",""),".",""),"+","")," ","")))</f>
      </c>
    </row>
    <row r="104" spans="1:11" x14ac:dyDescent="0.3">
      <c r="A104" s="28"/>
      <c r="B104" s="29"/>
      <c r="C104" s="30"/>
      <c r="D104" s="31"/>
      <c r="E104" s="33">
        <f>IF(OR($D104="",$K104=""),"",IF(COUNTIFS(Payments!$G$5:$G$2500,$K104,Payments!$C$5:$C$2500,"&lt;&gt;")=0,"",_xlfn.MAXIFS(Payments!$C$5:$C$2500,Payments!$G$5:$G$2500,$K104)))</f>
      </c>
      <c r="F104" s="34">
        <f>IF(OR($D104="",$K104=""),"",SUMIF(Payments!$G$5:$G$2500,$K104,Payments!$D$5:$D$2500))</f>
      </c>
      <c r="G104" s="36">
        <f>IF($D104="","",ROUND($D104-IF($F104="",0,$F104),2))</f>
      </c>
      <c r="H104" s="35">
        <f>IF(OR($D104="",$K104=""),"",COUNTIF(Payments!$G$5:$G$2500,$K104))</f>
      </c>
      <c r="I104" s="37">
        <f>IF($D104="","",IF(OR($F104="",$F104=0),"Pending",IF(ROUND($F104-$D104,2)&gt;0,"Overpaid",IF(ROUND($F104-$D104,2)=0,"Paid","Partial"))))</f>
      </c>
      <c r="J104" s="29"/>
      <c r="K104">
        <f>IF($A104="","","#"&amp;TRIM(SUBSTITUTE(SUBSTITUTE(SUBSTITUTE(SUBSTITUTE(SUBSTITUTE(SUBSTITUTE($A104,"-",""),"(",""),")",""),".",""),"+","")," ","")))</f>
      </c>
    </row>
    <row r="105" spans="1:11" x14ac:dyDescent="0.3">
      <c r="A105" s="28"/>
      <c r="B105" s="29"/>
      <c r="C105" s="30"/>
      <c r="D105" s="31"/>
      <c r="E105" s="33">
        <f>IF(OR($D105="",$K105=""),"",IF(COUNTIFS(Payments!$G$5:$G$2500,$K105,Payments!$C$5:$C$2500,"&lt;&gt;")=0,"",_xlfn.MAXIFS(Payments!$C$5:$C$2500,Payments!$G$5:$G$2500,$K105)))</f>
      </c>
      <c r="F105" s="34">
        <f>IF(OR($D105="",$K105=""),"",SUMIF(Payments!$G$5:$G$2500,$K105,Payments!$D$5:$D$2500))</f>
      </c>
      <c r="G105" s="36">
        <f>IF($D105="","",ROUND($D105-IF($F105="",0,$F105),2))</f>
      </c>
      <c r="H105" s="35">
        <f>IF(OR($D105="",$K105=""),"",COUNTIF(Payments!$G$5:$G$2500,$K105))</f>
      </c>
      <c r="I105" s="37">
        <f>IF($D105="","",IF(OR($F105="",$F105=0),"Pending",IF(ROUND($F105-$D105,2)&gt;0,"Overpaid",IF(ROUND($F105-$D105,2)=0,"Paid","Partial"))))</f>
      </c>
      <c r="J105" s="29"/>
      <c r="K105">
        <f>IF($A105="","","#"&amp;TRIM(SUBSTITUTE(SUBSTITUTE(SUBSTITUTE(SUBSTITUTE(SUBSTITUTE(SUBSTITUTE($A105,"-",""),"(",""),")",""),".",""),"+","")," ","")))</f>
      </c>
    </row>
    <row r="106" spans="1:11" x14ac:dyDescent="0.3">
      <c r="A106" s="28"/>
      <c r="B106" s="29"/>
      <c r="C106" s="30"/>
      <c r="D106" s="31"/>
      <c r="E106" s="33">
        <f>IF(OR($D106="",$K106=""),"",IF(COUNTIFS(Payments!$G$5:$G$2500,$K106,Payments!$C$5:$C$2500,"&lt;&gt;")=0,"",_xlfn.MAXIFS(Payments!$C$5:$C$2500,Payments!$G$5:$G$2500,$K106)))</f>
      </c>
      <c r="F106" s="34">
        <f>IF(OR($D106="",$K106=""),"",SUMIF(Payments!$G$5:$G$2500,$K106,Payments!$D$5:$D$2500))</f>
      </c>
      <c r="G106" s="36">
        <f>IF($D106="","",ROUND($D106-IF($F106="",0,$F106),2))</f>
      </c>
      <c r="H106" s="35">
        <f>IF(OR($D106="",$K106=""),"",COUNTIF(Payments!$G$5:$G$2500,$K106))</f>
      </c>
      <c r="I106" s="37">
        <f>IF($D106="","",IF(OR($F106="",$F106=0),"Pending",IF(ROUND($F106-$D106,2)&gt;0,"Overpaid",IF(ROUND($F106-$D106,2)=0,"Paid","Partial"))))</f>
      </c>
      <c r="J106" s="29"/>
      <c r="K106">
        <f>IF($A106="","","#"&amp;TRIM(SUBSTITUTE(SUBSTITUTE(SUBSTITUTE(SUBSTITUTE(SUBSTITUTE(SUBSTITUTE($A106,"-",""),"(",""),")",""),".",""),"+","")," ","")))</f>
      </c>
    </row>
    <row r="107" spans="1:11" x14ac:dyDescent="0.3">
      <c r="A107" s="28"/>
      <c r="B107" s="29"/>
      <c r="C107" s="30"/>
      <c r="D107" s="31"/>
      <c r="E107" s="33">
        <f>IF(OR($D107="",$K107=""),"",IF(COUNTIFS(Payments!$G$5:$G$2500,$K107,Payments!$C$5:$C$2500,"&lt;&gt;")=0,"",_xlfn.MAXIFS(Payments!$C$5:$C$2500,Payments!$G$5:$G$2500,$K107)))</f>
      </c>
      <c r="F107" s="34">
        <f>IF(OR($D107="",$K107=""),"",SUMIF(Payments!$G$5:$G$2500,$K107,Payments!$D$5:$D$2500))</f>
      </c>
      <c r="G107" s="36">
        <f>IF($D107="","",ROUND($D107-IF($F107="",0,$F107),2))</f>
      </c>
      <c r="H107" s="35">
        <f>IF(OR($D107="",$K107=""),"",COUNTIF(Payments!$G$5:$G$2500,$K107))</f>
      </c>
      <c r="I107" s="37">
        <f>IF($D107="","",IF(OR($F107="",$F107=0),"Pending",IF(ROUND($F107-$D107,2)&gt;0,"Overpaid",IF(ROUND($F107-$D107,2)=0,"Paid","Partial"))))</f>
      </c>
      <c r="J107" s="29"/>
      <c r="K107">
        <f>IF($A107="","","#"&amp;TRIM(SUBSTITUTE(SUBSTITUTE(SUBSTITUTE(SUBSTITUTE(SUBSTITUTE(SUBSTITUTE($A107,"-",""),"(",""),")",""),".",""),"+","")," ","")))</f>
      </c>
    </row>
    <row r="108" spans="1:11" x14ac:dyDescent="0.3">
      <c r="A108" s="28"/>
      <c r="B108" s="29"/>
      <c r="C108" s="30"/>
      <c r="D108" s="31"/>
      <c r="E108" s="33">
        <f>IF(OR($D108="",$K108=""),"",IF(COUNTIFS(Payments!$G$5:$G$2500,$K108,Payments!$C$5:$C$2500,"&lt;&gt;")=0,"",_xlfn.MAXIFS(Payments!$C$5:$C$2500,Payments!$G$5:$G$2500,$K108)))</f>
      </c>
      <c r="F108" s="34">
        <f>IF(OR($D108="",$K108=""),"",SUMIF(Payments!$G$5:$G$2500,$K108,Payments!$D$5:$D$2500))</f>
      </c>
      <c r="G108" s="36">
        <f>IF($D108="","",ROUND($D108-IF($F108="",0,$F108),2))</f>
      </c>
      <c r="H108" s="35">
        <f>IF(OR($D108="",$K108=""),"",COUNTIF(Payments!$G$5:$G$2500,$K108))</f>
      </c>
      <c r="I108" s="37">
        <f>IF($D108="","",IF(OR($F108="",$F108=0),"Pending",IF(ROUND($F108-$D108,2)&gt;0,"Overpaid",IF(ROUND($F108-$D108,2)=0,"Paid","Partial"))))</f>
      </c>
      <c r="J108" s="29"/>
      <c r="K108">
        <f>IF($A108="","","#"&amp;TRIM(SUBSTITUTE(SUBSTITUTE(SUBSTITUTE(SUBSTITUTE(SUBSTITUTE(SUBSTITUTE($A108,"-",""),"(",""),")",""),".",""),"+","")," ","")))</f>
      </c>
    </row>
    <row r="109" spans="1:11" x14ac:dyDescent="0.3">
      <c r="A109" s="28"/>
      <c r="B109" s="29"/>
      <c r="C109" s="30"/>
      <c r="D109" s="31"/>
      <c r="E109" s="33">
        <f>IF(OR($D109="",$K109=""),"",IF(COUNTIFS(Payments!$G$5:$G$2500,$K109,Payments!$C$5:$C$2500,"&lt;&gt;")=0,"",_xlfn.MAXIFS(Payments!$C$5:$C$2500,Payments!$G$5:$G$2500,$K109)))</f>
      </c>
      <c r="F109" s="34">
        <f>IF(OR($D109="",$K109=""),"",SUMIF(Payments!$G$5:$G$2500,$K109,Payments!$D$5:$D$2500))</f>
      </c>
      <c r="G109" s="36">
        <f>IF($D109="","",ROUND($D109-IF($F109="",0,$F109),2))</f>
      </c>
      <c r="H109" s="35">
        <f>IF(OR($D109="",$K109=""),"",COUNTIF(Payments!$G$5:$G$2500,$K109))</f>
      </c>
      <c r="I109" s="37">
        <f>IF($D109="","",IF(OR($F109="",$F109=0),"Pending",IF(ROUND($F109-$D109,2)&gt;0,"Overpaid",IF(ROUND($F109-$D109,2)=0,"Paid","Partial"))))</f>
      </c>
      <c r="J109" s="29"/>
      <c r="K109">
        <f>IF($A109="","","#"&amp;TRIM(SUBSTITUTE(SUBSTITUTE(SUBSTITUTE(SUBSTITUTE(SUBSTITUTE(SUBSTITUTE($A109,"-",""),"(",""),")",""),".",""),"+","")," ","")))</f>
      </c>
    </row>
    <row r="110" spans="1:11" x14ac:dyDescent="0.3">
      <c r="A110" s="28"/>
      <c r="B110" s="29"/>
      <c r="C110" s="30"/>
      <c r="D110" s="31"/>
      <c r="E110" s="33">
        <f>IF(OR($D110="",$K110=""),"",IF(COUNTIFS(Payments!$G$5:$G$2500,$K110,Payments!$C$5:$C$2500,"&lt;&gt;")=0,"",_xlfn.MAXIFS(Payments!$C$5:$C$2500,Payments!$G$5:$G$2500,$K110)))</f>
      </c>
      <c r="F110" s="34">
        <f>IF(OR($D110="",$K110=""),"",SUMIF(Payments!$G$5:$G$2500,$K110,Payments!$D$5:$D$2500))</f>
      </c>
      <c r="G110" s="36">
        <f>IF($D110="","",ROUND($D110-IF($F110="",0,$F110),2))</f>
      </c>
      <c r="H110" s="35">
        <f>IF(OR($D110="",$K110=""),"",COUNTIF(Payments!$G$5:$G$2500,$K110))</f>
      </c>
      <c r="I110" s="37">
        <f>IF($D110="","",IF(OR($F110="",$F110=0),"Pending",IF(ROUND($F110-$D110,2)&gt;0,"Overpaid",IF(ROUND($F110-$D110,2)=0,"Paid","Partial"))))</f>
      </c>
      <c r="J110" s="29"/>
      <c r="K110">
        <f>IF($A110="","","#"&amp;TRIM(SUBSTITUTE(SUBSTITUTE(SUBSTITUTE(SUBSTITUTE(SUBSTITUTE(SUBSTITUTE($A110,"-",""),"(",""),")",""),".",""),"+","")," ","")))</f>
      </c>
    </row>
    <row r="111" spans="1:11" x14ac:dyDescent="0.3">
      <c r="A111" s="28"/>
      <c r="B111" s="29"/>
      <c r="C111" s="30"/>
      <c r="D111" s="31"/>
      <c r="E111" s="33">
        <f>IF(OR($D111="",$K111=""),"",IF(COUNTIFS(Payments!$G$5:$G$2500,$K111,Payments!$C$5:$C$2500,"&lt;&gt;")=0,"",_xlfn.MAXIFS(Payments!$C$5:$C$2500,Payments!$G$5:$G$2500,$K111)))</f>
      </c>
      <c r="F111" s="34">
        <f>IF(OR($D111="",$K111=""),"",SUMIF(Payments!$G$5:$G$2500,$K111,Payments!$D$5:$D$2500))</f>
      </c>
      <c r="G111" s="36">
        <f>IF($D111="","",ROUND($D111-IF($F111="",0,$F111),2))</f>
      </c>
      <c r="H111" s="35">
        <f>IF(OR($D111="",$K111=""),"",COUNTIF(Payments!$G$5:$G$2500,$K111))</f>
      </c>
      <c r="I111" s="37">
        <f>IF($D111="","",IF(OR($F111="",$F111=0),"Pending",IF(ROUND($F111-$D111,2)&gt;0,"Overpaid",IF(ROUND($F111-$D111,2)=0,"Paid","Partial"))))</f>
      </c>
      <c r="J111" s="29"/>
      <c r="K111">
        <f>IF($A111="","","#"&amp;TRIM(SUBSTITUTE(SUBSTITUTE(SUBSTITUTE(SUBSTITUTE(SUBSTITUTE(SUBSTITUTE($A111,"-",""),"(",""),")",""),".",""),"+","")," ","")))</f>
      </c>
    </row>
    <row r="112" spans="1:11" x14ac:dyDescent="0.3">
      <c r="A112" s="28"/>
      <c r="B112" s="29"/>
      <c r="C112" s="30"/>
      <c r="D112" s="31"/>
      <c r="E112" s="33">
        <f>IF(OR($D112="",$K112=""),"",IF(COUNTIFS(Payments!$G$5:$G$2500,$K112,Payments!$C$5:$C$2500,"&lt;&gt;")=0,"",_xlfn.MAXIFS(Payments!$C$5:$C$2500,Payments!$G$5:$G$2500,$K112)))</f>
      </c>
      <c r="F112" s="34">
        <f>IF(OR($D112="",$K112=""),"",SUMIF(Payments!$G$5:$G$2500,$K112,Payments!$D$5:$D$2500))</f>
      </c>
      <c r="G112" s="36">
        <f>IF($D112="","",ROUND($D112-IF($F112="",0,$F112),2))</f>
      </c>
      <c r="H112" s="35">
        <f>IF(OR($D112="",$K112=""),"",COUNTIF(Payments!$G$5:$G$2500,$K112))</f>
      </c>
      <c r="I112" s="37">
        <f>IF($D112="","",IF(OR($F112="",$F112=0),"Pending",IF(ROUND($F112-$D112,2)&gt;0,"Overpaid",IF(ROUND($F112-$D112,2)=0,"Paid","Partial"))))</f>
      </c>
      <c r="J112" s="29"/>
      <c r="K112">
        <f>IF($A112="","","#"&amp;TRIM(SUBSTITUTE(SUBSTITUTE(SUBSTITUTE(SUBSTITUTE(SUBSTITUTE(SUBSTITUTE($A112,"-",""),"(",""),")",""),".",""),"+","")," ","")))</f>
      </c>
    </row>
    <row r="113" spans="1:11" x14ac:dyDescent="0.3">
      <c r="A113" s="28"/>
      <c r="B113" s="29"/>
      <c r="C113" s="30"/>
      <c r="D113" s="31"/>
      <c r="E113" s="33">
        <f>IF(OR($D113="",$K113=""),"",IF(COUNTIFS(Payments!$G$5:$G$2500,$K113,Payments!$C$5:$C$2500,"&lt;&gt;")=0,"",_xlfn.MAXIFS(Payments!$C$5:$C$2500,Payments!$G$5:$G$2500,$K113)))</f>
      </c>
      <c r="F113" s="34">
        <f>IF(OR($D113="",$K113=""),"",SUMIF(Payments!$G$5:$G$2500,$K113,Payments!$D$5:$D$2500))</f>
      </c>
      <c r="G113" s="36">
        <f>IF($D113="","",ROUND($D113-IF($F113="",0,$F113),2))</f>
      </c>
      <c r="H113" s="35">
        <f>IF(OR($D113="",$K113=""),"",COUNTIF(Payments!$G$5:$G$2500,$K113))</f>
      </c>
      <c r="I113" s="37">
        <f>IF($D113="","",IF(OR($F113="",$F113=0),"Pending",IF(ROUND($F113-$D113,2)&gt;0,"Overpaid",IF(ROUND($F113-$D113,2)=0,"Paid","Partial"))))</f>
      </c>
      <c r="J113" s="29"/>
      <c r="K113">
        <f>IF($A113="","","#"&amp;TRIM(SUBSTITUTE(SUBSTITUTE(SUBSTITUTE(SUBSTITUTE(SUBSTITUTE(SUBSTITUTE($A113,"-",""),"(",""),")",""),".",""),"+","")," ","")))</f>
      </c>
    </row>
    <row r="114" spans="1:11" x14ac:dyDescent="0.3">
      <c r="A114" s="28"/>
      <c r="B114" s="29"/>
      <c r="C114" s="30"/>
      <c r="D114" s="31"/>
      <c r="E114" s="33">
        <f>IF(OR($D114="",$K114=""),"",IF(COUNTIFS(Payments!$G$5:$G$2500,$K114,Payments!$C$5:$C$2500,"&lt;&gt;")=0,"",_xlfn.MAXIFS(Payments!$C$5:$C$2500,Payments!$G$5:$G$2500,$K114)))</f>
      </c>
      <c r="F114" s="34">
        <f>IF(OR($D114="",$K114=""),"",SUMIF(Payments!$G$5:$G$2500,$K114,Payments!$D$5:$D$2500))</f>
      </c>
      <c r="G114" s="36">
        <f>IF($D114="","",ROUND($D114-IF($F114="",0,$F114),2))</f>
      </c>
      <c r="H114" s="35">
        <f>IF(OR($D114="",$K114=""),"",COUNTIF(Payments!$G$5:$G$2500,$K114))</f>
      </c>
      <c r="I114" s="37">
        <f>IF($D114="","",IF(OR($F114="",$F114=0),"Pending",IF(ROUND($F114-$D114,2)&gt;0,"Overpaid",IF(ROUND($F114-$D114,2)=0,"Paid","Partial"))))</f>
      </c>
      <c r="J114" s="29"/>
      <c r="K114">
        <f>IF($A114="","","#"&amp;TRIM(SUBSTITUTE(SUBSTITUTE(SUBSTITUTE(SUBSTITUTE(SUBSTITUTE(SUBSTITUTE($A114,"-",""),"(",""),")",""),".",""),"+","")," ","")))</f>
      </c>
    </row>
    <row r="115" spans="1:11" x14ac:dyDescent="0.3">
      <c r="A115" s="28"/>
      <c r="B115" s="29"/>
      <c r="C115" s="30"/>
      <c r="D115" s="31"/>
      <c r="E115" s="33">
        <f>IF(OR($D115="",$K115=""),"",IF(COUNTIFS(Payments!$G$5:$G$2500,$K115,Payments!$C$5:$C$2500,"&lt;&gt;")=0,"",_xlfn.MAXIFS(Payments!$C$5:$C$2500,Payments!$G$5:$G$2500,$K115)))</f>
      </c>
      <c r="F115" s="34">
        <f>IF(OR($D115="",$K115=""),"",SUMIF(Payments!$G$5:$G$2500,$K115,Payments!$D$5:$D$2500))</f>
      </c>
      <c r="G115" s="36">
        <f>IF($D115="","",ROUND($D115-IF($F115="",0,$F115),2))</f>
      </c>
      <c r="H115" s="35">
        <f>IF(OR($D115="",$K115=""),"",COUNTIF(Payments!$G$5:$G$2500,$K115))</f>
      </c>
      <c r="I115" s="37">
        <f>IF($D115="","",IF(OR($F115="",$F115=0),"Pending",IF(ROUND($F115-$D115,2)&gt;0,"Overpaid",IF(ROUND($F115-$D115,2)=0,"Paid","Partial"))))</f>
      </c>
      <c r="J115" s="29"/>
      <c r="K115">
        <f>IF($A115="","","#"&amp;TRIM(SUBSTITUTE(SUBSTITUTE(SUBSTITUTE(SUBSTITUTE(SUBSTITUTE(SUBSTITUTE($A115,"-",""),"(",""),")",""),".",""),"+","")," ","")))</f>
      </c>
    </row>
    <row r="116" spans="1:11" x14ac:dyDescent="0.3">
      <c r="A116" s="28"/>
      <c r="B116" s="29"/>
      <c r="C116" s="30"/>
      <c r="D116" s="31"/>
      <c r="E116" s="33">
        <f>IF(OR($D116="",$K116=""),"",IF(COUNTIFS(Payments!$G$5:$G$2500,$K116,Payments!$C$5:$C$2500,"&lt;&gt;")=0,"",_xlfn.MAXIFS(Payments!$C$5:$C$2500,Payments!$G$5:$G$2500,$K116)))</f>
      </c>
      <c r="F116" s="34">
        <f>IF(OR($D116="",$K116=""),"",SUMIF(Payments!$G$5:$G$2500,$K116,Payments!$D$5:$D$2500))</f>
      </c>
      <c r="G116" s="36">
        <f>IF($D116="","",ROUND($D116-IF($F116="",0,$F116),2))</f>
      </c>
      <c r="H116" s="35">
        <f>IF(OR($D116="",$K116=""),"",COUNTIF(Payments!$G$5:$G$2500,$K116))</f>
      </c>
      <c r="I116" s="37">
        <f>IF($D116="","",IF(OR($F116="",$F116=0),"Pending",IF(ROUND($F116-$D116,2)&gt;0,"Overpaid",IF(ROUND($F116-$D116,2)=0,"Paid","Partial"))))</f>
      </c>
      <c r="J116" s="29"/>
      <c r="K116">
        <f>IF($A116="","","#"&amp;TRIM(SUBSTITUTE(SUBSTITUTE(SUBSTITUTE(SUBSTITUTE(SUBSTITUTE(SUBSTITUTE($A116,"-",""),"(",""),")",""),".",""),"+","")," ","")))</f>
      </c>
    </row>
    <row r="117" spans="1:11" x14ac:dyDescent="0.3">
      <c r="A117" s="28"/>
      <c r="B117" s="29"/>
      <c r="C117" s="30"/>
      <c r="D117" s="31"/>
      <c r="E117" s="33">
        <f>IF(OR($D117="",$K117=""),"",IF(COUNTIFS(Payments!$G$5:$G$2500,$K117,Payments!$C$5:$C$2500,"&lt;&gt;")=0,"",_xlfn.MAXIFS(Payments!$C$5:$C$2500,Payments!$G$5:$G$2500,$K117)))</f>
      </c>
      <c r="F117" s="34">
        <f>IF(OR($D117="",$K117=""),"",SUMIF(Payments!$G$5:$G$2500,$K117,Payments!$D$5:$D$2500))</f>
      </c>
      <c r="G117" s="36">
        <f>IF($D117="","",ROUND($D117-IF($F117="",0,$F117),2))</f>
      </c>
      <c r="H117" s="35">
        <f>IF(OR($D117="",$K117=""),"",COUNTIF(Payments!$G$5:$G$2500,$K117))</f>
      </c>
      <c r="I117" s="37">
        <f>IF($D117="","",IF(OR($F117="",$F117=0),"Pending",IF(ROUND($F117-$D117,2)&gt;0,"Overpaid",IF(ROUND($F117-$D117,2)=0,"Paid","Partial"))))</f>
      </c>
      <c r="J117" s="29"/>
      <c r="K117">
        <f>IF($A117="","","#"&amp;TRIM(SUBSTITUTE(SUBSTITUTE(SUBSTITUTE(SUBSTITUTE(SUBSTITUTE(SUBSTITUTE($A117,"-",""),"(",""),")",""),".",""),"+","")," ","")))</f>
      </c>
    </row>
    <row r="118" spans="1:11" x14ac:dyDescent="0.3">
      <c r="A118" s="28"/>
      <c r="B118" s="29"/>
      <c r="C118" s="30"/>
      <c r="D118" s="31"/>
      <c r="E118" s="33">
        <f>IF(OR($D118="",$K118=""),"",IF(COUNTIFS(Payments!$G$5:$G$2500,$K118,Payments!$C$5:$C$2500,"&lt;&gt;")=0,"",_xlfn.MAXIFS(Payments!$C$5:$C$2500,Payments!$G$5:$G$2500,$K118)))</f>
      </c>
      <c r="F118" s="34">
        <f>IF(OR($D118="",$K118=""),"",SUMIF(Payments!$G$5:$G$2500,$K118,Payments!$D$5:$D$2500))</f>
      </c>
      <c r="G118" s="36">
        <f>IF($D118="","",ROUND($D118-IF($F118="",0,$F118),2))</f>
      </c>
      <c r="H118" s="35">
        <f>IF(OR($D118="",$K118=""),"",COUNTIF(Payments!$G$5:$G$2500,$K118))</f>
      </c>
      <c r="I118" s="37">
        <f>IF($D118="","",IF(OR($F118="",$F118=0),"Pending",IF(ROUND($F118-$D118,2)&gt;0,"Overpaid",IF(ROUND($F118-$D118,2)=0,"Paid","Partial"))))</f>
      </c>
      <c r="J118" s="29"/>
      <c r="K118">
        <f>IF($A118="","","#"&amp;TRIM(SUBSTITUTE(SUBSTITUTE(SUBSTITUTE(SUBSTITUTE(SUBSTITUTE(SUBSTITUTE($A118,"-",""),"(",""),")",""),".",""),"+","")," ","")))</f>
      </c>
    </row>
    <row r="119" spans="1:11" x14ac:dyDescent="0.3">
      <c r="A119" s="28"/>
      <c r="B119" s="29"/>
      <c r="C119" s="30"/>
      <c r="D119" s="31"/>
      <c r="E119" s="33">
        <f>IF(OR($D119="",$K119=""),"",IF(COUNTIFS(Payments!$G$5:$G$2500,$K119,Payments!$C$5:$C$2500,"&lt;&gt;")=0,"",_xlfn.MAXIFS(Payments!$C$5:$C$2500,Payments!$G$5:$G$2500,$K119)))</f>
      </c>
      <c r="F119" s="34">
        <f>IF(OR($D119="",$K119=""),"",SUMIF(Payments!$G$5:$G$2500,$K119,Payments!$D$5:$D$2500))</f>
      </c>
      <c r="G119" s="36">
        <f>IF($D119="","",ROUND($D119-IF($F119="",0,$F119),2))</f>
      </c>
      <c r="H119" s="35">
        <f>IF(OR($D119="",$K119=""),"",COUNTIF(Payments!$G$5:$G$2500,$K119))</f>
      </c>
      <c r="I119" s="37">
        <f>IF($D119="","",IF(OR($F119="",$F119=0),"Pending",IF(ROUND($F119-$D119,2)&gt;0,"Overpaid",IF(ROUND($F119-$D119,2)=0,"Paid","Partial"))))</f>
      </c>
      <c r="J119" s="29"/>
      <c r="K119">
        <f>IF($A119="","","#"&amp;TRIM(SUBSTITUTE(SUBSTITUTE(SUBSTITUTE(SUBSTITUTE(SUBSTITUTE(SUBSTITUTE($A119,"-",""),"(",""),")",""),".",""),"+","")," ","")))</f>
      </c>
    </row>
    <row r="120" spans="1:11" x14ac:dyDescent="0.3">
      <c r="A120" s="28"/>
      <c r="B120" s="29"/>
      <c r="C120" s="30"/>
      <c r="D120" s="31"/>
      <c r="E120" s="33">
        <f>IF(OR($D120="",$K120=""),"",IF(COUNTIFS(Payments!$G$5:$G$2500,$K120,Payments!$C$5:$C$2500,"&lt;&gt;")=0,"",_xlfn.MAXIFS(Payments!$C$5:$C$2500,Payments!$G$5:$G$2500,$K120)))</f>
      </c>
      <c r="F120" s="34">
        <f>IF(OR($D120="",$K120=""),"",SUMIF(Payments!$G$5:$G$2500,$K120,Payments!$D$5:$D$2500))</f>
      </c>
      <c r="G120" s="36">
        <f>IF($D120="","",ROUND($D120-IF($F120="",0,$F120),2))</f>
      </c>
      <c r="H120" s="35">
        <f>IF(OR($D120="",$K120=""),"",COUNTIF(Payments!$G$5:$G$2500,$K120))</f>
      </c>
      <c r="I120" s="37">
        <f>IF($D120="","",IF(OR($F120="",$F120=0),"Pending",IF(ROUND($F120-$D120,2)&gt;0,"Overpaid",IF(ROUND($F120-$D120,2)=0,"Paid","Partial"))))</f>
      </c>
      <c r="J120" s="29"/>
      <c r="K120">
        <f>IF($A120="","","#"&amp;TRIM(SUBSTITUTE(SUBSTITUTE(SUBSTITUTE(SUBSTITUTE(SUBSTITUTE(SUBSTITUTE($A120,"-",""),"(",""),")",""),".",""),"+","")," ","")))</f>
      </c>
    </row>
    <row r="121" spans="1:11" x14ac:dyDescent="0.3">
      <c r="A121" s="28"/>
      <c r="B121" s="29"/>
      <c r="C121" s="30"/>
      <c r="D121" s="31"/>
      <c r="E121" s="33">
        <f>IF(OR($D121="",$K121=""),"",IF(COUNTIFS(Payments!$G$5:$G$2500,$K121,Payments!$C$5:$C$2500,"&lt;&gt;")=0,"",_xlfn.MAXIFS(Payments!$C$5:$C$2500,Payments!$G$5:$G$2500,$K121)))</f>
      </c>
      <c r="F121" s="34">
        <f>IF(OR($D121="",$K121=""),"",SUMIF(Payments!$G$5:$G$2500,$K121,Payments!$D$5:$D$2500))</f>
      </c>
      <c r="G121" s="36">
        <f>IF($D121="","",ROUND($D121-IF($F121="",0,$F121),2))</f>
      </c>
      <c r="H121" s="35">
        <f>IF(OR($D121="",$K121=""),"",COUNTIF(Payments!$G$5:$G$2500,$K121))</f>
      </c>
      <c r="I121" s="37">
        <f>IF($D121="","",IF(OR($F121="",$F121=0),"Pending",IF(ROUND($F121-$D121,2)&gt;0,"Overpaid",IF(ROUND($F121-$D121,2)=0,"Paid","Partial"))))</f>
      </c>
      <c r="J121" s="29"/>
      <c r="K121">
        <f>IF($A121="","","#"&amp;TRIM(SUBSTITUTE(SUBSTITUTE(SUBSTITUTE(SUBSTITUTE(SUBSTITUTE(SUBSTITUTE($A121,"-",""),"(",""),")",""),".",""),"+","")," ","")))</f>
      </c>
    </row>
    <row r="122" spans="1:11" x14ac:dyDescent="0.3">
      <c r="A122" s="28"/>
      <c r="B122" s="29"/>
      <c r="C122" s="30"/>
      <c r="D122" s="31"/>
      <c r="E122" s="33">
        <f>IF(OR($D122="",$K122=""),"",IF(COUNTIFS(Payments!$G$5:$G$2500,$K122,Payments!$C$5:$C$2500,"&lt;&gt;")=0,"",_xlfn.MAXIFS(Payments!$C$5:$C$2500,Payments!$G$5:$G$2500,$K122)))</f>
      </c>
      <c r="F122" s="34">
        <f>IF(OR($D122="",$K122=""),"",SUMIF(Payments!$G$5:$G$2500,$K122,Payments!$D$5:$D$2500))</f>
      </c>
      <c r="G122" s="36">
        <f>IF($D122="","",ROUND($D122-IF($F122="",0,$F122),2))</f>
      </c>
      <c r="H122" s="35">
        <f>IF(OR($D122="",$K122=""),"",COUNTIF(Payments!$G$5:$G$2500,$K122))</f>
      </c>
      <c r="I122" s="37">
        <f>IF($D122="","",IF(OR($F122="",$F122=0),"Pending",IF(ROUND($F122-$D122,2)&gt;0,"Overpaid",IF(ROUND($F122-$D122,2)=0,"Paid","Partial"))))</f>
      </c>
      <c r="J122" s="29"/>
      <c r="K122">
        <f>IF($A122="","","#"&amp;TRIM(SUBSTITUTE(SUBSTITUTE(SUBSTITUTE(SUBSTITUTE(SUBSTITUTE(SUBSTITUTE($A122,"-",""),"(",""),")",""),".",""),"+","")," ","")))</f>
      </c>
    </row>
    <row r="123" spans="1:11" x14ac:dyDescent="0.3">
      <c r="A123" s="28"/>
      <c r="B123" s="29"/>
      <c r="C123" s="30"/>
      <c r="D123" s="31"/>
      <c r="E123" s="33">
        <f>IF(OR($D123="",$K123=""),"",IF(COUNTIFS(Payments!$G$5:$G$2500,$K123,Payments!$C$5:$C$2500,"&lt;&gt;")=0,"",_xlfn.MAXIFS(Payments!$C$5:$C$2500,Payments!$G$5:$G$2500,$K123)))</f>
      </c>
      <c r="F123" s="34">
        <f>IF(OR($D123="",$K123=""),"",SUMIF(Payments!$G$5:$G$2500,$K123,Payments!$D$5:$D$2500))</f>
      </c>
      <c r="G123" s="36">
        <f>IF($D123="","",ROUND($D123-IF($F123="",0,$F123),2))</f>
      </c>
      <c r="H123" s="35">
        <f>IF(OR($D123="",$K123=""),"",COUNTIF(Payments!$G$5:$G$2500,$K123))</f>
      </c>
      <c r="I123" s="37">
        <f>IF($D123="","",IF(OR($F123="",$F123=0),"Pending",IF(ROUND($F123-$D123,2)&gt;0,"Overpaid",IF(ROUND($F123-$D123,2)=0,"Paid","Partial"))))</f>
      </c>
      <c r="J123" s="29"/>
      <c r="K123">
        <f>IF($A123="","","#"&amp;TRIM(SUBSTITUTE(SUBSTITUTE(SUBSTITUTE(SUBSTITUTE(SUBSTITUTE(SUBSTITUTE($A123,"-",""),"(",""),")",""),".",""),"+","")," ","")))</f>
      </c>
    </row>
    <row r="124" spans="1:11" x14ac:dyDescent="0.3">
      <c r="A124" s="28"/>
      <c r="B124" s="29"/>
      <c r="C124" s="30"/>
      <c r="D124" s="31"/>
      <c r="E124" s="33">
        <f>IF(OR($D124="",$K124=""),"",IF(COUNTIFS(Payments!$G$5:$G$2500,$K124,Payments!$C$5:$C$2500,"&lt;&gt;")=0,"",_xlfn.MAXIFS(Payments!$C$5:$C$2500,Payments!$G$5:$G$2500,$K124)))</f>
      </c>
      <c r="F124" s="34">
        <f>IF(OR($D124="",$K124=""),"",SUMIF(Payments!$G$5:$G$2500,$K124,Payments!$D$5:$D$2500))</f>
      </c>
      <c r="G124" s="36">
        <f>IF($D124="","",ROUND($D124-IF($F124="",0,$F124),2))</f>
      </c>
      <c r="H124" s="35">
        <f>IF(OR($D124="",$K124=""),"",COUNTIF(Payments!$G$5:$G$2500,$K124))</f>
      </c>
      <c r="I124" s="37">
        <f>IF($D124="","",IF(OR($F124="",$F124=0),"Pending",IF(ROUND($F124-$D124,2)&gt;0,"Overpaid",IF(ROUND($F124-$D124,2)=0,"Paid","Partial"))))</f>
      </c>
      <c r="J124" s="29"/>
      <c r="K124">
        <f>IF($A124="","","#"&amp;TRIM(SUBSTITUTE(SUBSTITUTE(SUBSTITUTE(SUBSTITUTE(SUBSTITUTE(SUBSTITUTE($A124,"-",""),"(",""),")",""),".",""),"+","")," ","")))</f>
      </c>
    </row>
    <row r="125" spans="1:11" x14ac:dyDescent="0.3">
      <c r="A125" s="28"/>
      <c r="B125" s="29"/>
      <c r="C125" s="30"/>
      <c r="D125" s="31"/>
      <c r="E125" s="33">
        <f>IF(OR($D125="",$K125=""),"",IF(COUNTIFS(Payments!$G$5:$G$2500,$K125,Payments!$C$5:$C$2500,"&lt;&gt;")=0,"",_xlfn.MAXIFS(Payments!$C$5:$C$2500,Payments!$G$5:$G$2500,$K125)))</f>
      </c>
      <c r="F125" s="34">
        <f>IF(OR($D125="",$K125=""),"",SUMIF(Payments!$G$5:$G$2500,$K125,Payments!$D$5:$D$2500))</f>
      </c>
      <c r="G125" s="36">
        <f>IF($D125="","",ROUND($D125-IF($F125="",0,$F125),2))</f>
      </c>
      <c r="H125" s="35">
        <f>IF(OR($D125="",$K125=""),"",COUNTIF(Payments!$G$5:$G$2500,$K125))</f>
      </c>
      <c r="I125" s="37">
        <f>IF($D125="","",IF(OR($F125="",$F125=0),"Pending",IF(ROUND($F125-$D125,2)&gt;0,"Overpaid",IF(ROUND($F125-$D125,2)=0,"Paid","Partial"))))</f>
      </c>
      <c r="J125" s="29"/>
      <c r="K125">
        <f>IF($A125="","","#"&amp;TRIM(SUBSTITUTE(SUBSTITUTE(SUBSTITUTE(SUBSTITUTE(SUBSTITUTE(SUBSTITUTE($A125,"-",""),"(",""),")",""),".",""),"+","")," ","")))</f>
      </c>
    </row>
    <row r="126" spans="1:11" x14ac:dyDescent="0.3">
      <c r="A126" s="28"/>
      <c r="B126" s="29"/>
      <c r="C126" s="30"/>
      <c r="D126" s="31"/>
      <c r="E126" s="33">
        <f>IF(OR($D126="",$K126=""),"",IF(COUNTIFS(Payments!$G$5:$G$2500,$K126,Payments!$C$5:$C$2500,"&lt;&gt;")=0,"",_xlfn.MAXIFS(Payments!$C$5:$C$2500,Payments!$G$5:$G$2500,$K126)))</f>
      </c>
      <c r="F126" s="34">
        <f>IF(OR($D126="",$K126=""),"",SUMIF(Payments!$G$5:$G$2500,$K126,Payments!$D$5:$D$2500))</f>
      </c>
      <c r="G126" s="36">
        <f>IF($D126="","",ROUND($D126-IF($F126="",0,$F126),2))</f>
      </c>
      <c r="H126" s="35">
        <f>IF(OR($D126="",$K126=""),"",COUNTIF(Payments!$G$5:$G$2500,$K126))</f>
      </c>
      <c r="I126" s="37">
        <f>IF($D126="","",IF(OR($F126="",$F126=0),"Pending",IF(ROUND($F126-$D126,2)&gt;0,"Overpaid",IF(ROUND($F126-$D126,2)=0,"Paid","Partial"))))</f>
      </c>
      <c r="J126" s="29"/>
      <c r="K126">
        <f>IF($A126="","","#"&amp;TRIM(SUBSTITUTE(SUBSTITUTE(SUBSTITUTE(SUBSTITUTE(SUBSTITUTE(SUBSTITUTE($A126,"-",""),"(",""),")",""),".",""),"+","")," ","")))</f>
      </c>
    </row>
    <row r="127" spans="1:11" x14ac:dyDescent="0.3">
      <c r="A127" s="28"/>
      <c r="B127" s="29"/>
      <c r="C127" s="30"/>
      <c r="D127" s="31"/>
      <c r="E127" s="33">
        <f>IF(OR($D127="",$K127=""),"",IF(COUNTIFS(Payments!$G$5:$G$2500,$K127,Payments!$C$5:$C$2500,"&lt;&gt;")=0,"",_xlfn.MAXIFS(Payments!$C$5:$C$2500,Payments!$G$5:$G$2500,$K127)))</f>
      </c>
      <c r="F127" s="34">
        <f>IF(OR($D127="",$K127=""),"",SUMIF(Payments!$G$5:$G$2500,$K127,Payments!$D$5:$D$2500))</f>
      </c>
      <c r="G127" s="36">
        <f>IF($D127="","",ROUND($D127-IF($F127="",0,$F127),2))</f>
      </c>
      <c r="H127" s="35">
        <f>IF(OR($D127="",$K127=""),"",COUNTIF(Payments!$G$5:$G$2500,$K127))</f>
      </c>
      <c r="I127" s="37">
        <f>IF($D127="","",IF(OR($F127="",$F127=0),"Pending",IF(ROUND($F127-$D127,2)&gt;0,"Overpaid",IF(ROUND($F127-$D127,2)=0,"Paid","Partial"))))</f>
      </c>
      <c r="J127" s="29"/>
      <c r="K127">
        <f>IF($A127="","","#"&amp;TRIM(SUBSTITUTE(SUBSTITUTE(SUBSTITUTE(SUBSTITUTE(SUBSTITUTE(SUBSTITUTE($A127,"-",""),"(",""),")",""),".",""),"+","")," ","")))</f>
      </c>
    </row>
    <row r="128" spans="1:11" x14ac:dyDescent="0.3">
      <c r="A128" s="28"/>
      <c r="B128" s="29"/>
      <c r="C128" s="30"/>
      <c r="D128" s="31"/>
      <c r="E128" s="33">
        <f>IF(OR($D128="",$K128=""),"",IF(COUNTIFS(Payments!$G$5:$G$2500,$K128,Payments!$C$5:$C$2500,"&lt;&gt;")=0,"",_xlfn.MAXIFS(Payments!$C$5:$C$2500,Payments!$G$5:$G$2500,$K128)))</f>
      </c>
      <c r="F128" s="34">
        <f>IF(OR($D128="",$K128=""),"",SUMIF(Payments!$G$5:$G$2500,$K128,Payments!$D$5:$D$2500))</f>
      </c>
      <c r="G128" s="36">
        <f>IF($D128="","",ROUND($D128-IF($F128="",0,$F128),2))</f>
      </c>
      <c r="H128" s="35">
        <f>IF(OR($D128="",$K128=""),"",COUNTIF(Payments!$G$5:$G$2500,$K128))</f>
      </c>
      <c r="I128" s="37">
        <f>IF($D128="","",IF(OR($F128="",$F128=0),"Pending",IF(ROUND($F128-$D128,2)&gt;0,"Overpaid",IF(ROUND($F128-$D128,2)=0,"Paid","Partial"))))</f>
      </c>
      <c r="J128" s="29"/>
      <c r="K128">
        <f>IF($A128="","","#"&amp;TRIM(SUBSTITUTE(SUBSTITUTE(SUBSTITUTE(SUBSTITUTE(SUBSTITUTE(SUBSTITUTE($A128,"-",""),"(",""),")",""),".",""),"+","")," ","")))</f>
      </c>
    </row>
    <row r="129" spans="1:11" x14ac:dyDescent="0.3">
      <c r="A129" s="28"/>
      <c r="B129" s="29"/>
      <c r="C129" s="30"/>
      <c r="D129" s="31"/>
      <c r="E129" s="33">
        <f>IF(OR($D129="",$K129=""),"",IF(COUNTIFS(Payments!$G$5:$G$2500,$K129,Payments!$C$5:$C$2500,"&lt;&gt;")=0,"",_xlfn.MAXIFS(Payments!$C$5:$C$2500,Payments!$G$5:$G$2500,$K129)))</f>
      </c>
      <c r="F129" s="34">
        <f>IF(OR($D129="",$K129=""),"",SUMIF(Payments!$G$5:$G$2500,$K129,Payments!$D$5:$D$2500))</f>
      </c>
      <c r="G129" s="36">
        <f>IF($D129="","",ROUND($D129-IF($F129="",0,$F129),2))</f>
      </c>
      <c r="H129" s="35">
        <f>IF(OR($D129="",$K129=""),"",COUNTIF(Payments!$G$5:$G$2500,$K129))</f>
      </c>
      <c r="I129" s="37">
        <f>IF($D129="","",IF(OR($F129="",$F129=0),"Pending",IF(ROUND($F129-$D129,2)&gt;0,"Overpaid",IF(ROUND($F129-$D129,2)=0,"Paid","Partial"))))</f>
      </c>
      <c r="J129" s="29"/>
      <c r="K129">
        <f>IF($A129="","","#"&amp;TRIM(SUBSTITUTE(SUBSTITUTE(SUBSTITUTE(SUBSTITUTE(SUBSTITUTE(SUBSTITUTE($A129,"-",""),"(",""),")",""),".",""),"+","")," ","")))</f>
      </c>
    </row>
    <row r="130" spans="1:11" x14ac:dyDescent="0.3">
      <c r="A130" s="28"/>
      <c r="B130" s="29"/>
      <c r="C130" s="30"/>
      <c r="D130" s="31"/>
      <c r="E130" s="33">
        <f>IF(OR($D130="",$K130=""),"",IF(COUNTIFS(Payments!$G$5:$G$2500,$K130,Payments!$C$5:$C$2500,"&lt;&gt;")=0,"",_xlfn.MAXIFS(Payments!$C$5:$C$2500,Payments!$G$5:$G$2500,$K130)))</f>
      </c>
      <c r="F130" s="34">
        <f>IF(OR($D130="",$K130=""),"",SUMIF(Payments!$G$5:$G$2500,$K130,Payments!$D$5:$D$2500))</f>
      </c>
      <c r="G130" s="36">
        <f>IF($D130="","",ROUND($D130-IF($F130="",0,$F130),2))</f>
      </c>
      <c r="H130" s="35">
        <f>IF(OR($D130="",$K130=""),"",COUNTIF(Payments!$G$5:$G$2500,$K130))</f>
      </c>
      <c r="I130" s="37">
        <f>IF($D130="","",IF(OR($F130="",$F130=0),"Pending",IF(ROUND($F130-$D130,2)&gt;0,"Overpaid",IF(ROUND($F130-$D130,2)=0,"Paid","Partial"))))</f>
      </c>
      <c r="J130" s="29"/>
      <c r="K130">
        <f>IF($A130="","","#"&amp;TRIM(SUBSTITUTE(SUBSTITUTE(SUBSTITUTE(SUBSTITUTE(SUBSTITUTE(SUBSTITUTE($A130,"-",""),"(",""),")",""),".",""),"+","")," ","")))</f>
      </c>
    </row>
    <row r="131" spans="1:11" x14ac:dyDescent="0.3">
      <c r="A131" s="28"/>
      <c r="B131" s="29"/>
      <c r="C131" s="30"/>
      <c r="D131" s="31"/>
      <c r="E131" s="33">
        <f>IF(OR($D131="",$K131=""),"",IF(COUNTIFS(Payments!$G$5:$G$2500,$K131,Payments!$C$5:$C$2500,"&lt;&gt;")=0,"",_xlfn.MAXIFS(Payments!$C$5:$C$2500,Payments!$G$5:$G$2500,$K131)))</f>
      </c>
      <c r="F131" s="34">
        <f>IF(OR($D131="",$K131=""),"",SUMIF(Payments!$G$5:$G$2500,$K131,Payments!$D$5:$D$2500))</f>
      </c>
      <c r="G131" s="36">
        <f>IF($D131="","",ROUND($D131-IF($F131="",0,$F131),2))</f>
      </c>
      <c r="H131" s="35">
        <f>IF(OR($D131="",$K131=""),"",COUNTIF(Payments!$G$5:$G$2500,$K131))</f>
      </c>
      <c r="I131" s="37">
        <f>IF($D131="","",IF(OR($F131="",$F131=0),"Pending",IF(ROUND($F131-$D131,2)&gt;0,"Overpaid",IF(ROUND($F131-$D131,2)=0,"Paid","Partial"))))</f>
      </c>
      <c r="J131" s="29"/>
      <c r="K131">
        <f>IF($A131="","","#"&amp;TRIM(SUBSTITUTE(SUBSTITUTE(SUBSTITUTE(SUBSTITUTE(SUBSTITUTE(SUBSTITUTE($A131,"-",""),"(",""),")",""),".",""),"+","")," ","")))</f>
      </c>
    </row>
    <row r="132" spans="1:11" x14ac:dyDescent="0.3">
      <c r="A132" s="28"/>
      <c r="B132" s="29"/>
      <c r="C132" s="30"/>
      <c r="D132" s="31"/>
      <c r="E132" s="33">
        <f>IF(OR($D132="",$K132=""),"",IF(COUNTIFS(Payments!$G$5:$G$2500,$K132,Payments!$C$5:$C$2500,"&lt;&gt;")=0,"",_xlfn.MAXIFS(Payments!$C$5:$C$2500,Payments!$G$5:$G$2500,$K132)))</f>
      </c>
      <c r="F132" s="34">
        <f>IF(OR($D132="",$K132=""),"",SUMIF(Payments!$G$5:$G$2500,$K132,Payments!$D$5:$D$2500))</f>
      </c>
      <c r="G132" s="36">
        <f>IF($D132="","",ROUND($D132-IF($F132="",0,$F132),2))</f>
      </c>
      <c r="H132" s="35">
        <f>IF(OR($D132="",$K132=""),"",COUNTIF(Payments!$G$5:$G$2500,$K132))</f>
      </c>
      <c r="I132" s="37">
        <f>IF($D132="","",IF(OR($F132="",$F132=0),"Pending",IF(ROUND($F132-$D132,2)&gt;0,"Overpaid",IF(ROUND($F132-$D132,2)=0,"Paid","Partial"))))</f>
      </c>
      <c r="J132" s="29"/>
      <c r="K132">
        <f>IF($A132="","","#"&amp;TRIM(SUBSTITUTE(SUBSTITUTE(SUBSTITUTE(SUBSTITUTE(SUBSTITUTE(SUBSTITUTE($A132,"-",""),"(",""),")",""),".",""),"+","")," ","")))</f>
      </c>
    </row>
    <row r="133" spans="1:11" x14ac:dyDescent="0.3">
      <c r="A133" s="28"/>
      <c r="B133" s="29"/>
      <c r="C133" s="30"/>
      <c r="D133" s="31"/>
      <c r="E133" s="33">
        <f>IF(OR($D133="",$K133=""),"",IF(COUNTIFS(Payments!$G$5:$G$2500,$K133,Payments!$C$5:$C$2500,"&lt;&gt;")=0,"",_xlfn.MAXIFS(Payments!$C$5:$C$2500,Payments!$G$5:$G$2500,$K133)))</f>
      </c>
      <c r="F133" s="34">
        <f>IF(OR($D133="",$K133=""),"",SUMIF(Payments!$G$5:$G$2500,$K133,Payments!$D$5:$D$2500))</f>
      </c>
      <c r="G133" s="36">
        <f>IF($D133="","",ROUND($D133-IF($F133="",0,$F133),2))</f>
      </c>
      <c r="H133" s="35">
        <f>IF(OR($D133="",$K133=""),"",COUNTIF(Payments!$G$5:$G$2500,$K133))</f>
      </c>
      <c r="I133" s="37">
        <f>IF($D133="","",IF(OR($F133="",$F133=0),"Pending",IF(ROUND($F133-$D133,2)&gt;0,"Overpaid",IF(ROUND($F133-$D133,2)=0,"Paid","Partial"))))</f>
      </c>
      <c r="J133" s="29"/>
      <c r="K133">
        <f>IF($A133="","","#"&amp;TRIM(SUBSTITUTE(SUBSTITUTE(SUBSTITUTE(SUBSTITUTE(SUBSTITUTE(SUBSTITUTE($A133,"-",""),"(",""),")",""),".",""),"+","")," ","")))</f>
      </c>
    </row>
    <row r="134" spans="1:11" x14ac:dyDescent="0.3">
      <c r="A134" s="28"/>
      <c r="B134" s="29"/>
      <c r="C134" s="30"/>
      <c r="D134" s="31"/>
      <c r="E134" s="33">
        <f>IF(OR($D134="",$K134=""),"",IF(COUNTIFS(Payments!$G$5:$G$2500,$K134,Payments!$C$5:$C$2500,"&lt;&gt;")=0,"",_xlfn.MAXIFS(Payments!$C$5:$C$2500,Payments!$G$5:$G$2500,$K134)))</f>
      </c>
      <c r="F134" s="34">
        <f>IF(OR($D134="",$K134=""),"",SUMIF(Payments!$G$5:$G$2500,$K134,Payments!$D$5:$D$2500))</f>
      </c>
      <c r="G134" s="36">
        <f>IF($D134="","",ROUND($D134-IF($F134="",0,$F134),2))</f>
      </c>
      <c r="H134" s="35">
        <f>IF(OR($D134="",$K134=""),"",COUNTIF(Payments!$G$5:$G$2500,$K134))</f>
      </c>
      <c r="I134" s="37">
        <f>IF($D134="","",IF(OR($F134="",$F134=0),"Pending",IF(ROUND($F134-$D134,2)&gt;0,"Overpaid",IF(ROUND($F134-$D134,2)=0,"Paid","Partial"))))</f>
      </c>
      <c r="J134" s="29"/>
      <c r="K134">
        <f>IF($A134="","","#"&amp;TRIM(SUBSTITUTE(SUBSTITUTE(SUBSTITUTE(SUBSTITUTE(SUBSTITUTE(SUBSTITUTE($A134,"-",""),"(",""),")",""),".",""),"+","")," ","")))</f>
      </c>
    </row>
    <row r="135" spans="1:11" x14ac:dyDescent="0.3">
      <c r="A135" s="28"/>
      <c r="B135" s="29"/>
      <c r="C135" s="30"/>
      <c r="D135" s="31"/>
      <c r="E135" s="33">
        <f>IF(OR($D135="",$K135=""),"",IF(COUNTIFS(Payments!$G$5:$G$2500,$K135,Payments!$C$5:$C$2500,"&lt;&gt;")=0,"",_xlfn.MAXIFS(Payments!$C$5:$C$2500,Payments!$G$5:$G$2500,$K135)))</f>
      </c>
      <c r="F135" s="34">
        <f>IF(OR($D135="",$K135=""),"",SUMIF(Payments!$G$5:$G$2500,$K135,Payments!$D$5:$D$2500))</f>
      </c>
      <c r="G135" s="36">
        <f>IF($D135="","",ROUND($D135-IF($F135="",0,$F135),2))</f>
      </c>
      <c r="H135" s="35">
        <f>IF(OR($D135="",$K135=""),"",COUNTIF(Payments!$G$5:$G$2500,$K135))</f>
      </c>
      <c r="I135" s="37">
        <f>IF($D135="","",IF(OR($F135="",$F135=0),"Pending",IF(ROUND($F135-$D135,2)&gt;0,"Overpaid",IF(ROUND($F135-$D135,2)=0,"Paid","Partial"))))</f>
      </c>
      <c r="J135" s="29"/>
      <c r="K135">
        <f>IF($A135="","","#"&amp;TRIM(SUBSTITUTE(SUBSTITUTE(SUBSTITUTE(SUBSTITUTE(SUBSTITUTE(SUBSTITUTE($A135,"-",""),"(",""),")",""),".",""),"+","")," ","")))</f>
      </c>
    </row>
    <row r="136" spans="1:11" x14ac:dyDescent="0.3">
      <c r="A136" s="28"/>
      <c r="B136" s="29"/>
      <c r="C136" s="30"/>
      <c r="D136" s="31"/>
      <c r="E136" s="33">
        <f>IF(OR($D136="",$K136=""),"",IF(COUNTIFS(Payments!$G$5:$G$2500,$K136,Payments!$C$5:$C$2500,"&lt;&gt;")=0,"",_xlfn.MAXIFS(Payments!$C$5:$C$2500,Payments!$G$5:$G$2500,$K136)))</f>
      </c>
      <c r="F136" s="34">
        <f>IF(OR($D136="",$K136=""),"",SUMIF(Payments!$G$5:$G$2500,$K136,Payments!$D$5:$D$2500))</f>
      </c>
      <c r="G136" s="36">
        <f>IF($D136="","",ROUND($D136-IF($F136="",0,$F136),2))</f>
      </c>
      <c r="H136" s="35">
        <f>IF(OR($D136="",$K136=""),"",COUNTIF(Payments!$G$5:$G$2500,$K136))</f>
      </c>
      <c r="I136" s="37">
        <f>IF($D136="","",IF(OR($F136="",$F136=0),"Pending",IF(ROUND($F136-$D136,2)&gt;0,"Overpaid",IF(ROUND($F136-$D136,2)=0,"Paid","Partial"))))</f>
      </c>
      <c r="J136" s="29"/>
      <c r="K136">
        <f>IF($A136="","","#"&amp;TRIM(SUBSTITUTE(SUBSTITUTE(SUBSTITUTE(SUBSTITUTE(SUBSTITUTE(SUBSTITUTE($A136,"-",""),"(",""),")",""),".",""),"+","")," ","")))</f>
      </c>
    </row>
    <row r="137" spans="1:11" x14ac:dyDescent="0.3">
      <c r="A137" s="28"/>
      <c r="B137" s="29"/>
      <c r="C137" s="30"/>
      <c r="D137" s="31"/>
      <c r="E137" s="33">
        <f>IF(OR($D137="",$K137=""),"",IF(COUNTIFS(Payments!$G$5:$G$2500,$K137,Payments!$C$5:$C$2500,"&lt;&gt;")=0,"",_xlfn.MAXIFS(Payments!$C$5:$C$2500,Payments!$G$5:$G$2500,$K137)))</f>
      </c>
      <c r="F137" s="34">
        <f>IF(OR($D137="",$K137=""),"",SUMIF(Payments!$G$5:$G$2500,$K137,Payments!$D$5:$D$2500))</f>
      </c>
      <c r="G137" s="36">
        <f>IF($D137="","",ROUND($D137-IF($F137="",0,$F137),2))</f>
      </c>
      <c r="H137" s="35">
        <f>IF(OR($D137="",$K137=""),"",COUNTIF(Payments!$G$5:$G$2500,$K137))</f>
      </c>
      <c r="I137" s="37">
        <f>IF($D137="","",IF(OR($F137="",$F137=0),"Pending",IF(ROUND($F137-$D137,2)&gt;0,"Overpaid",IF(ROUND($F137-$D137,2)=0,"Paid","Partial"))))</f>
      </c>
      <c r="J137" s="29"/>
      <c r="K137">
        <f>IF($A137="","","#"&amp;TRIM(SUBSTITUTE(SUBSTITUTE(SUBSTITUTE(SUBSTITUTE(SUBSTITUTE(SUBSTITUTE($A137,"-",""),"(",""),")",""),".",""),"+","")," ","")))</f>
      </c>
    </row>
    <row r="138" spans="1:11" x14ac:dyDescent="0.3">
      <c r="A138" s="28"/>
      <c r="B138" s="29"/>
      <c r="C138" s="30"/>
      <c r="D138" s="31"/>
      <c r="E138" s="33">
        <f>IF(OR($D138="",$K138=""),"",IF(COUNTIFS(Payments!$G$5:$G$2500,$K138,Payments!$C$5:$C$2500,"&lt;&gt;")=0,"",_xlfn.MAXIFS(Payments!$C$5:$C$2500,Payments!$G$5:$G$2500,$K138)))</f>
      </c>
      <c r="F138" s="34">
        <f>IF(OR($D138="",$K138=""),"",SUMIF(Payments!$G$5:$G$2500,$K138,Payments!$D$5:$D$2500))</f>
      </c>
      <c r="G138" s="36">
        <f>IF($D138="","",ROUND($D138-IF($F138="",0,$F138),2))</f>
      </c>
      <c r="H138" s="35">
        <f>IF(OR($D138="",$K138=""),"",COUNTIF(Payments!$G$5:$G$2500,$K138))</f>
      </c>
      <c r="I138" s="37">
        <f>IF($D138="","",IF(OR($F138="",$F138=0),"Pending",IF(ROUND($F138-$D138,2)&gt;0,"Overpaid",IF(ROUND($F138-$D138,2)=0,"Paid","Partial"))))</f>
      </c>
      <c r="J138" s="29"/>
      <c r="K138">
        <f>IF($A138="","","#"&amp;TRIM(SUBSTITUTE(SUBSTITUTE(SUBSTITUTE(SUBSTITUTE(SUBSTITUTE(SUBSTITUTE($A138,"-",""),"(",""),")",""),".",""),"+","")," ","")))</f>
      </c>
    </row>
    <row r="139" spans="1:11" x14ac:dyDescent="0.3">
      <c r="A139" s="28"/>
      <c r="B139" s="29"/>
      <c r="C139" s="30"/>
      <c r="D139" s="31"/>
      <c r="E139" s="33">
        <f>IF(OR($D139="",$K139=""),"",IF(COUNTIFS(Payments!$G$5:$G$2500,$K139,Payments!$C$5:$C$2500,"&lt;&gt;")=0,"",_xlfn.MAXIFS(Payments!$C$5:$C$2500,Payments!$G$5:$G$2500,$K139)))</f>
      </c>
      <c r="F139" s="34">
        <f>IF(OR($D139="",$K139=""),"",SUMIF(Payments!$G$5:$G$2500,$K139,Payments!$D$5:$D$2500))</f>
      </c>
      <c r="G139" s="36">
        <f>IF($D139="","",ROUND($D139-IF($F139="",0,$F139),2))</f>
      </c>
      <c r="H139" s="35">
        <f>IF(OR($D139="",$K139=""),"",COUNTIF(Payments!$G$5:$G$2500,$K139))</f>
      </c>
      <c r="I139" s="37">
        <f>IF($D139="","",IF(OR($F139="",$F139=0),"Pending",IF(ROUND($F139-$D139,2)&gt;0,"Overpaid",IF(ROUND($F139-$D139,2)=0,"Paid","Partial"))))</f>
      </c>
      <c r="J139" s="29"/>
      <c r="K139">
        <f>IF($A139="","","#"&amp;TRIM(SUBSTITUTE(SUBSTITUTE(SUBSTITUTE(SUBSTITUTE(SUBSTITUTE(SUBSTITUTE($A139,"-",""),"(",""),")",""),".",""),"+","")," ","")))</f>
      </c>
    </row>
    <row r="140" spans="1:11" x14ac:dyDescent="0.3">
      <c r="A140" s="28"/>
      <c r="B140" s="29"/>
      <c r="C140" s="30"/>
      <c r="D140" s="31"/>
      <c r="E140" s="33">
        <f>IF(OR($D140="",$K140=""),"",IF(COUNTIFS(Payments!$G$5:$G$2500,$K140,Payments!$C$5:$C$2500,"&lt;&gt;")=0,"",_xlfn.MAXIFS(Payments!$C$5:$C$2500,Payments!$G$5:$G$2500,$K140)))</f>
      </c>
      <c r="F140" s="34">
        <f>IF(OR($D140="",$K140=""),"",SUMIF(Payments!$G$5:$G$2500,$K140,Payments!$D$5:$D$2500))</f>
      </c>
      <c r="G140" s="36">
        <f>IF($D140="","",ROUND($D140-IF($F140="",0,$F140),2))</f>
      </c>
      <c r="H140" s="35">
        <f>IF(OR($D140="",$K140=""),"",COUNTIF(Payments!$G$5:$G$2500,$K140))</f>
      </c>
      <c r="I140" s="37">
        <f>IF($D140="","",IF(OR($F140="",$F140=0),"Pending",IF(ROUND($F140-$D140,2)&gt;0,"Overpaid",IF(ROUND($F140-$D140,2)=0,"Paid","Partial"))))</f>
      </c>
      <c r="J140" s="29"/>
      <c r="K140">
        <f>IF($A140="","","#"&amp;TRIM(SUBSTITUTE(SUBSTITUTE(SUBSTITUTE(SUBSTITUTE(SUBSTITUTE(SUBSTITUTE($A140,"-",""),"(",""),")",""),".",""),"+","")," ","")))</f>
      </c>
    </row>
    <row r="141" spans="1:11" x14ac:dyDescent="0.3">
      <c r="A141" s="28"/>
      <c r="B141" s="29"/>
      <c r="C141" s="30"/>
      <c r="D141" s="31"/>
      <c r="E141" s="33">
        <f>IF(OR($D141="",$K141=""),"",IF(COUNTIFS(Payments!$G$5:$G$2500,$K141,Payments!$C$5:$C$2500,"&lt;&gt;")=0,"",_xlfn.MAXIFS(Payments!$C$5:$C$2500,Payments!$G$5:$G$2500,$K141)))</f>
      </c>
      <c r="F141" s="34">
        <f>IF(OR($D141="",$K141=""),"",SUMIF(Payments!$G$5:$G$2500,$K141,Payments!$D$5:$D$2500))</f>
      </c>
      <c r="G141" s="36">
        <f>IF($D141="","",ROUND($D141-IF($F141="",0,$F141),2))</f>
      </c>
      <c r="H141" s="35">
        <f>IF(OR($D141="",$K141=""),"",COUNTIF(Payments!$G$5:$G$2500,$K141))</f>
      </c>
      <c r="I141" s="37">
        <f>IF($D141="","",IF(OR($F141="",$F141=0),"Pending",IF(ROUND($F141-$D141,2)&gt;0,"Overpaid",IF(ROUND($F141-$D141,2)=0,"Paid","Partial"))))</f>
      </c>
      <c r="J141" s="29"/>
      <c r="K141">
        <f>IF($A141="","","#"&amp;TRIM(SUBSTITUTE(SUBSTITUTE(SUBSTITUTE(SUBSTITUTE(SUBSTITUTE(SUBSTITUTE($A141,"-",""),"(",""),")",""),".",""),"+","")," ","")))</f>
      </c>
    </row>
    <row r="142" spans="1:11" x14ac:dyDescent="0.3">
      <c r="A142" s="28"/>
      <c r="B142" s="29"/>
      <c r="C142" s="30"/>
      <c r="D142" s="31"/>
      <c r="E142" s="33">
        <f>IF(OR($D142="",$K142=""),"",IF(COUNTIFS(Payments!$G$5:$G$2500,$K142,Payments!$C$5:$C$2500,"&lt;&gt;")=0,"",_xlfn.MAXIFS(Payments!$C$5:$C$2500,Payments!$G$5:$G$2500,$K142)))</f>
      </c>
      <c r="F142" s="34">
        <f>IF(OR($D142="",$K142=""),"",SUMIF(Payments!$G$5:$G$2500,$K142,Payments!$D$5:$D$2500))</f>
      </c>
      <c r="G142" s="36">
        <f>IF($D142="","",ROUND($D142-IF($F142="",0,$F142),2))</f>
      </c>
      <c r="H142" s="35">
        <f>IF(OR($D142="",$K142=""),"",COUNTIF(Payments!$G$5:$G$2500,$K142))</f>
      </c>
      <c r="I142" s="37">
        <f>IF($D142="","",IF(OR($F142="",$F142=0),"Pending",IF(ROUND($F142-$D142,2)&gt;0,"Overpaid",IF(ROUND($F142-$D142,2)=0,"Paid","Partial"))))</f>
      </c>
      <c r="J142" s="29"/>
      <c r="K142">
        <f>IF($A142="","","#"&amp;TRIM(SUBSTITUTE(SUBSTITUTE(SUBSTITUTE(SUBSTITUTE(SUBSTITUTE(SUBSTITUTE($A142,"-",""),"(",""),")",""),".",""),"+","")," ","")))</f>
      </c>
    </row>
    <row r="143" spans="1:11" x14ac:dyDescent="0.3">
      <c r="A143" s="28"/>
      <c r="B143" s="29"/>
      <c r="C143" s="30"/>
      <c r="D143" s="31"/>
      <c r="E143" s="33">
        <f>IF(OR($D143="",$K143=""),"",IF(COUNTIFS(Payments!$G$5:$G$2500,$K143,Payments!$C$5:$C$2500,"&lt;&gt;")=0,"",_xlfn.MAXIFS(Payments!$C$5:$C$2500,Payments!$G$5:$G$2500,$K143)))</f>
      </c>
      <c r="F143" s="34">
        <f>IF(OR($D143="",$K143=""),"",SUMIF(Payments!$G$5:$G$2500,$K143,Payments!$D$5:$D$2500))</f>
      </c>
      <c r="G143" s="36">
        <f>IF($D143="","",ROUND($D143-IF($F143="",0,$F143),2))</f>
      </c>
      <c r="H143" s="35">
        <f>IF(OR($D143="",$K143=""),"",COUNTIF(Payments!$G$5:$G$2500,$K143))</f>
      </c>
      <c r="I143" s="37">
        <f>IF($D143="","",IF(OR($F143="",$F143=0),"Pending",IF(ROUND($F143-$D143,2)&gt;0,"Overpaid",IF(ROUND($F143-$D143,2)=0,"Paid","Partial"))))</f>
      </c>
      <c r="J143" s="29"/>
      <c r="K143">
        <f>IF($A143="","","#"&amp;TRIM(SUBSTITUTE(SUBSTITUTE(SUBSTITUTE(SUBSTITUTE(SUBSTITUTE(SUBSTITUTE($A143,"-",""),"(",""),")",""),".",""),"+","")," ","")))</f>
      </c>
    </row>
    <row r="144" spans="1:11" x14ac:dyDescent="0.3">
      <c r="A144" s="28"/>
      <c r="B144" s="29"/>
      <c r="C144" s="30"/>
      <c r="D144" s="31"/>
      <c r="E144" s="33">
        <f>IF(OR($D144="",$K144=""),"",IF(COUNTIFS(Payments!$G$5:$G$2500,$K144,Payments!$C$5:$C$2500,"&lt;&gt;")=0,"",_xlfn.MAXIFS(Payments!$C$5:$C$2500,Payments!$G$5:$G$2500,$K144)))</f>
      </c>
      <c r="F144" s="34">
        <f>IF(OR($D144="",$K144=""),"",SUMIF(Payments!$G$5:$G$2500,$K144,Payments!$D$5:$D$2500))</f>
      </c>
      <c r="G144" s="36">
        <f>IF($D144="","",ROUND($D144-IF($F144="",0,$F144),2))</f>
      </c>
      <c r="H144" s="35">
        <f>IF(OR($D144="",$K144=""),"",COUNTIF(Payments!$G$5:$G$2500,$K144))</f>
      </c>
      <c r="I144" s="37">
        <f>IF($D144="","",IF(OR($F144="",$F144=0),"Pending",IF(ROUND($F144-$D144,2)&gt;0,"Overpaid",IF(ROUND($F144-$D144,2)=0,"Paid","Partial"))))</f>
      </c>
      <c r="J144" s="29"/>
      <c r="K144">
        <f>IF($A144="","","#"&amp;TRIM(SUBSTITUTE(SUBSTITUTE(SUBSTITUTE(SUBSTITUTE(SUBSTITUTE(SUBSTITUTE($A144,"-",""),"(",""),")",""),".",""),"+","")," ","")))</f>
      </c>
    </row>
    <row r="145" spans="1:11" x14ac:dyDescent="0.3">
      <c r="A145" s="28"/>
      <c r="B145" s="29"/>
      <c r="C145" s="30"/>
      <c r="D145" s="31"/>
      <c r="E145" s="33">
        <f>IF(OR($D145="",$K145=""),"",IF(COUNTIFS(Payments!$G$5:$G$2500,$K145,Payments!$C$5:$C$2500,"&lt;&gt;")=0,"",_xlfn.MAXIFS(Payments!$C$5:$C$2500,Payments!$G$5:$G$2500,$K145)))</f>
      </c>
      <c r="F145" s="34">
        <f>IF(OR($D145="",$K145=""),"",SUMIF(Payments!$G$5:$G$2500,$K145,Payments!$D$5:$D$2500))</f>
      </c>
      <c r="G145" s="36">
        <f>IF($D145="","",ROUND($D145-IF($F145="",0,$F145),2))</f>
      </c>
      <c r="H145" s="35">
        <f>IF(OR($D145="",$K145=""),"",COUNTIF(Payments!$G$5:$G$2500,$K145))</f>
      </c>
      <c r="I145" s="37">
        <f>IF($D145="","",IF(OR($F145="",$F145=0),"Pending",IF(ROUND($F145-$D145,2)&gt;0,"Overpaid",IF(ROUND($F145-$D145,2)=0,"Paid","Partial"))))</f>
      </c>
      <c r="J145" s="29"/>
      <c r="K145">
        <f>IF($A145="","","#"&amp;TRIM(SUBSTITUTE(SUBSTITUTE(SUBSTITUTE(SUBSTITUTE(SUBSTITUTE(SUBSTITUTE($A145,"-",""),"(",""),")",""),".",""),"+","")," ","")))</f>
      </c>
    </row>
    <row r="146" spans="1:11" x14ac:dyDescent="0.3">
      <c r="A146" s="28"/>
      <c r="B146" s="29"/>
      <c r="C146" s="30"/>
      <c r="D146" s="31"/>
      <c r="E146" s="33">
        <f>IF(OR($D146="",$K146=""),"",IF(COUNTIFS(Payments!$G$5:$G$2500,$K146,Payments!$C$5:$C$2500,"&lt;&gt;")=0,"",_xlfn.MAXIFS(Payments!$C$5:$C$2500,Payments!$G$5:$G$2500,$K146)))</f>
      </c>
      <c r="F146" s="34">
        <f>IF(OR($D146="",$K146=""),"",SUMIF(Payments!$G$5:$G$2500,$K146,Payments!$D$5:$D$2500))</f>
      </c>
      <c r="G146" s="36">
        <f>IF($D146="","",ROUND($D146-IF($F146="",0,$F146),2))</f>
      </c>
      <c r="H146" s="35">
        <f>IF(OR($D146="",$K146=""),"",COUNTIF(Payments!$G$5:$G$2500,$K146))</f>
      </c>
      <c r="I146" s="37">
        <f>IF($D146="","",IF(OR($F146="",$F146=0),"Pending",IF(ROUND($F146-$D146,2)&gt;0,"Overpaid",IF(ROUND($F146-$D146,2)=0,"Paid","Partial"))))</f>
      </c>
      <c r="J146" s="29"/>
      <c r="K146">
        <f>IF($A146="","","#"&amp;TRIM(SUBSTITUTE(SUBSTITUTE(SUBSTITUTE(SUBSTITUTE(SUBSTITUTE(SUBSTITUTE($A146,"-",""),"(",""),")",""),".",""),"+","")," ","")))</f>
      </c>
    </row>
    <row r="147" spans="1:11" x14ac:dyDescent="0.3">
      <c r="A147" s="28"/>
      <c r="B147" s="29"/>
      <c r="C147" s="30"/>
      <c r="D147" s="31"/>
      <c r="E147" s="33">
        <f>IF(OR($D147="",$K147=""),"",IF(COUNTIFS(Payments!$G$5:$G$2500,$K147,Payments!$C$5:$C$2500,"&lt;&gt;")=0,"",_xlfn.MAXIFS(Payments!$C$5:$C$2500,Payments!$G$5:$G$2500,$K147)))</f>
      </c>
      <c r="F147" s="34">
        <f>IF(OR($D147="",$K147=""),"",SUMIF(Payments!$G$5:$G$2500,$K147,Payments!$D$5:$D$2500))</f>
      </c>
      <c r="G147" s="36">
        <f>IF($D147="","",ROUND($D147-IF($F147="",0,$F147),2))</f>
      </c>
      <c r="H147" s="35">
        <f>IF(OR($D147="",$K147=""),"",COUNTIF(Payments!$G$5:$G$2500,$K147))</f>
      </c>
      <c r="I147" s="37">
        <f>IF($D147="","",IF(OR($F147="",$F147=0),"Pending",IF(ROUND($F147-$D147,2)&gt;0,"Overpaid",IF(ROUND($F147-$D147,2)=0,"Paid","Partial"))))</f>
      </c>
      <c r="J147" s="29"/>
      <c r="K147">
        <f>IF($A147="","","#"&amp;TRIM(SUBSTITUTE(SUBSTITUTE(SUBSTITUTE(SUBSTITUTE(SUBSTITUTE(SUBSTITUTE($A147,"-",""),"(",""),")",""),".",""),"+","")," ","")))</f>
      </c>
    </row>
    <row r="148" spans="1:11" x14ac:dyDescent="0.3">
      <c r="A148" s="28"/>
      <c r="B148" s="29"/>
      <c r="C148" s="30"/>
      <c r="D148" s="31"/>
      <c r="E148" s="33">
        <f>IF(OR($D148="",$K148=""),"",IF(COUNTIFS(Payments!$G$5:$G$2500,$K148,Payments!$C$5:$C$2500,"&lt;&gt;")=0,"",_xlfn.MAXIFS(Payments!$C$5:$C$2500,Payments!$G$5:$G$2500,$K148)))</f>
      </c>
      <c r="F148" s="34">
        <f>IF(OR($D148="",$K148=""),"",SUMIF(Payments!$G$5:$G$2500,$K148,Payments!$D$5:$D$2500))</f>
      </c>
      <c r="G148" s="36">
        <f>IF($D148="","",ROUND($D148-IF($F148="",0,$F148),2))</f>
      </c>
      <c r="H148" s="35">
        <f>IF(OR($D148="",$K148=""),"",COUNTIF(Payments!$G$5:$G$2500,$K148))</f>
      </c>
      <c r="I148" s="37">
        <f>IF($D148="","",IF(OR($F148="",$F148=0),"Pending",IF(ROUND($F148-$D148,2)&gt;0,"Overpaid",IF(ROUND($F148-$D148,2)=0,"Paid","Partial"))))</f>
      </c>
      <c r="J148" s="29"/>
      <c r="K148">
        <f>IF($A148="","","#"&amp;TRIM(SUBSTITUTE(SUBSTITUTE(SUBSTITUTE(SUBSTITUTE(SUBSTITUTE(SUBSTITUTE($A148,"-",""),"(",""),")",""),".",""),"+","")," ","")))</f>
      </c>
    </row>
    <row r="149" spans="1:11" x14ac:dyDescent="0.3">
      <c r="A149" s="28"/>
      <c r="B149" s="29"/>
      <c r="C149" s="30"/>
      <c r="D149" s="31"/>
      <c r="E149" s="33">
        <f>IF(OR($D149="",$K149=""),"",IF(COUNTIFS(Payments!$G$5:$G$2500,$K149,Payments!$C$5:$C$2500,"&lt;&gt;")=0,"",_xlfn.MAXIFS(Payments!$C$5:$C$2500,Payments!$G$5:$G$2500,$K149)))</f>
      </c>
      <c r="F149" s="34">
        <f>IF(OR($D149="",$K149=""),"",SUMIF(Payments!$G$5:$G$2500,$K149,Payments!$D$5:$D$2500))</f>
      </c>
      <c r="G149" s="36">
        <f>IF($D149="","",ROUND($D149-IF($F149="",0,$F149),2))</f>
      </c>
      <c r="H149" s="35">
        <f>IF(OR($D149="",$K149=""),"",COUNTIF(Payments!$G$5:$G$2500,$K149))</f>
      </c>
      <c r="I149" s="37">
        <f>IF($D149="","",IF(OR($F149="",$F149=0),"Pending",IF(ROUND($F149-$D149,2)&gt;0,"Overpaid",IF(ROUND($F149-$D149,2)=0,"Paid","Partial"))))</f>
      </c>
      <c r="J149" s="29"/>
      <c r="K149">
        <f>IF($A149="","","#"&amp;TRIM(SUBSTITUTE(SUBSTITUTE(SUBSTITUTE(SUBSTITUTE(SUBSTITUTE(SUBSTITUTE($A149,"-",""),"(",""),")",""),".",""),"+","")," ","")))</f>
      </c>
    </row>
    <row r="150" spans="1:11" x14ac:dyDescent="0.3">
      <c r="A150" s="28"/>
      <c r="B150" s="29"/>
      <c r="C150" s="30"/>
      <c r="D150" s="31"/>
      <c r="E150" s="33">
        <f>IF(OR($D150="",$K150=""),"",IF(COUNTIFS(Payments!$G$5:$G$2500,$K150,Payments!$C$5:$C$2500,"&lt;&gt;")=0,"",_xlfn.MAXIFS(Payments!$C$5:$C$2500,Payments!$G$5:$G$2500,$K150)))</f>
      </c>
      <c r="F150" s="34">
        <f>IF(OR($D150="",$K150=""),"",SUMIF(Payments!$G$5:$G$2500,$K150,Payments!$D$5:$D$2500))</f>
      </c>
      <c r="G150" s="36">
        <f>IF($D150="","",ROUND($D150-IF($F150="",0,$F150),2))</f>
      </c>
      <c r="H150" s="35">
        <f>IF(OR($D150="",$K150=""),"",COUNTIF(Payments!$G$5:$G$2500,$K150))</f>
      </c>
      <c r="I150" s="37">
        <f>IF($D150="","",IF(OR($F150="",$F150=0),"Pending",IF(ROUND($F150-$D150,2)&gt;0,"Overpaid",IF(ROUND($F150-$D150,2)=0,"Paid","Partial"))))</f>
      </c>
      <c r="J150" s="29"/>
      <c r="K150">
        <f>IF($A150="","","#"&amp;TRIM(SUBSTITUTE(SUBSTITUTE(SUBSTITUTE(SUBSTITUTE(SUBSTITUTE(SUBSTITUTE($A150,"-",""),"(",""),")",""),".",""),"+","")," ","")))</f>
      </c>
    </row>
    <row r="151" spans="1:11" x14ac:dyDescent="0.3">
      <c r="A151" s="28"/>
      <c r="B151" s="29"/>
      <c r="C151" s="30"/>
      <c r="D151" s="31"/>
      <c r="E151" s="33">
        <f>IF(OR($D151="",$K151=""),"",IF(COUNTIFS(Payments!$G$5:$G$2500,$K151,Payments!$C$5:$C$2500,"&lt;&gt;")=0,"",_xlfn.MAXIFS(Payments!$C$5:$C$2500,Payments!$G$5:$G$2500,$K151)))</f>
      </c>
      <c r="F151" s="34">
        <f>IF(OR($D151="",$K151=""),"",SUMIF(Payments!$G$5:$G$2500,$K151,Payments!$D$5:$D$2500))</f>
      </c>
      <c r="G151" s="36">
        <f>IF($D151="","",ROUND($D151-IF($F151="",0,$F151),2))</f>
      </c>
      <c r="H151" s="35">
        <f>IF(OR($D151="",$K151=""),"",COUNTIF(Payments!$G$5:$G$2500,$K151))</f>
      </c>
      <c r="I151" s="37">
        <f>IF($D151="","",IF(OR($F151="",$F151=0),"Pending",IF(ROUND($F151-$D151,2)&gt;0,"Overpaid",IF(ROUND($F151-$D151,2)=0,"Paid","Partial"))))</f>
      </c>
      <c r="J151" s="29"/>
      <c r="K151">
        <f>IF($A151="","","#"&amp;TRIM(SUBSTITUTE(SUBSTITUTE(SUBSTITUTE(SUBSTITUTE(SUBSTITUTE(SUBSTITUTE($A151,"-",""),"(",""),")",""),".",""),"+","")," ","")))</f>
      </c>
    </row>
    <row r="152" spans="1:11" x14ac:dyDescent="0.3">
      <c r="A152" s="28"/>
      <c r="B152" s="29"/>
      <c r="C152" s="30"/>
      <c r="D152" s="31"/>
      <c r="E152" s="33">
        <f>IF(OR($D152="",$K152=""),"",IF(COUNTIFS(Payments!$G$5:$G$2500,$K152,Payments!$C$5:$C$2500,"&lt;&gt;")=0,"",_xlfn.MAXIFS(Payments!$C$5:$C$2500,Payments!$G$5:$G$2500,$K152)))</f>
      </c>
      <c r="F152" s="34">
        <f>IF(OR($D152="",$K152=""),"",SUMIF(Payments!$G$5:$G$2500,$K152,Payments!$D$5:$D$2500))</f>
      </c>
      <c r="G152" s="36">
        <f>IF($D152="","",ROUND($D152-IF($F152="",0,$F152),2))</f>
      </c>
      <c r="H152" s="35">
        <f>IF(OR($D152="",$K152=""),"",COUNTIF(Payments!$G$5:$G$2500,$K152))</f>
      </c>
      <c r="I152" s="37">
        <f>IF($D152="","",IF(OR($F152="",$F152=0),"Pending",IF(ROUND($F152-$D152,2)&gt;0,"Overpaid",IF(ROUND($F152-$D152,2)=0,"Paid","Partial"))))</f>
      </c>
      <c r="J152" s="29"/>
      <c r="K152">
        <f>IF($A152="","","#"&amp;TRIM(SUBSTITUTE(SUBSTITUTE(SUBSTITUTE(SUBSTITUTE(SUBSTITUTE(SUBSTITUTE($A152,"-",""),"(",""),")",""),".",""),"+","")," ","")))</f>
      </c>
    </row>
    <row r="153" spans="1:11" x14ac:dyDescent="0.3">
      <c r="A153" s="28"/>
      <c r="B153" s="29"/>
      <c r="C153" s="30"/>
      <c r="D153" s="31"/>
      <c r="E153" s="33">
        <f>IF(OR($D153="",$K153=""),"",IF(COUNTIFS(Payments!$G$5:$G$2500,$K153,Payments!$C$5:$C$2500,"&lt;&gt;")=0,"",_xlfn.MAXIFS(Payments!$C$5:$C$2500,Payments!$G$5:$G$2500,$K153)))</f>
      </c>
      <c r="F153" s="34">
        <f>IF(OR($D153="",$K153=""),"",SUMIF(Payments!$G$5:$G$2500,$K153,Payments!$D$5:$D$2500))</f>
      </c>
      <c r="G153" s="36">
        <f>IF($D153="","",ROUND($D153-IF($F153="",0,$F153),2))</f>
      </c>
      <c r="H153" s="35">
        <f>IF(OR($D153="",$K153=""),"",COUNTIF(Payments!$G$5:$G$2500,$K153))</f>
      </c>
      <c r="I153" s="37">
        <f>IF($D153="","",IF(OR($F153="",$F153=0),"Pending",IF(ROUND($F153-$D153,2)&gt;0,"Overpaid",IF(ROUND($F153-$D153,2)=0,"Paid","Partial"))))</f>
      </c>
      <c r="J153" s="29"/>
      <c r="K153">
        <f>IF($A153="","","#"&amp;TRIM(SUBSTITUTE(SUBSTITUTE(SUBSTITUTE(SUBSTITUTE(SUBSTITUTE(SUBSTITUTE($A153,"-",""),"(",""),")",""),".",""),"+","")," ","")))</f>
      </c>
    </row>
    <row r="154" spans="1:11" x14ac:dyDescent="0.3">
      <c r="A154" s="28"/>
      <c r="B154" s="29"/>
      <c r="C154" s="30"/>
      <c r="D154" s="31"/>
      <c r="E154" s="33">
        <f>IF(OR($D154="",$K154=""),"",IF(COUNTIFS(Payments!$G$5:$G$2500,$K154,Payments!$C$5:$C$2500,"&lt;&gt;")=0,"",_xlfn.MAXIFS(Payments!$C$5:$C$2500,Payments!$G$5:$G$2500,$K154)))</f>
      </c>
      <c r="F154" s="34">
        <f>IF(OR($D154="",$K154=""),"",SUMIF(Payments!$G$5:$G$2500,$K154,Payments!$D$5:$D$2500))</f>
      </c>
      <c r="G154" s="36">
        <f>IF($D154="","",ROUND($D154-IF($F154="",0,$F154),2))</f>
      </c>
      <c r="H154" s="35">
        <f>IF(OR($D154="",$K154=""),"",COUNTIF(Payments!$G$5:$G$2500,$K154))</f>
      </c>
      <c r="I154" s="37">
        <f>IF($D154="","",IF(OR($F154="",$F154=0),"Pending",IF(ROUND($F154-$D154,2)&gt;0,"Overpaid",IF(ROUND($F154-$D154,2)=0,"Paid","Partial"))))</f>
      </c>
      <c r="J154" s="29"/>
      <c r="K154">
        <f>IF($A154="","","#"&amp;TRIM(SUBSTITUTE(SUBSTITUTE(SUBSTITUTE(SUBSTITUTE(SUBSTITUTE(SUBSTITUTE($A154,"-",""),"(",""),")",""),".",""),"+","")," ","")))</f>
      </c>
    </row>
    <row r="155" spans="1:11" x14ac:dyDescent="0.3">
      <c r="A155" s="28"/>
      <c r="B155" s="29"/>
      <c r="C155" s="30"/>
      <c r="D155" s="31"/>
      <c r="E155" s="33">
        <f>IF(OR($D155="",$K155=""),"",IF(COUNTIFS(Payments!$G$5:$G$2500,$K155,Payments!$C$5:$C$2500,"&lt;&gt;")=0,"",_xlfn.MAXIFS(Payments!$C$5:$C$2500,Payments!$G$5:$G$2500,$K155)))</f>
      </c>
      <c r="F155" s="34">
        <f>IF(OR($D155="",$K155=""),"",SUMIF(Payments!$G$5:$G$2500,$K155,Payments!$D$5:$D$2500))</f>
      </c>
      <c r="G155" s="36">
        <f>IF($D155="","",ROUND($D155-IF($F155="",0,$F155),2))</f>
      </c>
      <c r="H155" s="35">
        <f>IF(OR($D155="",$K155=""),"",COUNTIF(Payments!$G$5:$G$2500,$K155))</f>
      </c>
      <c r="I155" s="37">
        <f>IF($D155="","",IF(OR($F155="",$F155=0),"Pending",IF(ROUND($F155-$D155,2)&gt;0,"Overpaid",IF(ROUND($F155-$D155,2)=0,"Paid","Partial"))))</f>
      </c>
      <c r="J155" s="29"/>
      <c r="K155">
        <f>IF($A155="","","#"&amp;TRIM(SUBSTITUTE(SUBSTITUTE(SUBSTITUTE(SUBSTITUTE(SUBSTITUTE(SUBSTITUTE($A155,"-",""),"(",""),")",""),".",""),"+","")," ","")))</f>
      </c>
    </row>
    <row r="156" spans="1:11" x14ac:dyDescent="0.3">
      <c r="A156" s="28"/>
      <c r="B156" s="29"/>
      <c r="C156" s="30"/>
      <c r="D156" s="31"/>
      <c r="E156" s="33">
        <f>IF(OR($D156="",$K156=""),"",IF(COUNTIFS(Payments!$G$5:$G$2500,$K156,Payments!$C$5:$C$2500,"&lt;&gt;")=0,"",_xlfn.MAXIFS(Payments!$C$5:$C$2500,Payments!$G$5:$G$2500,$K156)))</f>
      </c>
      <c r="F156" s="34">
        <f>IF(OR($D156="",$K156=""),"",SUMIF(Payments!$G$5:$G$2500,$K156,Payments!$D$5:$D$2500))</f>
      </c>
      <c r="G156" s="36">
        <f>IF($D156="","",ROUND($D156-IF($F156="",0,$F156),2))</f>
      </c>
      <c r="H156" s="35">
        <f>IF(OR($D156="",$K156=""),"",COUNTIF(Payments!$G$5:$G$2500,$K156))</f>
      </c>
      <c r="I156" s="37">
        <f>IF($D156="","",IF(OR($F156="",$F156=0),"Pending",IF(ROUND($F156-$D156,2)&gt;0,"Overpaid",IF(ROUND($F156-$D156,2)=0,"Paid","Partial"))))</f>
      </c>
      <c r="J156" s="29"/>
      <c r="K156">
        <f>IF($A156="","","#"&amp;TRIM(SUBSTITUTE(SUBSTITUTE(SUBSTITUTE(SUBSTITUTE(SUBSTITUTE(SUBSTITUTE($A156,"-",""),"(",""),")",""),".",""),"+","")," ","")))</f>
      </c>
    </row>
    <row r="157" spans="1:11" x14ac:dyDescent="0.3">
      <c r="A157" s="28"/>
      <c r="B157" s="29"/>
      <c r="C157" s="30"/>
      <c r="D157" s="31"/>
      <c r="E157" s="33">
        <f>IF(OR($D157="",$K157=""),"",IF(COUNTIFS(Payments!$G$5:$G$2500,$K157,Payments!$C$5:$C$2500,"&lt;&gt;")=0,"",_xlfn.MAXIFS(Payments!$C$5:$C$2500,Payments!$G$5:$G$2500,$K157)))</f>
      </c>
      <c r="F157" s="34">
        <f>IF(OR($D157="",$K157=""),"",SUMIF(Payments!$G$5:$G$2500,$K157,Payments!$D$5:$D$2500))</f>
      </c>
      <c r="G157" s="36">
        <f>IF($D157="","",ROUND($D157-IF($F157="",0,$F157),2))</f>
      </c>
      <c r="H157" s="35">
        <f>IF(OR($D157="",$K157=""),"",COUNTIF(Payments!$G$5:$G$2500,$K157))</f>
      </c>
      <c r="I157" s="37">
        <f>IF($D157="","",IF(OR($F157="",$F157=0),"Pending",IF(ROUND($F157-$D157,2)&gt;0,"Overpaid",IF(ROUND($F157-$D157,2)=0,"Paid","Partial"))))</f>
      </c>
      <c r="J157" s="29"/>
      <c r="K157">
        <f>IF($A157="","","#"&amp;TRIM(SUBSTITUTE(SUBSTITUTE(SUBSTITUTE(SUBSTITUTE(SUBSTITUTE(SUBSTITUTE($A157,"-",""),"(",""),")",""),".",""),"+","")," ","")))</f>
      </c>
    </row>
    <row r="158" spans="1:11" x14ac:dyDescent="0.3">
      <c r="A158" s="28"/>
      <c r="B158" s="29"/>
      <c r="C158" s="30"/>
      <c r="D158" s="31"/>
      <c r="E158" s="33">
        <f>IF(OR($D158="",$K158=""),"",IF(COUNTIFS(Payments!$G$5:$G$2500,$K158,Payments!$C$5:$C$2500,"&lt;&gt;")=0,"",_xlfn.MAXIFS(Payments!$C$5:$C$2500,Payments!$G$5:$G$2500,$K158)))</f>
      </c>
      <c r="F158" s="34">
        <f>IF(OR($D158="",$K158=""),"",SUMIF(Payments!$G$5:$G$2500,$K158,Payments!$D$5:$D$2500))</f>
      </c>
      <c r="G158" s="36">
        <f>IF($D158="","",ROUND($D158-IF($F158="",0,$F158),2))</f>
      </c>
      <c r="H158" s="35">
        <f>IF(OR($D158="",$K158=""),"",COUNTIF(Payments!$G$5:$G$2500,$K158))</f>
      </c>
      <c r="I158" s="37">
        <f>IF($D158="","",IF(OR($F158="",$F158=0),"Pending",IF(ROUND($F158-$D158,2)&gt;0,"Overpaid",IF(ROUND($F158-$D158,2)=0,"Paid","Partial"))))</f>
      </c>
      <c r="J158" s="29"/>
      <c r="K158">
        <f>IF($A158="","","#"&amp;TRIM(SUBSTITUTE(SUBSTITUTE(SUBSTITUTE(SUBSTITUTE(SUBSTITUTE(SUBSTITUTE($A158,"-",""),"(",""),")",""),".",""),"+","")," ","")))</f>
      </c>
    </row>
    <row r="159" spans="1:11" x14ac:dyDescent="0.3">
      <c r="A159" s="28"/>
      <c r="B159" s="29"/>
      <c r="C159" s="30"/>
      <c r="D159" s="31"/>
      <c r="E159" s="33">
        <f>IF(OR($D159="",$K159=""),"",IF(COUNTIFS(Payments!$G$5:$G$2500,$K159,Payments!$C$5:$C$2500,"&lt;&gt;")=0,"",_xlfn.MAXIFS(Payments!$C$5:$C$2500,Payments!$G$5:$G$2500,$K159)))</f>
      </c>
      <c r="F159" s="34">
        <f>IF(OR($D159="",$K159=""),"",SUMIF(Payments!$G$5:$G$2500,$K159,Payments!$D$5:$D$2500))</f>
      </c>
      <c r="G159" s="36">
        <f>IF($D159="","",ROUND($D159-IF($F159="",0,$F159),2))</f>
      </c>
      <c r="H159" s="35">
        <f>IF(OR($D159="",$K159=""),"",COUNTIF(Payments!$G$5:$G$2500,$K159))</f>
      </c>
      <c r="I159" s="37">
        <f>IF($D159="","",IF(OR($F159="",$F159=0),"Pending",IF(ROUND($F159-$D159,2)&gt;0,"Overpaid",IF(ROUND($F159-$D159,2)=0,"Paid","Partial"))))</f>
      </c>
      <c r="J159" s="29"/>
      <c r="K159">
        <f>IF($A159="","","#"&amp;TRIM(SUBSTITUTE(SUBSTITUTE(SUBSTITUTE(SUBSTITUTE(SUBSTITUTE(SUBSTITUTE($A159,"-",""),"(",""),")",""),".",""),"+","")," ","")))</f>
      </c>
    </row>
    <row r="160" spans="1:11" x14ac:dyDescent="0.3">
      <c r="A160" s="28"/>
      <c r="B160" s="29"/>
      <c r="C160" s="30"/>
      <c r="D160" s="31"/>
      <c r="E160" s="33">
        <f>IF(OR($D160="",$K160=""),"",IF(COUNTIFS(Payments!$G$5:$G$2500,$K160,Payments!$C$5:$C$2500,"&lt;&gt;")=0,"",_xlfn.MAXIFS(Payments!$C$5:$C$2500,Payments!$G$5:$G$2500,$K160)))</f>
      </c>
      <c r="F160" s="34">
        <f>IF(OR($D160="",$K160=""),"",SUMIF(Payments!$G$5:$G$2500,$K160,Payments!$D$5:$D$2500))</f>
      </c>
      <c r="G160" s="36">
        <f>IF($D160="","",ROUND($D160-IF($F160="",0,$F160),2))</f>
      </c>
      <c r="H160" s="35">
        <f>IF(OR($D160="",$K160=""),"",COUNTIF(Payments!$G$5:$G$2500,$K160))</f>
      </c>
      <c r="I160" s="37">
        <f>IF($D160="","",IF(OR($F160="",$F160=0),"Pending",IF(ROUND($F160-$D160,2)&gt;0,"Overpaid",IF(ROUND($F160-$D160,2)=0,"Paid","Partial"))))</f>
      </c>
      <c r="J160" s="29"/>
      <c r="K160">
        <f>IF($A160="","","#"&amp;TRIM(SUBSTITUTE(SUBSTITUTE(SUBSTITUTE(SUBSTITUTE(SUBSTITUTE(SUBSTITUTE($A160,"-",""),"(",""),")",""),".",""),"+","")," ","")))</f>
      </c>
    </row>
    <row r="161" spans="1:11" x14ac:dyDescent="0.3">
      <c r="A161" s="28"/>
      <c r="B161" s="29"/>
      <c r="C161" s="30"/>
      <c r="D161" s="31"/>
      <c r="E161" s="33">
        <f>IF(OR($D161="",$K161=""),"",IF(COUNTIFS(Payments!$G$5:$G$2500,$K161,Payments!$C$5:$C$2500,"&lt;&gt;")=0,"",_xlfn.MAXIFS(Payments!$C$5:$C$2500,Payments!$G$5:$G$2500,$K161)))</f>
      </c>
      <c r="F161" s="34">
        <f>IF(OR($D161="",$K161=""),"",SUMIF(Payments!$G$5:$G$2500,$K161,Payments!$D$5:$D$2500))</f>
      </c>
      <c r="G161" s="36">
        <f>IF($D161="","",ROUND($D161-IF($F161="",0,$F161),2))</f>
      </c>
      <c r="H161" s="35">
        <f>IF(OR($D161="",$K161=""),"",COUNTIF(Payments!$G$5:$G$2500,$K161))</f>
      </c>
      <c r="I161" s="37">
        <f>IF($D161="","",IF(OR($F161="",$F161=0),"Pending",IF(ROUND($F161-$D161,2)&gt;0,"Overpaid",IF(ROUND($F161-$D161,2)=0,"Paid","Partial"))))</f>
      </c>
      <c r="J161" s="29"/>
      <c r="K161">
        <f>IF($A161="","","#"&amp;TRIM(SUBSTITUTE(SUBSTITUTE(SUBSTITUTE(SUBSTITUTE(SUBSTITUTE(SUBSTITUTE($A161,"-",""),"(",""),")",""),".",""),"+","")," ","")))</f>
      </c>
    </row>
    <row r="162" spans="1:11" x14ac:dyDescent="0.3">
      <c r="A162" s="28"/>
      <c r="B162" s="29"/>
      <c r="C162" s="30"/>
      <c r="D162" s="31"/>
      <c r="E162" s="33">
        <f>IF(OR($D162="",$K162=""),"",IF(COUNTIFS(Payments!$G$5:$G$2500,$K162,Payments!$C$5:$C$2500,"&lt;&gt;")=0,"",_xlfn.MAXIFS(Payments!$C$5:$C$2500,Payments!$G$5:$G$2500,$K162)))</f>
      </c>
      <c r="F162" s="34">
        <f>IF(OR($D162="",$K162=""),"",SUMIF(Payments!$G$5:$G$2500,$K162,Payments!$D$5:$D$2500))</f>
      </c>
      <c r="G162" s="36">
        <f>IF($D162="","",ROUND($D162-IF($F162="",0,$F162),2))</f>
      </c>
      <c r="H162" s="35">
        <f>IF(OR($D162="",$K162=""),"",COUNTIF(Payments!$G$5:$G$2500,$K162))</f>
      </c>
      <c r="I162" s="37">
        <f>IF($D162="","",IF(OR($F162="",$F162=0),"Pending",IF(ROUND($F162-$D162,2)&gt;0,"Overpaid",IF(ROUND($F162-$D162,2)=0,"Paid","Partial"))))</f>
      </c>
      <c r="J162" s="29"/>
      <c r="K162">
        <f>IF($A162="","","#"&amp;TRIM(SUBSTITUTE(SUBSTITUTE(SUBSTITUTE(SUBSTITUTE(SUBSTITUTE(SUBSTITUTE($A162,"-",""),"(",""),")",""),".",""),"+","")," ","")))</f>
      </c>
    </row>
    <row r="163" spans="1:11" x14ac:dyDescent="0.3">
      <c r="A163" s="28"/>
      <c r="B163" s="29"/>
      <c r="C163" s="30"/>
      <c r="D163" s="31"/>
      <c r="E163" s="33">
        <f>IF(OR($D163="",$K163=""),"",IF(COUNTIFS(Payments!$G$5:$G$2500,$K163,Payments!$C$5:$C$2500,"&lt;&gt;")=0,"",_xlfn.MAXIFS(Payments!$C$5:$C$2500,Payments!$G$5:$G$2500,$K163)))</f>
      </c>
      <c r="F163" s="34">
        <f>IF(OR($D163="",$K163=""),"",SUMIF(Payments!$G$5:$G$2500,$K163,Payments!$D$5:$D$2500))</f>
      </c>
      <c r="G163" s="36">
        <f>IF($D163="","",ROUND($D163-IF($F163="",0,$F163),2))</f>
      </c>
      <c r="H163" s="35">
        <f>IF(OR($D163="",$K163=""),"",COUNTIF(Payments!$G$5:$G$2500,$K163))</f>
      </c>
      <c r="I163" s="37">
        <f>IF($D163="","",IF(OR($F163="",$F163=0),"Pending",IF(ROUND($F163-$D163,2)&gt;0,"Overpaid",IF(ROUND($F163-$D163,2)=0,"Paid","Partial"))))</f>
      </c>
      <c r="J163" s="29"/>
      <c r="K163">
        <f>IF($A163="","","#"&amp;TRIM(SUBSTITUTE(SUBSTITUTE(SUBSTITUTE(SUBSTITUTE(SUBSTITUTE(SUBSTITUTE($A163,"-",""),"(",""),")",""),".",""),"+","")," ","")))</f>
      </c>
    </row>
    <row r="164" spans="1:11" x14ac:dyDescent="0.3">
      <c r="A164" s="28"/>
      <c r="B164" s="29"/>
      <c r="C164" s="30"/>
      <c r="D164" s="31"/>
      <c r="E164" s="33">
        <f>IF(OR($D164="",$K164=""),"",IF(COUNTIFS(Payments!$G$5:$G$2500,$K164,Payments!$C$5:$C$2500,"&lt;&gt;")=0,"",_xlfn.MAXIFS(Payments!$C$5:$C$2500,Payments!$G$5:$G$2500,$K164)))</f>
      </c>
      <c r="F164" s="34">
        <f>IF(OR($D164="",$K164=""),"",SUMIF(Payments!$G$5:$G$2500,$K164,Payments!$D$5:$D$2500))</f>
      </c>
      <c r="G164" s="36">
        <f>IF($D164="","",ROUND($D164-IF($F164="",0,$F164),2))</f>
      </c>
      <c r="H164" s="35">
        <f>IF(OR($D164="",$K164=""),"",COUNTIF(Payments!$G$5:$G$2500,$K164))</f>
      </c>
      <c r="I164" s="37">
        <f>IF($D164="","",IF(OR($F164="",$F164=0),"Pending",IF(ROUND($F164-$D164,2)&gt;0,"Overpaid",IF(ROUND($F164-$D164,2)=0,"Paid","Partial"))))</f>
      </c>
      <c r="J164" s="29"/>
      <c r="K164">
        <f>IF($A164="","","#"&amp;TRIM(SUBSTITUTE(SUBSTITUTE(SUBSTITUTE(SUBSTITUTE(SUBSTITUTE(SUBSTITUTE($A164,"-",""),"(",""),")",""),".",""),"+","")," ","")))</f>
      </c>
    </row>
    <row r="165" spans="1:11" x14ac:dyDescent="0.3">
      <c r="A165" s="28"/>
      <c r="B165" s="29"/>
      <c r="C165" s="30"/>
      <c r="D165" s="31"/>
      <c r="E165" s="33">
        <f>IF(OR($D165="",$K165=""),"",IF(COUNTIFS(Payments!$G$5:$G$2500,$K165,Payments!$C$5:$C$2500,"&lt;&gt;")=0,"",_xlfn.MAXIFS(Payments!$C$5:$C$2500,Payments!$G$5:$G$2500,$K165)))</f>
      </c>
      <c r="F165" s="34">
        <f>IF(OR($D165="",$K165=""),"",SUMIF(Payments!$G$5:$G$2500,$K165,Payments!$D$5:$D$2500))</f>
      </c>
      <c r="G165" s="36">
        <f>IF($D165="","",ROUND($D165-IF($F165="",0,$F165),2))</f>
      </c>
      <c r="H165" s="35">
        <f>IF(OR($D165="",$K165=""),"",COUNTIF(Payments!$G$5:$G$2500,$K165))</f>
      </c>
      <c r="I165" s="37">
        <f>IF($D165="","",IF(OR($F165="",$F165=0),"Pending",IF(ROUND($F165-$D165,2)&gt;0,"Overpaid",IF(ROUND($F165-$D165,2)=0,"Paid","Partial"))))</f>
      </c>
      <c r="J165" s="29"/>
      <c r="K165">
        <f>IF($A165="","","#"&amp;TRIM(SUBSTITUTE(SUBSTITUTE(SUBSTITUTE(SUBSTITUTE(SUBSTITUTE(SUBSTITUTE($A165,"-",""),"(",""),")",""),".",""),"+","")," ","")))</f>
      </c>
    </row>
    <row r="166" spans="1:11" x14ac:dyDescent="0.3">
      <c r="A166" s="28"/>
      <c r="B166" s="29"/>
      <c r="C166" s="30"/>
      <c r="D166" s="31"/>
      <c r="E166" s="33">
        <f>IF(OR($D166="",$K166=""),"",IF(COUNTIFS(Payments!$G$5:$G$2500,$K166,Payments!$C$5:$C$2500,"&lt;&gt;")=0,"",_xlfn.MAXIFS(Payments!$C$5:$C$2500,Payments!$G$5:$G$2500,$K166)))</f>
      </c>
      <c r="F166" s="34">
        <f>IF(OR($D166="",$K166=""),"",SUMIF(Payments!$G$5:$G$2500,$K166,Payments!$D$5:$D$2500))</f>
      </c>
      <c r="G166" s="36">
        <f>IF($D166="","",ROUND($D166-IF($F166="",0,$F166),2))</f>
      </c>
      <c r="H166" s="35">
        <f>IF(OR($D166="",$K166=""),"",COUNTIF(Payments!$G$5:$G$2500,$K166))</f>
      </c>
      <c r="I166" s="37">
        <f>IF($D166="","",IF(OR($F166="",$F166=0),"Pending",IF(ROUND($F166-$D166,2)&gt;0,"Overpaid",IF(ROUND($F166-$D166,2)=0,"Paid","Partial"))))</f>
      </c>
      <c r="J166" s="29"/>
      <c r="K166">
        <f>IF($A166="","","#"&amp;TRIM(SUBSTITUTE(SUBSTITUTE(SUBSTITUTE(SUBSTITUTE(SUBSTITUTE(SUBSTITUTE($A166,"-",""),"(",""),")",""),".",""),"+","")," ","")))</f>
      </c>
    </row>
    <row r="167" spans="1:11" x14ac:dyDescent="0.3">
      <c r="A167" s="28"/>
      <c r="B167" s="29"/>
      <c r="C167" s="30"/>
      <c r="D167" s="31"/>
      <c r="E167" s="33">
        <f>IF(OR($D167="",$K167=""),"",IF(COUNTIFS(Payments!$G$5:$G$2500,$K167,Payments!$C$5:$C$2500,"&lt;&gt;")=0,"",_xlfn.MAXIFS(Payments!$C$5:$C$2500,Payments!$G$5:$G$2500,$K167)))</f>
      </c>
      <c r="F167" s="34">
        <f>IF(OR($D167="",$K167=""),"",SUMIF(Payments!$G$5:$G$2500,$K167,Payments!$D$5:$D$2500))</f>
      </c>
      <c r="G167" s="36">
        <f>IF($D167="","",ROUND($D167-IF($F167="",0,$F167),2))</f>
      </c>
      <c r="H167" s="35">
        <f>IF(OR($D167="",$K167=""),"",COUNTIF(Payments!$G$5:$G$2500,$K167))</f>
      </c>
      <c r="I167" s="37">
        <f>IF($D167="","",IF(OR($F167="",$F167=0),"Pending",IF(ROUND($F167-$D167,2)&gt;0,"Overpaid",IF(ROUND($F167-$D167,2)=0,"Paid","Partial"))))</f>
      </c>
      <c r="J167" s="29"/>
      <c r="K167">
        <f>IF($A167="","","#"&amp;TRIM(SUBSTITUTE(SUBSTITUTE(SUBSTITUTE(SUBSTITUTE(SUBSTITUTE(SUBSTITUTE($A167,"-",""),"(",""),")",""),".",""),"+","")," ","")))</f>
      </c>
    </row>
    <row r="168" spans="1:11" x14ac:dyDescent="0.3">
      <c r="A168" s="28"/>
      <c r="B168" s="29"/>
      <c r="C168" s="30"/>
      <c r="D168" s="31"/>
      <c r="E168" s="33">
        <f>IF(OR($D168="",$K168=""),"",IF(COUNTIFS(Payments!$G$5:$G$2500,$K168,Payments!$C$5:$C$2500,"&lt;&gt;")=0,"",_xlfn.MAXIFS(Payments!$C$5:$C$2500,Payments!$G$5:$G$2500,$K168)))</f>
      </c>
      <c r="F168" s="34">
        <f>IF(OR($D168="",$K168=""),"",SUMIF(Payments!$G$5:$G$2500,$K168,Payments!$D$5:$D$2500))</f>
      </c>
      <c r="G168" s="36">
        <f>IF($D168="","",ROUND($D168-IF($F168="",0,$F168),2))</f>
      </c>
      <c r="H168" s="35">
        <f>IF(OR($D168="",$K168=""),"",COUNTIF(Payments!$G$5:$G$2500,$K168))</f>
      </c>
      <c r="I168" s="37">
        <f>IF($D168="","",IF(OR($F168="",$F168=0),"Pending",IF(ROUND($F168-$D168,2)&gt;0,"Overpaid",IF(ROUND($F168-$D168,2)=0,"Paid","Partial"))))</f>
      </c>
      <c r="J168" s="29"/>
      <c r="K168">
        <f>IF($A168="","","#"&amp;TRIM(SUBSTITUTE(SUBSTITUTE(SUBSTITUTE(SUBSTITUTE(SUBSTITUTE(SUBSTITUTE($A168,"-",""),"(",""),")",""),".",""),"+","")," ","")))</f>
      </c>
    </row>
    <row r="169" spans="1:11" x14ac:dyDescent="0.3">
      <c r="A169" s="28"/>
      <c r="B169" s="29"/>
      <c r="C169" s="30"/>
      <c r="D169" s="31"/>
      <c r="E169" s="33">
        <f>IF(OR($D169="",$K169=""),"",IF(COUNTIFS(Payments!$G$5:$G$2500,$K169,Payments!$C$5:$C$2500,"&lt;&gt;")=0,"",_xlfn.MAXIFS(Payments!$C$5:$C$2500,Payments!$G$5:$G$2500,$K169)))</f>
      </c>
      <c r="F169" s="34">
        <f>IF(OR($D169="",$K169=""),"",SUMIF(Payments!$G$5:$G$2500,$K169,Payments!$D$5:$D$2500))</f>
      </c>
      <c r="G169" s="36">
        <f>IF($D169="","",ROUND($D169-IF($F169="",0,$F169),2))</f>
      </c>
      <c r="H169" s="35">
        <f>IF(OR($D169="",$K169=""),"",COUNTIF(Payments!$G$5:$G$2500,$K169))</f>
      </c>
      <c r="I169" s="37">
        <f>IF($D169="","",IF(OR($F169="",$F169=0),"Pending",IF(ROUND($F169-$D169,2)&gt;0,"Overpaid",IF(ROUND($F169-$D169,2)=0,"Paid","Partial"))))</f>
      </c>
      <c r="J169" s="29"/>
      <c r="K169">
        <f>IF($A169="","","#"&amp;TRIM(SUBSTITUTE(SUBSTITUTE(SUBSTITUTE(SUBSTITUTE(SUBSTITUTE(SUBSTITUTE($A169,"-",""),"(",""),")",""),".",""),"+","")," ","")))</f>
      </c>
    </row>
    <row r="170" spans="1:11" x14ac:dyDescent="0.3">
      <c r="A170" s="28"/>
      <c r="B170" s="29"/>
      <c r="C170" s="30"/>
      <c r="D170" s="31"/>
      <c r="E170" s="33">
        <f>IF(OR($D170="",$K170=""),"",IF(COUNTIFS(Payments!$G$5:$G$2500,$K170,Payments!$C$5:$C$2500,"&lt;&gt;")=0,"",_xlfn.MAXIFS(Payments!$C$5:$C$2500,Payments!$G$5:$G$2500,$K170)))</f>
      </c>
      <c r="F170" s="34">
        <f>IF(OR($D170="",$K170=""),"",SUMIF(Payments!$G$5:$G$2500,$K170,Payments!$D$5:$D$2500))</f>
      </c>
      <c r="G170" s="36">
        <f>IF($D170="","",ROUND($D170-IF($F170="",0,$F170),2))</f>
      </c>
      <c r="H170" s="35">
        <f>IF(OR($D170="",$K170=""),"",COUNTIF(Payments!$G$5:$G$2500,$K170))</f>
      </c>
      <c r="I170" s="37">
        <f>IF($D170="","",IF(OR($F170="",$F170=0),"Pending",IF(ROUND($F170-$D170,2)&gt;0,"Overpaid",IF(ROUND($F170-$D170,2)=0,"Paid","Partial"))))</f>
      </c>
      <c r="J170" s="29"/>
      <c r="K170">
        <f>IF($A170="","","#"&amp;TRIM(SUBSTITUTE(SUBSTITUTE(SUBSTITUTE(SUBSTITUTE(SUBSTITUTE(SUBSTITUTE($A170,"-",""),"(",""),")",""),".",""),"+","")," ","")))</f>
      </c>
    </row>
    <row r="171" spans="1:11" x14ac:dyDescent="0.3">
      <c r="A171" s="28"/>
      <c r="B171" s="29"/>
      <c r="C171" s="30"/>
      <c r="D171" s="31"/>
      <c r="E171" s="33">
        <f>IF(OR($D171="",$K171=""),"",IF(COUNTIFS(Payments!$G$5:$G$2500,$K171,Payments!$C$5:$C$2500,"&lt;&gt;")=0,"",_xlfn.MAXIFS(Payments!$C$5:$C$2500,Payments!$G$5:$G$2500,$K171)))</f>
      </c>
      <c r="F171" s="34">
        <f>IF(OR($D171="",$K171=""),"",SUMIF(Payments!$G$5:$G$2500,$K171,Payments!$D$5:$D$2500))</f>
      </c>
      <c r="G171" s="36">
        <f>IF($D171="","",ROUND($D171-IF($F171="",0,$F171),2))</f>
      </c>
      <c r="H171" s="35">
        <f>IF(OR($D171="",$K171=""),"",COUNTIF(Payments!$G$5:$G$2500,$K171))</f>
      </c>
      <c r="I171" s="37">
        <f>IF($D171="","",IF(OR($F171="",$F171=0),"Pending",IF(ROUND($F171-$D171,2)&gt;0,"Overpaid",IF(ROUND($F171-$D171,2)=0,"Paid","Partial"))))</f>
      </c>
      <c r="J171" s="29"/>
      <c r="K171">
        <f>IF($A171="","","#"&amp;TRIM(SUBSTITUTE(SUBSTITUTE(SUBSTITUTE(SUBSTITUTE(SUBSTITUTE(SUBSTITUTE($A171,"-",""),"(",""),")",""),".",""),"+","")," ","")))</f>
      </c>
    </row>
    <row r="172" spans="1:11" x14ac:dyDescent="0.3">
      <c r="A172" s="28"/>
      <c r="B172" s="29"/>
      <c r="C172" s="30"/>
      <c r="D172" s="31"/>
      <c r="E172" s="33">
        <f>IF(OR($D172="",$K172=""),"",IF(COUNTIFS(Payments!$G$5:$G$2500,$K172,Payments!$C$5:$C$2500,"&lt;&gt;")=0,"",_xlfn.MAXIFS(Payments!$C$5:$C$2500,Payments!$G$5:$G$2500,$K172)))</f>
      </c>
      <c r="F172" s="34">
        <f>IF(OR($D172="",$K172=""),"",SUMIF(Payments!$G$5:$G$2500,$K172,Payments!$D$5:$D$2500))</f>
      </c>
      <c r="G172" s="36">
        <f>IF($D172="","",ROUND($D172-IF($F172="",0,$F172),2))</f>
      </c>
      <c r="H172" s="35">
        <f>IF(OR($D172="",$K172=""),"",COUNTIF(Payments!$G$5:$G$2500,$K172))</f>
      </c>
      <c r="I172" s="37">
        <f>IF($D172="","",IF(OR($F172="",$F172=0),"Pending",IF(ROUND($F172-$D172,2)&gt;0,"Overpaid",IF(ROUND($F172-$D172,2)=0,"Paid","Partial"))))</f>
      </c>
      <c r="J172" s="29"/>
      <c r="K172">
        <f>IF($A172="","","#"&amp;TRIM(SUBSTITUTE(SUBSTITUTE(SUBSTITUTE(SUBSTITUTE(SUBSTITUTE(SUBSTITUTE($A172,"-",""),"(",""),")",""),".",""),"+","")," ","")))</f>
      </c>
    </row>
    <row r="173" spans="1:11" x14ac:dyDescent="0.3">
      <c r="A173" s="28"/>
      <c r="B173" s="29"/>
      <c r="C173" s="30"/>
      <c r="D173" s="31"/>
      <c r="E173" s="33">
        <f>IF(OR($D173="",$K173=""),"",IF(COUNTIFS(Payments!$G$5:$G$2500,$K173,Payments!$C$5:$C$2500,"&lt;&gt;")=0,"",_xlfn.MAXIFS(Payments!$C$5:$C$2500,Payments!$G$5:$G$2500,$K173)))</f>
      </c>
      <c r="F173" s="34">
        <f>IF(OR($D173="",$K173=""),"",SUMIF(Payments!$G$5:$G$2500,$K173,Payments!$D$5:$D$2500))</f>
      </c>
      <c r="G173" s="36">
        <f>IF($D173="","",ROUND($D173-IF($F173="",0,$F173),2))</f>
      </c>
      <c r="H173" s="35">
        <f>IF(OR($D173="",$K173=""),"",COUNTIF(Payments!$G$5:$G$2500,$K173))</f>
      </c>
      <c r="I173" s="37">
        <f>IF($D173="","",IF(OR($F173="",$F173=0),"Pending",IF(ROUND($F173-$D173,2)&gt;0,"Overpaid",IF(ROUND($F173-$D173,2)=0,"Paid","Partial"))))</f>
      </c>
      <c r="J173" s="29"/>
      <c r="K173">
        <f>IF($A173="","","#"&amp;TRIM(SUBSTITUTE(SUBSTITUTE(SUBSTITUTE(SUBSTITUTE(SUBSTITUTE(SUBSTITUTE($A173,"-",""),"(",""),")",""),".",""),"+","")," ","")))</f>
      </c>
    </row>
    <row r="174" spans="1:11" x14ac:dyDescent="0.3">
      <c r="A174" s="28"/>
      <c r="B174" s="29"/>
      <c r="C174" s="30"/>
      <c r="D174" s="31"/>
      <c r="E174" s="33">
        <f>IF(OR($D174="",$K174=""),"",IF(COUNTIFS(Payments!$G$5:$G$2500,$K174,Payments!$C$5:$C$2500,"&lt;&gt;")=0,"",_xlfn.MAXIFS(Payments!$C$5:$C$2500,Payments!$G$5:$G$2500,$K174)))</f>
      </c>
      <c r="F174" s="34">
        <f>IF(OR($D174="",$K174=""),"",SUMIF(Payments!$G$5:$G$2500,$K174,Payments!$D$5:$D$2500))</f>
      </c>
      <c r="G174" s="36">
        <f>IF($D174="","",ROUND($D174-IF($F174="",0,$F174),2))</f>
      </c>
      <c r="H174" s="35">
        <f>IF(OR($D174="",$K174=""),"",COUNTIF(Payments!$G$5:$G$2500,$K174))</f>
      </c>
      <c r="I174" s="37">
        <f>IF($D174="","",IF(OR($F174="",$F174=0),"Pending",IF(ROUND($F174-$D174,2)&gt;0,"Overpaid",IF(ROUND($F174-$D174,2)=0,"Paid","Partial"))))</f>
      </c>
      <c r="J174" s="29"/>
      <c r="K174">
        <f>IF($A174="","","#"&amp;TRIM(SUBSTITUTE(SUBSTITUTE(SUBSTITUTE(SUBSTITUTE(SUBSTITUTE(SUBSTITUTE($A174,"-",""),"(",""),")",""),".",""),"+","")," ","")))</f>
      </c>
    </row>
    <row r="175" spans="1:11" x14ac:dyDescent="0.3">
      <c r="A175" s="28"/>
      <c r="B175" s="29"/>
      <c r="C175" s="30"/>
      <c r="D175" s="31"/>
      <c r="E175" s="33">
        <f>IF(OR($D175="",$K175=""),"",IF(COUNTIFS(Payments!$G$5:$G$2500,$K175,Payments!$C$5:$C$2500,"&lt;&gt;")=0,"",_xlfn.MAXIFS(Payments!$C$5:$C$2500,Payments!$G$5:$G$2500,$K175)))</f>
      </c>
      <c r="F175" s="34">
        <f>IF(OR($D175="",$K175=""),"",SUMIF(Payments!$G$5:$G$2500,$K175,Payments!$D$5:$D$2500))</f>
      </c>
      <c r="G175" s="36">
        <f>IF($D175="","",ROUND($D175-IF($F175="",0,$F175),2))</f>
      </c>
      <c r="H175" s="35">
        <f>IF(OR($D175="",$K175=""),"",COUNTIF(Payments!$G$5:$G$2500,$K175))</f>
      </c>
      <c r="I175" s="37">
        <f>IF($D175="","",IF(OR($F175="",$F175=0),"Pending",IF(ROUND($F175-$D175,2)&gt;0,"Overpaid",IF(ROUND($F175-$D175,2)=0,"Paid","Partial"))))</f>
      </c>
      <c r="J175" s="29"/>
      <c r="K175">
        <f>IF($A175="","","#"&amp;TRIM(SUBSTITUTE(SUBSTITUTE(SUBSTITUTE(SUBSTITUTE(SUBSTITUTE(SUBSTITUTE($A175,"-",""),"(",""),")",""),".",""),"+","")," ","")))</f>
      </c>
    </row>
    <row r="176" spans="1:11" x14ac:dyDescent="0.3">
      <c r="A176" s="28"/>
      <c r="B176" s="29"/>
      <c r="C176" s="30"/>
      <c r="D176" s="31"/>
      <c r="E176" s="33">
        <f>IF(OR($D176="",$K176=""),"",IF(COUNTIFS(Payments!$G$5:$G$2500,$K176,Payments!$C$5:$C$2500,"&lt;&gt;")=0,"",_xlfn.MAXIFS(Payments!$C$5:$C$2500,Payments!$G$5:$G$2500,$K176)))</f>
      </c>
      <c r="F176" s="34">
        <f>IF(OR($D176="",$K176=""),"",SUMIF(Payments!$G$5:$G$2500,$K176,Payments!$D$5:$D$2500))</f>
      </c>
      <c r="G176" s="36">
        <f>IF($D176="","",ROUND($D176-IF($F176="",0,$F176),2))</f>
      </c>
      <c r="H176" s="35">
        <f>IF(OR($D176="",$K176=""),"",COUNTIF(Payments!$G$5:$G$2500,$K176))</f>
      </c>
      <c r="I176" s="37">
        <f>IF($D176="","",IF(OR($F176="",$F176=0),"Pending",IF(ROUND($F176-$D176,2)&gt;0,"Overpaid",IF(ROUND($F176-$D176,2)=0,"Paid","Partial"))))</f>
      </c>
      <c r="J176" s="29"/>
      <c r="K176">
        <f>IF($A176="","","#"&amp;TRIM(SUBSTITUTE(SUBSTITUTE(SUBSTITUTE(SUBSTITUTE(SUBSTITUTE(SUBSTITUTE($A176,"-",""),"(",""),")",""),".",""),"+","")," ","")))</f>
      </c>
    </row>
    <row r="177" spans="1:11" x14ac:dyDescent="0.3">
      <c r="A177" s="28"/>
      <c r="B177" s="29"/>
      <c r="C177" s="30"/>
      <c r="D177" s="31"/>
      <c r="E177" s="33">
        <f>IF(OR($D177="",$K177=""),"",IF(COUNTIFS(Payments!$G$5:$G$2500,$K177,Payments!$C$5:$C$2500,"&lt;&gt;")=0,"",_xlfn.MAXIFS(Payments!$C$5:$C$2500,Payments!$G$5:$G$2500,$K177)))</f>
      </c>
      <c r="F177" s="34">
        <f>IF(OR($D177="",$K177=""),"",SUMIF(Payments!$G$5:$G$2500,$K177,Payments!$D$5:$D$2500))</f>
      </c>
      <c r="G177" s="36">
        <f>IF($D177="","",ROUND($D177-IF($F177="",0,$F177),2))</f>
      </c>
      <c r="H177" s="35">
        <f>IF(OR($D177="",$K177=""),"",COUNTIF(Payments!$G$5:$G$2500,$K177))</f>
      </c>
      <c r="I177" s="37">
        <f>IF($D177="","",IF(OR($F177="",$F177=0),"Pending",IF(ROUND($F177-$D177,2)&gt;0,"Overpaid",IF(ROUND($F177-$D177,2)=0,"Paid","Partial"))))</f>
      </c>
      <c r="J177" s="29"/>
      <c r="K177">
        <f>IF($A177="","","#"&amp;TRIM(SUBSTITUTE(SUBSTITUTE(SUBSTITUTE(SUBSTITUTE(SUBSTITUTE(SUBSTITUTE($A177,"-",""),"(",""),")",""),".",""),"+","")," ","")))</f>
      </c>
    </row>
    <row r="178" spans="1:11" x14ac:dyDescent="0.3">
      <c r="A178" s="28"/>
      <c r="B178" s="29"/>
      <c r="C178" s="30"/>
      <c r="D178" s="31"/>
      <c r="E178" s="33">
        <f>IF(OR($D178="",$K178=""),"",IF(COUNTIFS(Payments!$G$5:$G$2500,$K178,Payments!$C$5:$C$2500,"&lt;&gt;")=0,"",_xlfn.MAXIFS(Payments!$C$5:$C$2500,Payments!$G$5:$G$2500,$K178)))</f>
      </c>
      <c r="F178" s="34">
        <f>IF(OR($D178="",$K178=""),"",SUMIF(Payments!$G$5:$G$2500,$K178,Payments!$D$5:$D$2500))</f>
      </c>
      <c r="G178" s="36">
        <f>IF($D178="","",ROUND($D178-IF($F178="",0,$F178),2))</f>
      </c>
      <c r="H178" s="35">
        <f>IF(OR($D178="",$K178=""),"",COUNTIF(Payments!$G$5:$G$2500,$K178))</f>
      </c>
      <c r="I178" s="37">
        <f>IF($D178="","",IF(OR($F178="",$F178=0),"Pending",IF(ROUND($F178-$D178,2)&gt;0,"Overpaid",IF(ROUND($F178-$D178,2)=0,"Paid","Partial"))))</f>
      </c>
      <c r="J178" s="29"/>
      <c r="K178">
        <f>IF($A178="","","#"&amp;TRIM(SUBSTITUTE(SUBSTITUTE(SUBSTITUTE(SUBSTITUTE(SUBSTITUTE(SUBSTITUTE($A178,"-",""),"(",""),")",""),".",""),"+","")," ","")))</f>
      </c>
    </row>
    <row r="179" spans="1:11" x14ac:dyDescent="0.3">
      <c r="A179" s="28"/>
      <c r="B179" s="29"/>
      <c r="C179" s="30"/>
      <c r="D179" s="31"/>
      <c r="E179" s="33">
        <f>IF(OR($D179="",$K179=""),"",IF(COUNTIFS(Payments!$G$5:$G$2500,$K179,Payments!$C$5:$C$2500,"&lt;&gt;")=0,"",_xlfn.MAXIFS(Payments!$C$5:$C$2500,Payments!$G$5:$G$2500,$K179)))</f>
      </c>
      <c r="F179" s="34">
        <f>IF(OR($D179="",$K179=""),"",SUMIF(Payments!$G$5:$G$2500,$K179,Payments!$D$5:$D$2500))</f>
      </c>
      <c r="G179" s="36">
        <f>IF($D179="","",ROUND($D179-IF($F179="",0,$F179),2))</f>
      </c>
      <c r="H179" s="35">
        <f>IF(OR($D179="",$K179=""),"",COUNTIF(Payments!$G$5:$G$2500,$K179))</f>
      </c>
      <c r="I179" s="37">
        <f>IF($D179="","",IF(OR($F179="",$F179=0),"Pending",IF(ROUND($F179-$D179,2)&gt;0,"Overpaid",IF(ROUND($F179-$D179,2)=0,"Paid","Partial"))))</f>
      </c>
      <c r="J179" s="29"/>
      <c r="K179">
        <f>IF($A179="","","#"&amp;TRIM(SUBSTITUTE(SUBSTITUTE(SUBSTITUTE(SUBSTITUTE(SUBSTITUTE(SUBSTITUTE($A179,"-",""),"(",""),")",""),".",""),"+","")," ","")))</f>
      </c>
    </row>
    <row r="180" spans="1:11" x14ac:dyDescent="0.3">
      <c r="A180" s="28"/>
      <c r="B180" s="29"/>
      <c r="C180" s="30"/>
      <c r="D180" s="31"/>
      <c r="E180" s="33">
        <f>IF(OR($D180="",$K180=""),"",IF(COUNTIFS(Payments!$G$5:$G$2500,$K180,Payments!$C$5:$C$2500,"&lt;&gt;")=0,"",_xlfn.MAXIFS(Payments!$C$5:$C$2500,Payments!$G$5:$G$2500,$K180)))</f>
      </c>
      <c r="F180" s="34">
        <f>IF(OR($D180="",$K180=""),"",SUMIF(Payments!$G$5:$G$2500,$K180,Payments!$D$5:$D$2500))</f>
      </c>
      <c r="G180" s="36">
        <f>IF($D180="","",ROUND($D180-IF($F180="",0,$F180),2))</f>
      </c>
      <c r="H180" s="35">
        <f>IF(OR($D180="",$K180=""),"",COUNTIF(Payments!$G$5:$G$2500,$K180))</f>
      </c>
      <c r="I180" s="37">
        <f>IF($D180="","",IF(OR($F180="",$F180=0),"Pending",IF(ROUND($F180-$D180,2)&gt;0,"Overpaid",IF(ROUND($F180-$D180,2)=0,"Paid","Partial"))))</f>
      </c>
      <c r="J180" s="29"/>
      <c r="K180">
        <f>IF($A180="","","#"&amp;TRIM(SUBSTITUTE(SUBSTITUTE(SUBSTITUTE(SUBSTITUTE(SUBSTITUTE(SUBSTITUTE($A180,"-",""),"(",""),")",""),".",""),"+","")," ","")))</f>
      </c>
    </row>
    <row r="181" spans="1:11" x14ac:dyDescent="0.3">
      <c r="A181" s="28"/>
      <c r="B181" s="29"/>
      <c r="C181" s="30"/>
      <c r="D181" s="31"/>
      <c r="E181" s="33">
        <f>IF(OR($D181="",$K181=""),"",IF(COUNTIFS(Payments!$G$5:$G$2500,$K181,Payments!$C$5:$C$2500,"&lt;&gt;")=0,"",_xlfn.MAXIFS(Payments!$C$5:$C$2500,Payments!$G$5:$G$2500,$K181)))</f>
      </c>
      <c r="F181" s="34">
        <f>IF(OR($D181="",$K181=""),"",SUMIF(Payments!$G$5:$G$2500,$K181,Payments!$D$5:$D$2500))</f>
      </c>
      <c r="G181" s="36">
        <f>IF($D181="","",ROUND($D181-IF($F181="",0,$F181),2))</f>
      </c>
      <c r="H181" s="35">
        <f>IF(OR($D181="",$K181=""),"",COUNTIF(Payments!$G$5:$G$2500,$K181))</f>
      </c>
      <c r="I181" s="37">
        <f>IF($D181="","",IF(OR($F181="",$F181=0),"Pending",IF(ROUND($F181-$D181,2)&gt;0,"Overpaid",IF(ROUND($F181-$D181,2)=0,"Paid","Partial"))))</f>
      </c>
      <c r="J181" s="29"/>
      <c r="K181">
        <f>IF($A181="","","#"&amp;TRIM(SUBSTITUTE(SUBSTITUTE(SUBSTITUTE(SUBSTITUTE(SUBSTITUTE(SUBSTITUTE($A181,"-",""),"(",""),")",""),".",""),"+","")," ","")))</f>
      </c>
    </row>
    <row r="182" spans="1:11" x14ac:dyDescent="0.3">
      <c r="A182" s="28"/>
      <c r="B182" s="29"/>
      <c r="C182" s="30"/>
      <c r="D182" s="31"/>
      <c r="E182" s="33">
        <f>IF(OR($D182="",$K182=""),"",IF(COUNTIFS(Payments!$G$5:$G$2500,$K182,Payments!$C$5:$C$2500,"&lt;&gt;")=0,"",_xlfn.MAXIFS(Payments!$C$5:$C$2500,Payments!$G$5:$G$2500,$K182)))</f>
      </c>
      <c r="F182" s="34">
        <f>IF(OR($D182="",$K182=""),"",SUMIF(Payments!$G$5:$G$2500,$K182,Payments!$D$5:$D$2500))</f>
      </c>
      <c r="G182" s="36">
        <f>IF($D182="","",ROUND($D182-IF($F182="",0,$F182),2))</f>
      </c>
      <c r="H182" s="35">
        <f>IF(OR($D182="",$K182=""),"",COUNTIF(Payments!$G$5:$G$2500,$K182))</f>
      </c>
      <c r="I182" s="37">
        <f>IF($D182="","",IF(OR($F182="",$F182=0),"Pending",IF(ROUND($F182-$D182,2)&gt;0,"Overpaid",IF(ROUND($F182-$D182,2)=0,"Paid","Partial"))))</f>
      </c>
      <c r="J182" s="29"/>
      <c r="K182">
        <f>IF($A182="","","#"&amp;TRIM(SUBSTITUTE(SUBSTITUTE(SUBSTITUTE(SUBSTITUTE(SUBSTITUTE(SUBSTITUTE($A182,"-",""),"(",""),")",""),".",""),"+","")," ","")))</f>
      </c>
    </row>
    <row r="183" spans="1:11" x14ac:dyDescent="0.3">
      <c r="A183" s="28"/>
      <c r="B183" s="29"/>
      <c r="C183" s="30"/>
      <c r="D183" s="31"/>
      <c r="E183" s="33">
        <f>IF(OR($D183="",$K183=""),"",IF(COUNTIFS(Payments!$G$5:$G$2500,$K183,Payments!$C$5:$C$2500,"&lt;&gt;")=0,"",_xlfn.MAXIFS(Payments!$C$5:$C$2500,Payments!$G$5:$G$2500,$K183)))</f>
      </c>
      <c r="F183" s="34">
        <f>IF(OR($D183="",$K183=""),"",SUMIF(Payments!$G$5:$G$2500,$K183,Payments!$D$5:$D$2500))</f>
      </c>
      <c r="G183" s="36">
        <f>IF($D183="","",ROUND($D183-IF($F183="",0,$F183),2))</f>
      </c>
      <c r="H183" s="35">
        <f>IF(OR($D183="",$K183=""),"",COUNTIF(Payments!$G$5:$G$2500,$K183))</f>
      </c>
      <c r="I183" s="37">
        <f>IF($D183="","",IF(OR($F183="",$F183=0),"Pending",IF(ROUND($F183-$D183,2)&gt;0,"Overpaid",IF(ROUND($F183-$D183,2)=0,"Paid","Partial"))))</f>
      </c>
      <c r="J183" s="29"/>
      <c r="K183">
        <f>IF($A183="","","#"&amp;TRIM(SUBSTITUTE(SUBSTITUTE(SUBSTITUTE(SUBSTITUTE(SUBSTITUTE(SUBSTITUTE($A183,"-",""),"(",""),")",""),".",""),"+","")," ","")))</f>
      </c>
    </row>
    <row r="184" spans="1:11" x14ac:dyDescent="0.3">
      <c r="A184" s="28"/>
      <c r="B184" s="29"/>
      <c r="C184" s="30"/>
      <c r="D184" s="31"/>
      <c r="E184" s="33">
        <f>IF(OR($D184="",$K184=""),"",IF(COUNTIFS(Payments!$G$5:$G$2500,$K184,Payments!$C$5:$C$2500,"&lt;&gt;")=0,"",_xlfn.MAXIFS(Payments!$C$5:$C$2500,Payments!$G$5:$G$2500,$K184)))</f>
      </c>
      <c r="F184" s="34">
        <f>IF(OR($D184="",$K184=""),"",SUMIF(Payments!$G$5:$G$2500,$K184,Payments!$D$5:$D$2500))</f>
      </c>
      <c r="G184" s="36">
        <f>IF($D184="","",ROUND($D184-IF($F184="",0,$F184),2))</f>
      </c>
      <c r="H184" s="35">
        <f>IF(OR($D184="",$K184=""),"",COUNTIF(Payments!$G$5:$G$2500,$K184))</f>
      </c>
      <c r="I184" s="37">
        <f>IF($D184="","",IF(OR($F184="",$F184=0),"Pending",IF(ROUND($F184-$D184,2)&gt;0,"Overpaid",IF(ROUND($F184-$D184,2)=0,"Paid","Partial"))))</f>
      </c>
      <c r="J184" s="29"/>
      <c r="K184">
        <f>IF($A184="","","#"&amp;TRIM(SUBSTITUTE(SUBSTITUTE(SUBSTITUTE(SUBSTITUTE(SUBSTITUTE(SUBSTITUTE($A184,"-",""),"(",""),")",""),".",""),"+","")," ","")))</f>
      </c>
    </row>
    <row r="185" spans="1:11" x14ac:dyDescent="0.3">
      <c r="A185" s="28"/>
      <c r="B185" s="29"/>
      <c r="C185" s="30"/>
      <c r="D185" s="31"/>
      <c r="E185" s="33">
        <f>IF(OR($D185="",$K185=""),"",IF(COUNTIFS(Payments!$G$5:$G$2500,$K185,Payments!$C$5:$C$2500,"&lt;&gt;")=0,"",_xlfn.MAXIFS(Payments!$C$5:$C$2500,Payments!$G$5:$G$2500,$K185)))</f>
      </c>
      <c r="F185" s="34">
        <f>IF(OR($D185="",$K185=""),"",SUMIF(Payments!$G$5:$G$2500,$K185,Payments!$D$5:$D$2500))</f>
      </c>
      <c r="G185" s="36">
        <f>IF($D185="","",ROUND($D185-IF($F185="",0,$F185),2))</f>
      </c>
      <c r="H185" s="35">
        <f>IF(OR($D185="",$K185=""),"",COUNTIF(Payments!$G$5:$G$2500,$K185))</f>
      </c>
      <c r="I185" s="37">
        <f>IF($D185="","",IF(OR($F185="",$F185=0),"Pending",IF(ROUND($F185-$D185,2)&gt;0,"Overpaid",IF(ROUND($F185-$D185,2)=0,"Paid","Partial"))))</f>
      </c>
      <c r="J185" s="29"/>
      <c r="K185">
        <f>IF($A185="","","#"&amp;TRIM(SUBSTITUTE(SUBSTITUTE(SUBSTITUTE(SUBSTITUTE(SUBSTITUTE(SUBSTITUTE($A185,"-",""),"(",""),")",""),".",""),"+","")," ","")))</f>
      </c>
    </row>
    <row r="186" spans="1:11" x14ac:dyDescent="0.3">
      <c r="A186" s="28"/>
      <c r="B186" s="29"/>
      <c r="C186" s="30"/>
      <c r="D186" s="31"/>
      <c r="E186" s="33">
        <f>IF(OR($D186="",$K186=""),"",IF(COUNTIFS(Payments!$G$5:$G$2500,$K186,Payments!$C$5:$C$2500,"&lt;&gt;")=0,"",_xlfn.MAXIFS(Payments!$C$5:$C$2500,Payments!$G$5:$G$2500,$K186)))</f>
      </c>
      <c r="F186" s="34">
        <f>IF(OR($D186="",$K186=""),"",SUMIF(Payments!$G$5:$G$2500,$K186,Payments!$D$5:$D$2500))</f>
      </c>
      <c r="G186" s="36">
        <f>IF($D186="","",ROUND($D186-IF($F186="",0,$F186),2))</f>
      </c>
      <c r="H186" s="35">
        <f>IF(OR($D186="",$K186=""),"",COUNTIF(Payments!$G$5:$G$2500,$K186))</f>
      </c>
      <c r="I186" s="37">
        <f>IF($D186="","",IF(OR($F186="",$F186=0),"Pending",IF(ROUND($F186-$D186,2)&gt;0,"Overpaid",IF(ROUND($F186-$D186,2)=0,"Paid","Partial"))))</f>
      </c>
      <c r="J186" s="29"/>
      <c r="K186">
        <f>IF($A186="","","#"&amp;TRIM(SUBSTITUTE(SUBSTITUTE(SUBSTITUTE(SUBSTITUTE(SUBSTITUTE(SUBSTITUTE($A186,"-",""),"(",""),")",""),".",""),"+","")," ","")))</f>
      </c>
    </row>
    <row r="187" spans="1:11" x14ac:dyDescent="0.3">
      <c r="A187" s="28"/>
      <c r="B187" s="29"/>
      <c r="C187" s="30"/>
      <c r="D187" s="31"/>
      <c r="E187" s="33">
        <f>IF(OR($D187="",$K187=""),"",IF(COUNTIFS(Payments!$G$5:$G$2500,$K187,Payments!$C$5:$C$2500,"&lt;&gt;")=0,"",_xlfn.MAXIFS(Payments!$C$5:$C$2500,Payments!$G$5:$G$2500,$K187)))</f>
      </c>
      <c r="F187" s="34">
        <f>IF(OR($D187="",$K187=""),"",SUMIF(Payments!$G$5:$G$2500,$K187,Payments!$D$5:$D$2500))</f>
      </c>
      <c r="G187" s="36">
        <f>IF($D187="","",ROUND($D187-IF($F187="",0,$F187),2))</f>
      </c>
      <c r="H187" s="35">
        <f>IF(OR($D187="",$K187=""),"",COUNTIF(Payments!$G$5:$G$2500,$K187))</f>
      </c>
      <c r="I187" s="37">
        <f>IF($D187="","",IF(OR($F187="",$F187=0),"Pending",IF(ROUND($F187-$D187,2)&gt;0,"Overpaid",IF(ROUND($F187-$D187,2)=0,"Paid","Partial"))))</f>
      </c>
      <c r="J187" s="29"/>
      <c r="K187">
        <f>IF($A187="","","#"&amp;TRIM(SUBSTITUTE(SUBSTITUTE(SUBSTITUTE(SUBSTITUTE(SUBSTITUTE(SUBSTITUTE($A187,"-",""),"(",""),")",""),".",""),"+","")," ","")))</f>
      </c>
    </row>
    <row r="188" spans="1:11" x14ac:dyDescent="0.3">
      <c r="A188" s="28"/>
      <c r="B188" s="29"/>
      <c r="C188" s="30"/>
      <c r="D188" s="31"/>
      <c r="E188" s="33">
        <f>IF(OR($D188="",$K188=""),"",IF(COUNTIFS(Payments!$G$5:$G$2500,$K188,Payments!$C$5:$C$2500,"&lt;&gt;")=0,"",_xlfn.MAXIFS(Payments!$C$5:$C$2500,Payments!$G$5:$G$2500,$K188)))</f>
      </c>
      <c r="F188" s="34">
        <f>IF(OR($D188="",$K188=""),"",SUMIF(Payments!$G$5:$G$2500,$K188,Payments!$D$5:$D$2500))</f>
      </c>
      <c r="G188" s="36">
        <f>IF($D188="","",ROUND($D188-IF($F188="",0,$F188),2))</f>
      </c>
      <c r="H188" s="35">
        <f>IF(OR($D188="",$K188=""),"",COUNTIF(Payments!$G$5:$G$2500,$K188))</f>
      </c>
      <c r="I188" s="37">
        <f>IF($D188="","",IF(OR($F188="",$F188=0),"Pending",IF(ROUND($F188-$D188,2)&gt;0,"Overpaid",IF(ROUND($F188-$D188,2)=0,"Paid","Partial"))))</f>
      </c>
      <c r="J188" s="29"/>
      <c r="K188">
        <f>IF($A188="","","#"&amp;TRIM(SUBSTITUTE(SUBSTITUTE(SUBSTITUTE(SUBSTITUTE(SUBSTITUTE(SUBSTITUTE($A188,"-",""),"(",""),")",""),".",""),"+","")," ","")))</f>
      </c>
    </row>
    <row r="189" spans="1:11" x14ac:dyDescent="0.3">
      <c r="A189" s="28"/>
      <c r="B189" s="29"/>
      <c r="C189" s="30"/>
      <c r="D189" s="31"/>
      <c r="E189" s="33">
        <f>IF(OR($D189="",$K189=""),"",IF(COUNTIFS(Payments!$G$5:$G$2500,$K189,Payments!$C$5:$C$2500,"&lt;&gt;")=0,"",_xlfn.MAXIFS(Payments!$C$5:$C$2500,Payments!$G$5:$G$2500,$K189)))</f>
      </c>
      <c r="F189" s="34">
        <f>IF(OR($D189="",$K189=""),"",SUMIF(Payments!$G$5:$G$2500,$K189,Payments!$D$5:$D$2500))</f>
      </c>
      <c r="G189" s="36">
        <f>IF($D189="","",ROUND($D189-IF($F189="",0,$F189),2))</f>
      </c>
      <c r="H189" s="35">
        <f>IF(OR($D189="",$K189=""),"",COUNTIF(Payments!$G$5:$G$2500,$K189))</f>
      </c>
      <c r="I189" s="37">
        <f>IF($D189="","",IF(OR($F189="",$F189=0),"Pending",IF(ROUND($F189-$D189,2)&gt;0,"Overpaid",IF(ROUND($F189-$D189,2)=0,"Paid","Partial"))))</f>
      </c>
      <c r="J189" s="29"/>
      <c r="K189">
        <f>IF($A189="","","#"&amp;TRIM(SUBSTITUTE(SUBSTITUTE(SUBSTITUTE(SUBSTITUTE(SUBSTITUTE(SUBSTITUTE($A189,"-",""),"(",""),")",""),".",""),"+","")," ","")))</f>
      </c>
    </row>
    <row r="190" spans="1:11" x14ac:dyDescent="0.3">
      <c r="A190" s="28"/>
      <c r="B190" s="29"/>
      <c r="C190" s="30"/>
      <c r="D190" s="31"/>
      <c r="E190" s="33">
        <f>IF(OR($D190="",$K190=""),"",IF(COUNTIFS(Payments!$G$5:$G$2500,$K190,Payments!$C$5:$C$2500,"&lt;&gt;")=0,"",_xlfn.MAXIFS(Payments!$C$5:$C$2500,Payments!$G$5:$G$2500,$K190)))</f>
      </c>
      <c r="F190" s="34">
        <f>IF(OR($D190="",$K190=""),"",SUMIF(Payments!$G$5:$G$2500,$K190,Payments!$D$5:$D$2500))</f>
      </c>
      <c r="G190" s="36">
        <f>IF($D190="","",ROUND($D190-IF($F190="",0,$F190),2))</f>
      </c>
      <c r="H190" s="35">
        <f>IF(OR($D190="",$K190=""),"",COUNTIF(Payments!$G$5:$G$2500,$K190))</f>
      </c>
      <c r="I190" s="37">
        <f>IF($D190="","",IF(OR($F190="",$F190=0),"Pending",IF(ROUND($F190-$D190,2)&gt;0,"Overpaid",IF(ROUND($F190-$D190,2)=0,"Paid","Partial"))))</f>
      </c>
      <c r="J190" s="29"/>
      <c r="K190">
        <f>IF($A190="","","#"&amp;TRIM(SUBSTITUTE(SUBSTITUTE(SUBSTITUTE(SUBSTITUTE(SUBSTITUTE(SUBSTITUTE($A190,"-",""),"(",""),")",""),".",""),"+","")," ","")))</f>
      </c>
    </row>
    <row r="191" spans="1:11" x14ac:dyDescent="0.3">
      <c r="A191" s="28"/>
      <c r="B191" s="29"/>
      <c r="C191" s="30"/>
      <c r="D191" s="31"/>
      <c r="E191" s="33">
        <f>IF(OR($D191="",$K191=""),"",IF(COUNTIFS(Payments!$G$5:$G$2500,$K191,Payments!$C$5:$C$2500,"&lt;&gt;")=0,"",_xlfn.MAXIFS(Payments!$C$5:$C$2500,Payments!$G$5:$G$2500,$K191)))</f>
      </c>
      <c r="F191" s="34">
        <f>IF(OR($D191="",$K191=""),"",SUMIF(Payments!$G$5:$G$2500,$K191,Payments!$D$5:$D$2500))</f>
      </c>
      <c r="G191" s="36">
        <f>IF($D191="","",ROUND($D191-IF($F191="",0,$F191),2))</f>
      </c>
      <c r="H191" s="35">
        <f>IF(OR($D191="",$K191=""),"",COUNTIF(Payments!$G$5:$G$2500,$K191))</f>
      </c>
      <c r="I191" s="37">
        <f>IF($D191="","",IF(OR($F191="",$F191=0),"Pending",IF(ROUND($F191-$D191,2)&gt;0,"Overpaid",IF(ROUND($F191-$D191,2)=0,"Paid","Partial"))))</f>
      </c>
      <c r="J191" s="29"/>
      <c r="K191">
        <f>IF($A191="","","#"&amp;TRIM(SUBSTITUTE(SUBSTITUTE(SUBSTITUTE(SUBSTITUTE(SUBSTITUTE(SUBSTITUTE($A191,"-",""),"(",""),")",""),".",""),"+","")," ","")))</f>
      </c>
    </row>
    <row r="192" spans="1:11" x14ac:dyDescent="0.3">
      <c r="A192" s="28"/>
      <c r="B192" s="29"/>
      <c r="C192" s="30"/>
      <c r="D192" s="31"/>
      <c r="E192" s="33">
        <f>IF(OR($D192="",$K192=""),"",IF(COUNTIFS(Payments!$G$5:$G$2500,$K192,Payments!$C$5:$C$2500,"&lt;&gt;")=0,"",_xlfn.MAXIFS(Payments!$C$5:$C$2500,Payments!$G$5:$G$2500,$K192)))</f>
      </c>
      <c r="F192" s="34">
        <f>IF(OR($D192="",$K192=""),"",SUMIF(Payments!$G$5:$G$2500,$K192,Payments!$D$5:$D$2500))</f>
      </c>
      <c r="G192" s="36">
        <f>IF($D192="","",ROUND($D192-IF($F192="",0,$F192),2))</f>
      </c>
      <c r="H192" s="35">
        <f>IF(OR($D192="",$K192=""),"",COUNTIF(Payments!$G$5:$G$2500,$K192))</f>
      </c>
      <c r="I192" s="37">
        <f>IF($D192="","",IF(OR($F192="",$F192=0),"Pending",IF(ROUND($F192-$D192,2)&gt;0,"Overpaid",IF(ROUND($F192-$D192,2)=0,"Paid","Partial"))))</f>
      </c>
      <c r="J192" s="29"/>
      <c r="K192">
        <f>IF($A192="","","#"&amp;TRIM(SUBSTITUTE(SUBSTITUTE(SUBSTITUTE(SUBSTITUTE(SUBSTITUTE(SUBSTITUTE($A192,"-",""),"(",""),")",""),".",""),"+","")," ","")))</f>
      </c>
    </row>
    <row r="193" spans="1:11" x14ac:dyDescent="0.3">
      <c r="A193" s="28"/>
      <c r="B193" s="29"/>
      <c r="C193" s="30"/>
      <c r="D193" s="31"/>
      <c r="E193" s="33">
        <f>IF(OR($D193="",$K193=""),"",IF(COUNTIFS(Payments!$G$5:$G$2500,$K193,Payments!$C$5:$C$2500,"&lt;&gt;")=0,"",_xlfn.MAXIFS(Payments!$C$5:$C$2500,Payments!$G$5:$G$2500,$K193)))</f>
      </c>
      <c r="F193" s="34">
        <f>IF(OR($D193="",$K193=""),"",SUMIF(Payments!$G$5:$G$2500,$K193,Payments!$D$5:$D$2500))</f>
      </c>
      <c r="G193" s="36">
        <f>IF($D193="","",ROUND($D193-IF($F193="",0,$F193),2))</f>
      </c>
      <c r="H193" s="35">
        <f>IF(OR($D193="",$K193=""),"",COUNTIF(Payments!$G$5:$G$2500,$K193))</f>
      </c>
      <c r="I193" s="37">
        <f>IF($D193="","",IF(OR($F193="",$F193=0),"Pending",IF(ROUND($F193-$D193,2)&gt;0,"Overpaid",IF(ROUND($F193-$D193,2)=0,"Paid","Partial"))))</f>
      </c>
      <c r="J193" s="29"/>
      <c r="K193">
        <f>IF($A193="","","#"&amp;TRIM(SUBSTITUTE(SUBSTITUTE(SUBSTITUTE(SUBSTITUTE(SUBSTITUTE(SUBSTITUTE($A193,"-",""),"(",""),")",""),".",""),"+","")," ","")))</f>
      </c>
    </row>
    <row r="194" spans="1:11" x14ac:dyDescent="0.3">
      <c r="A194" s="28"/>
      <c r="B194" s="29"/>
      <c r="C194" s="30"/>
      <c r="D194" s="31"/>
      <c r="E194" s="33">
        <f>IF(OR($D194="",$K194=""),"",IF(COUNTIFS(Payments!$G$5:$G$2500,$K194,Payments!$C$5:$C$2500,"&lt;&gt;")=0,"",_xlfn.MAXIFS(Payments!$C$5:$C$2500,Payments!$G$5:$G$2500,$K194)))</f>
      </c>
      <c r="F194" s="34">
        <f>IF(OR($D194="",$K194=""),"",SUMIF(Payments!$G$5:$G$2500,$K194,Payments!$D$5:$D$2500))</f>
      </c>
      <c r="G194" s="36">
        <f>IF($D194="","",ROUND($D194-IF($F194="",0,$F194),2))</f>
      </c>
      <c r="H194" s="35">
        <f>IF(OR($D194="",$K194=""),"",COUNTIF(Payments!$G$5:$G$2500,$K194))</f>
      </c>
      <c r="I194" s="37">
        <f>IF($D194="","",IF(OR($F194="",$F194=0),"Pending",IF(ROUND($F194-$D194,2)&gt;0,"Overpaid",IF(ROUND($F194-$D194,2)=0,"Paid","Partial"))))</f>
      </c>
      <c r="J194" s="29"/>
      <c r="K194">
        <f>IF($A194="","","#"&amp;TRIM(SUBSTITUTE(SUBSTITUTE(SUBSTITUTE(SUBSTITUTE(SUBSTITUTE(SUBSTITUTE($A194,"-",""),"(",""),")",""),".",""),"+","")," ","")))</f>
      </c>
    </row>
    <row r="195" spans="1:11" x14ac:dyDescent="0.3">
      <c r="A195" s="28"/>
      <c r="B195" s="29"/>
      <c r="C195" s="30"/>
      <c r="D195" s="31"/>
      <c r="E195" s="33">
        <f>IF(OR($D195="",$K195=""),"",IF(COUNTIFS(Payments!$G$5:$G$2500,$K195,Payments!$C$5:$C$2500,"&lt;&gt;")=0,"",_xlfn.MAXIFS(Payments!$C$5:$C$2500,Payments!$G$5:$G$2500,$K195)))</f>
      </c>
      <c r="F195" s="34">
        <f>IF(OR($D195="",$K195=""),"",SUMIF(Payments!$G$5:$G$2500,$K195,Payments!$D$5:$D$2500))</f>
      </c>
      <c r="G195" s="36">
        <f>IF($D195="","",ROUND($D195-IF($F195="",0,$F195),2))</f>
      </c>
      <c r="H195" s="35">
        <f>IF(OR($D195="",$K195=""),"",COUNTIF(Payments!$G$5:$G$2500,$K195))</f>
      </c>
      <c r="I195" s="37">
        <f>IF($D195="","",IF(OR($F195="",$F195=0),"Pending",IF(ROUND($F195-$D195,2)&gt;0,"Overpaid",IF(ROUND($F195-$D195,2)=0,"Paid","Partial"))))</f>
      </c>
      <c r="J195" s="29"/>
      <c r="K195">
        <f>IF($A195="","","#"&amp;TRIM(SUBSTITUTE(SUBSTITUTE(SUBSTITUTE(SUBSTITUTE(SUBSTITUTE(SUBSTITUTE($A195,"-",""),"(",""),")",""),".",""),"+","")," ","")))</f>
      </c>
    </row>
    <row r="196" spans="1:11" x14ac:dyDescent="0.3">
      <c r="A196" s="28"/>
      <c r="B196" s="29"/>
      <c r="C196" s="30"/>
      <c r="D196" s="31"/>
      <c r="E196" s="33">
        <f>IF(OR($D196="",$K196=""),"",IF(COUNTIFS(Payments!$G$5:$G$2500,$K196,Payments!$C$5:$C$2500,"&lt;&gt;")=0,"",_xlfn.MAXIFS(Payments!$C$5:$C$2500,Payments!$G$5:$G$2500,$K196)))</f>
      </c>
      <c r="F196" s="34">
        <f>IF(OR($D196="",$K196=""),"",SUMIF(Payments!$G$5:$G$2500,$K196,Payments!$D$5:$D$2500))</f>
      </c>
      <c r="G196" s="36">
        <f>IF($D196="","",ROUND($D196-IF($F196="",0,$F196),2))</f>
      </c>
      <c r="H196" s="35">
        <f>IF(OR($D196="",$K196=""),"",COUNTIF(Payments!$G$5:$G$2500,$K196))</f>
      </c>
      <c r="I196" s="37">
        <f>IF($D196="","",IF(OR($F196="",$F196=0),"Pending",IF(ROUND($F196-$D196,2)&gt;0,"Overpaid",IF(ROUND($F196-$D196,2)=0,"Paid","Partial"))))</f>
      </c>
      <c r="J196" s="29"/>
      <c r="K196">
        <f>IF($A196="","","#"&amp;TRIM(SUBSTITUTE(SUBSTITUTE(SUBSTITUTE(SUBSTITUTE(SUBSTITUTE(SUBSTITUTE($A196,"-",""),"(",""),")",""),".",""),"+","")," ","")))</f>
      </c>
    </row>
    <row r="197" spans="1:11" x14ac:dyDescent="0.3">
      <c r="A197" s="28"/>
      <c r="B197" s="29"/>
      <c r="C197" s="30"/>
      <c r="D197" s="31"/>
      <c r="E197" s="33">
        <f>IF(OR($D197="",$K197=""),"",IF(COUNTIFS(Payments!$G$5:$G$2500,$K197,Payments!$C$5:$C$2500,"&lt;&gt;")=0,"",_xlfn.MAXIFS(Payments!$C$5:$C$2500,Payments!$G$5:$G$2500,$K197)))</f>
      </c>
      <c r="F197" s="34">
        <f>IF(OR($D197="",$K197=""),"",SUMIF(Payments!$G$5:$G$2500,$K197,Payments!$D$5:$D$2500))</f>
      </c>
      <c r="G197" s="36">
        <f>IF($D197="","",ROUND($D197-IF($F197="",0,$F197),2))</f>
      </c>
      <c r="H197" s="35">
        <f>IF(OR($D197="",$K197=""),"",COUNTIF(Payments!$G$5:$G$2500,$K197))</f>
      </c>
      <c r="I197" s="37">
        <f>IF($D197="","",IF(OR($F197="",$F197=0),"Pending",IF(ROUND($F197-$D197,2)&gt;0,"Overpaid",IF(ROUND($F197-$D197,2)=0,"Paid","Partial"))))</f>
      </c>
      <c r="J197" s="29"/>
      <c r="K197">
        <f>IF($A197="","","#"&amp;TRIM(SUBSTITUTE(SUBSTITUTE(SUBSTITUTE(SUBSTITUTE(SUBSTITUTE(SUBSTITUTE($A197,"-",""),"(",""),")",""),".",""),"+","")," ","")))</f>
      </c>
    </row>
    <row r="198" spans="1:11" x14ac:dyDescent="0.3">
      <c r="A198" s="28"/>
      <c r="B198" s="29"/>
      <c r="C198" s="30"/>
      <c r="D198" s="31"/>
      <c r="E198" s="33">
        <f>IF(OR($D198="",$K198=""),"",IF(COUNTIFS(Payments!$G$5:$G$2500,$K198,Payments!$C$5:$C$2500,"&lt;&gt;")=0,"",_xlfn.MAXIFS(Payments!$C$5:$C$2500,Payments!$G$5:$G$2500,$K198)))</f>
      </c>
      <c r="F198" s="34">
        <f>IF(OR($D198="",$K198=""),"",SUMIF(Payments!$G$5:$G$2500,$K198,Payments!$D$5:$D$2500))</f>
      </c>
      <c r="G198" s="36">
        <f>IF($D198="","",ROUND($D198-IF($F198="",0,$F198),2))</f>
      </c>
      <c r="H198" s="35">
        <f>IF(OR($D198="",$K198=""),"",COUNTIF(Payments!$G$5:$G$2500,$K198))</f>
      </c>
      <c r="I198" s="37">
        <f>IF($D198="","",IF(OR($F198="",$F198=0),"Pending",IF(ROUND($F198-$D198,2)&gt;0,"Overpaid",IF(ROUND($F198-$D198,2)=0,"Paid","Partial"))))</f>
      </c>
      <c r="J198" s="29"/>
      <c r="K198">
        <f>IF($A198="","","#"&amp;TRIM(SUBSTITUTE(SUBSTITUTE(SUBSTITUTE(SUBSTITUTE(SUBSTITUTE(SUBSTITUTE($A198,"-",""),"(",""),")",""),".",""),"+","")," ","")))</f>
      </c>
    </row>
    <row r="199" spans="1:11" x14ac:dyDescent="0.3">
      <c r="A199" s="28"/>
      <c r="B199" s="29"/>
      <c r="C199" s="30"/>
      <c r="D199" s="31"/>
      <c r="E199" s="33">
        <f>IF(OR($D199="",$K199=""),"",IF(COUNTIFS(Payments!$G$5:$G$2500,$K199,Payments!$C$5:$C$2500,"&lt;&gt;")=0,"",_xlfn.MAXIFS(Payments!$C$5:$C$2500,Payments!$G$5:$G$2500,$K199)))</f>
      </c>
      <c r="F199" s="34">
        <f>IF(OR($D199="",$K199=""),"",SUMIF(Payments!$G$5:$G$2500,$K199,Payments!$D$5:$D$2500))</f>
      </c>
      <c r="G199" s="36">
        <f>IF($D199="","",ROUND($D199-IF($F199="",0,$F199),2))</f>
      </c>
      <c r="H199" s="35">
        <f>IF(OR($D199="",$K199=""),"",COUNTIF(Payments!$G$5:$G$2500,$K199))</f>
      </c>
      <c r="I199" s="37">
        <f>IF($D199="","",IF(OR($F199="",$F199=0),"Pending",IF(ROUND($F199-$D199,2)&gt;0,"Overpaid",IF(ROUND($F199-$D199,2)=0,"Paid","Partial"))))</f>
      </c>
      <c r="J199" s="29"/>
      <c r="K199">
        <f>IF($A199="","","#"&amp;TRIM(SUBSTITUTE(SUBSTITUTE(SUBSTITUTE(SUBSTITUTE(SUBSTITUTE(SUBSTITUTE($A199,"-",""),"(",""),")",""),".",""),"+","")," ","")))</f>
      </c>
    </row>
    <row r="200" spans="1:11" x14ac:dyDescent="0.3">
      <c r="A200" s="28"/>
      <c r="B200" s="29"/>
      <c r="C200" s="30"/>
      <c r="D200" s="31"/>
      <c r="E200" s="33">
        <f>IF(OR($D200="",$K200=""),"",IF(COUNTIFS(Payments!$G$5:$G$2500,$K200,Payments!$C$5:$C$2500,"&lt;&gt;")=0,"",_xlfn.MAXIFS(Payments!$C$5:$C$2500,Payments!$G$5:$G$2500,$K200)))</f>
      </c>
      <c r="F200" s="34">
        <f>IF(OR($D200="",$K200=""),"",SUMIF(Payments!$G$5:$G$2500,$K200,Payments!$D$5:$D$2500))</f>
      </c>
      <c r="G200" s="36">
        <f>IF($D200="","",ROUND($D200-IF($F200="",0,$F200),2))</f>
      </c>
      <c r="H200" s="35">
        <f>IF(OR($D200="",$K200=""),"",COUNTIF(Payments!$G$5:$G$2500,$K200))</f>
      </c>
      <c r="I200" s="37">
        <f>IF($D200="","",IF(OR($F200="",$F200=0),"Pending",IF(ROUND($F200-$D200,2)&gt;0,"Overpaid",IF(ROUND($F200-$D200,2)=0,"Paid","Partial"))))</f>
      </c>
      <c r="J200" s="29"/>
      <c r="K200">
        <f>IF($A200="","","#"&amp;TRIM(SUBSTITUTE(SUBSTITUTE(SUBSTITUTE(SUBSTITUTE(SUBSTITUTE(SUBSTITUTE($A200,"-",""),"(",""),")",""),".",""),"+","")," ","")))</f>
      </c>
    </row>
    <row r="201" spans="1:11" x14ac:dyDescent="0.3">
      <c r="A201" s="28"/>
      <c r="B201" s="29"/>
      <c r="C201" s="30"/>
      <c r="D201" s="31"/>
      <c r="E201" s="33">
        <f>IF(OR($D201="",$K201=""),"",IF(COUNTIFS(Payments!$G$5:$G$2500,$K201,Payments!$C$5:$C$2500,"&lt;&gt;")=0,"",_xlfn.MAXIFS(Payments!$C$5:$C$2500,Payments!$G$5:$G$2500,$K201)))</f>
      </c>
      <c r="F201" s="34">
        <f>IF(OR($D201="",$K201=""),"",SUMIF(Payments!$G$5:$G$2500,$K201,Payments!$D$5:$D$2500))</f>
      </c>
      <c r="G201" s="36">
        <f>IF($D201="","",ROUND($D201-IF($F201="",0,$F201),2))</f>
      </c>
      <c r="H201" s="35">
        <f>IF(OR($D201="",$K201=""),"",COUNTIF(Payments!$G$5:$G$2500,$K201))</f>
      </c>
      <c r="I201" s="37">
        <f>IF($D201="","",IF(OR($F201="",$F201=0),"Pending",IF(ROUND($F201-$D201,2)&gt;0,"Overpaid",IF(ROUND($F201-$D201,2)=0,"Paid","Partial"))))</f>
      </c>
      <c r="J201" s="29"/>
      <c r="K201">
        <f>IF($A201="","","#"&amp;TRIM(SUBSTITUTE(SUBSTITUTE(SUBSTITUTE(SUBSTITUTE(SUBSTITUTE(SUBSTITUTE($A201,"-",""),"(",""),")",""),".",""),"+","")," ","")))</f>
      </c>
    </row>
    <row r="202" spans="1:11" x14ac:dyDescent="0.3">
      <c r="A202" s="28"/>
      <c r="B202" s="29"/>
      <c r="C202" s="30"/>
      <c r="D202" s="31"/>
      <c r="E202" s="33">
        <f>IF(OR($D202="",$K202=""),"",IF(COUNTIFS(Payments!$G$5:$G$2500,$K202,Payments!$C$5:$C$2500,"&lt;&gt;")=0,"",_xlfn.MAXIFS(Payments!$C$5:$C$2500,Payments!$G$5:$G$2500,$K202)))</f>
      </c>
      <c r="F202" s="34">
        <f>IF(OR($D202="",$K202=""),"",SUMIF(Payments!$G$5:$G$2500,$K202,Payments!$D$5:$D$2500))</f>
      </c>
      <c r="G202" s="36">
        <f>IF($D202="","",ROUND($D202-IF($F202="",0,$F202),2))</f>
      </c>
      <c r="H202" s="35">
        <f>IF(OR($D202="",$K202=""),"",COUNTIF(Payments!$G$5:$G$2500,$K202))</f>
      </c>
      <c r="I202" s="37">
        <f>IF($D202="","",IF(OR($F202="",$F202=0),"Pending",IF(ROUND($F202-$D202,2)&gt;0,"Overpaid",IF(ROUND($F202-$D202,2)=0,"Paid","Partial"))))</f>
      </c>
      <c r="J202" s="29"/>
      <c r="K202">
        <f>IF($A202="","","#"&amp;TRIM(SUBSTITUTE(SUBSTITUTE(SUBSTITUTE(SUBSTITUTE(SUBSTITUTE(SUBSTITUTE($A202,"-",""),"(",""),")",""),".",""),"+","")," ","")))</f>
      </c>
    </row>
    <row r="203" spans="1:11" x14ac:dyDescent="0.3">
      <c r="A203" s="28"/>
      <c r="B203" s="29"/>
      <c r="C203" s="30"/>
      <c r="D203" s="31"/>
      <c r="E203" s="33">
        <f>IF(OR($D203="",$K203=""),"",IF(COUNTIFS(Payments!$G$5:$G$2500,$K203,Payments!$C$5:$C$2500,"&lt;&gt;")=0,"",_xlfn.MAXIFS(Payments!$C$5:$C$2500,Payments!$G$5:$G$2500,$K203)))</f>
      </c>
      <c r="F203" s="34">
        <f>IF(OR($D203="",$K203=""),"",SUMIF(Payments!$G$5:$G$2500,$K203,Payments!$D$5:$D$2500))</f>
      </c>
      <c r="G203" s="36">
        <f>IF($D203="","",ROUND($D203-IF($F203="",0,$F203),2))</f>
      </c>
      <c r="H203" s="35">
        <f>IF(OR($D203="",$K203=""),"",COUNTIF(Payments!$G$5:$G$2500,$K203))</f>
      </c>
      <c r="I203" s="37">
        <f>IF($D203="","",IF(OR($F203="",$F203=0),"Pending",IF(ROUND($F203-$D203,2)&gt;0,"Overpaid",IF(ROUND($F203-$D203,2)=0,"Paid","Partial"))))</f>
      </c>
      <c r="J203" s="29"/>
      <c r="K203">
        <f>IF($A203="","","#"&amp;TRIM(SUBSTITUTE(SUBSTITUTE(SUBSTITUTE(SUBSTITUTE(SUBSTITUTE(SUBSTITUTE($A203,"-",""),"(",""),")",""),".",""),"+","")," ","")))</f>
      </c>
    </row>
    <row r="204" spans="1:11" x14ac:dyDescent="0.3">
      <c r="A204" s="28"/>
      <c r="B204" s="29"/>
      <c r="C204" s="30"/>
      <c r="D204" s="31"/>
      <c r="E204" s="33">
        <f>IF(OR($D204="",$K204=""),"",IF(COUNTIFS(Payments!$G$5:$G$2500,$K204,Payments!$C$5:$C$2500,"&lt;&gt;")=0,"",_xlfn.MAXIFS(Payments!$C$5:$C$2500,Payments!$G$5:$G$2500,$K204)))</f>
      </c>
      <c r="F204" s="34">
        <f>IF(OR($D204="",$K204=""),"",SUMIF(Payments!$G$5:$G$2500,$K204,Payments!$D$5:$D$2500))</f>
      </c>
      <c r="G204" s="36">
        <f>IF($D204="","",ROUND($D204-IF($F204="",0,$F204),2))</f>
      </c>
      <c r="H204" s="35">
        <f>IF(OR($D204="",$K204=""),"",COUNTIF(Payments!$G$5:$G$2500,$K204))</f>
      </c>
      <c r="I204" s="37">
        <f>IF($D204="","",IF(OR($F204="",$F204=0),"Pending",IF(ROUND($F204-$D204,2)&gt;0,"Overpaid",IF(ROUND($F204-$D204,2)=0,"Paid","Partial"))))</f>
      </c>
      <c r="J204" s="29"/>
      <c r="K204">
        <f>IF($A204="","","#"&amp;TRIM(SUBSTITUTE(SUBSTITUTE(SUBSTITUTE(SUBSTITUTE(SUBSTITUTE(SUBSTITUTE($A204,"-",""),"(",""),")",""),".",""),"+","")," ","")))</f>
      </c>
    </row>
    <row r="205" spans="1:11" x14ac:dyDescent="0.3">
      <c r="A205" s="28"/>
      <c r="B205" s="29"/>
      <c r="C205" s="30"/>
      <c r="D205" s="31"/>
      <c r="E205" s="33">
        <f>IF(OR($D205="",$K205=""),"",IF(COUNTIFS(Payments!$G$5:$G$2500,$K205,Payments!$C$5:$C$2500,"&lt;&gt;")=0,"",_xlfn.MAXIFS(Payments!$C$5:$C$2500,Payments!$G$5:$G$2500,$K205)))</f>
      </c>
      <c r="F205" s="34">
        <f>IF(OR($D205="",$K205=""),"",SUMIF(Payments!$G$5:$G$2500,$K205,Payments!$D$5:$D$2500))</f>
      </c>
      <c r="G205" s="36">
        <f>IF($D205="","",ROUND($D205-IF($F205="",0,$F205),2))</f>
      </c>
      <c r="H205" s="35">
        <f>IF(OR($D205="",$K205=""),"",COUNTIF(Payments!$G$5:$G$2500,$K205))</f>
      </c>
      <c r="I205" s="37">
        <f>IF($D205="","",IF(OR($F205="",$F205=0),"Pending",IF(ROUND($F205-$D205,2)&gt;0,"Overpaid",IF(ROUND($F205-$D205,2)=0,"Paid","Partial"))))</f>
      </c>
      <c r="J205" s="29"/>
      <c r="K205">
        <f>IF($A205="","","#"&amp;TRIM(SUBSTITUTE(SUBSTITUTE(SUBSTITUTE(SUBSTITUTE(SUBSTITUTE(SUBSTITUTE($A205,"-",""),"(",""),")",""),".",""),"+","")," ","")))</f>
      </c>
    </row>
    <row r="206" spans="1:11" x14ac:dyDescent="0.3">
      <c r="A206" s="28"/>
      <c r="B206" s="29"/>
      <c r="C206" s="30"/>
      <c r="D206" s="31"/>
      <c r="E206" s="33">
        <f>IF(OR($D206="",$K206=""),"",IF(COUNTIFS(Payments!$G$5:$G$2500,$K206,Payments!$C$5:$C$2500,"&lt;&gt;")=0,"",_xlfn.MAXIFS(Payments!$C$5:$C$2500,Payments!$G$5:$G$2500,$K206)))</f>
      </c>
      <c r="F206" s="34">
        <f>IF(OR($D206="",$K206=""),"",SUMIF(Payments!$G$5:$G$2500,$K206,Payments!$D$5:$D$2500))</f>
      </c>
      <c r="G206" s="36">
        <f>IF($D206="","",ROUND($D206-IF($F206="",0,$F206),2))</f>
      </c>
      <c r="H206" s="35">
        <f>IF(OR($D206="",$K206=""),"",COUNTIF(Payments!$G$5:$G$2500,$K206))</f>
      </c>
      <c r="I206" s="37">
        <f>IF($D206="","",IF(OR($F206="",$F206=0),"Pending",IF(ROUND($F206-$D206,2)&gt;0,"Overpaid",IF(ROUND($F206-$D206,2)=0,"Paid","Partial"))))</f>
      </c>
      <c r="J206" s="29"/>
      <c r="K206">
        <f>IF($A206="","","#"&amp;TRIM(SUBSTITUTE(SUBSTITUTE(SUBSTITUTE(SUBSTITUTE(SUBSTITUTE(SUBSTITUTE($A206,"-",""),"(",""),")",""),".",""),"+","")," ","")))</f>
      </c>
    </row>
    <row r="207" spans="1:11" x14ac:dyDescent="0.3">
      <c r="A207" s="28"/>
      <c r="B207" s="29"/>
      <c r="C207" s="30"/>
      <c r="D207" s="31"/>
      <c r="E207" s="33">
        <f>IF(OR($D207="",$K207=""),"",IF(COUNTIFS(Payments!$G$5:$G$2500,$K207,Payments!$C$5:$C$2500,"&lt;&gt;")=0,"",_xlfn.MAXIFS(Payments!$C$5:$C$2500,Payments!$G$5:$G$2500,$K207)))</f>
      </c>
      <c r="F207" s="34">
        <f>IF(OR($D207="",$K207=""),"",SUMIF(Payments!$G$5:$G$2500,$K207,Payments!$D$5:$D$2500))</f>
      </c>
      <c r="G207" s="36">
        <f>IF($D207="","",ROUND($D207-IF($F207="",0,$F207),2))</f>
      </c>
      <c r="H207" s="35">
        <f>IF(OR($D207="",$K207=""),"",COUNTIF(Payments!$G$5:$G$2500,$K207))</f>
      </c>
      <c r="I207" s="37">
        <f>IF($D207="","",IF(OR($F207="",$F207=0),"Pending",IF(ROUND($F207-$D207,2)&gt;0,"Overpaid",IF(ROUND($F207-$D207,2)=0,"Paid","Partial"))))</f>
      </c>
      <c r="J207" s="29"/>
      <c r="K207">
        <f>IF($A207="","","#"&amp;TRIM(SUBSTITUTE(SUBSTITUTE(SUBSTITUTE(SUBSTITUTE(SUBSTITUTE(SUBSTITUTE($A207,"-",""),"(",""),")",""),".",""),"+","")," ","")))</f>
      </c>
    </row>
    <row r="208" spans="1:11" x14ac:dyDescent="0.3">
      <c r="A208" s="28"/>
      <c r="B208" s="29"/>
      <c r="C208" s="30"/>
      <c r="D208" s="31"/>
      <c r="E208" s="33">
        <f>IF(OR($D208="",$K208=""),"",IF(COUNTIFS(Payments!$G$5:$G$2500,$K208,Payments!$C$5:$C$2500,"&lt;&gt;")=0,"",_xlfn.MAXIFS(Payments!$C$5:$C$2500,Payments!$G$5:$G$2500,$K208)))</f>
      </c>
      <c r="F208" s="34">
        <f>IF(OR($D208="",$K208=""),"",SUMIF(Payments!$G$5:$G$2500,$K208,Payments!$D$5:$D$2500))</f>
      </c>
      <c r="G208" s="36">
        <f>IF($D208="","",ROUND($D208-IF($F208="",0,$F208),2))</f>
      </c>
      <c r="H208" s="35">
        <f>IF(OR($D208="",$K208=""),"",COUNTIF(Payments!$G$5:$G$2500,$K208))</f>
      </c>
      <c r="I208" s="37">
        <f>IF($D208="","",IF(OR($F208="",$F208=0),"Pending",IF(ROUND($F208-$D208,2)&gt;0,"Overpaid",IF(ROUND($F208-$D208,2)=0,"Paid","Partial"))))</f>
      </c>
      <c r="J208" s="29"/>
      <c r="K208">
        <f>IF($A208="","","#"&amp;TRIM(SUBSTITUTE(SUBSTITUTE(SUBSTITUTE(SUBSTITUTE(SUBSTITUTE(SUBSTITUTE($A208,"-",""),"(",""),")",""),".",""),"+","")," ","")))</f>
      </c>
    </row>
    <row r="209" spans="1:11" x14ac:dyDescent="0.3">
      <c r="A209" s="28"/>
      <c r="B209" s="29"/>
      <c r="C209" s="30"/>
      <c r="D209" s="31"/>
      <c r="E209" s="33">
        <f>IF(OR($D209="",$K209=""),"",IF(COUNTIFS(Payments!$G$5:$G$2500,$K209,Payments!$C$5:$C$2500,"&lt;&gt;")=0,"",_xlfn.MAXIFS(Payments!$C$5:$C$2500,Payments!$G$5:$G$2500,$K209)))</f>
      </c>
      <c r="F209" s="34">
        <f>IF(OR($D209="",$K209=""),"",SUMIF(Payments!$G$5:$G$2500,$K209,Payments!$D$5:$D$2500))</f>
      </c>
      <c r="G209" s="36">
        <f>IF($D209="","",ROUND($D209-IF($F209="",0,$F209),2))</f>
      </c>
      <c r="H209" s="35">
        <f>IF(OR($D209="",$K209=""),"",COUNTIF(Payments!$G$5:$G$2500,$K209))</f>
      </c>
      <c r="I209" s="37">
        <f>IF($D209="","",IF(OR($F209="",$F209=0),"Pending",IF(ROUND($F209-$D209,2)&gt;0,"Overpaid",IF(ROUND($F209-$D209,2)=0,"Paid","Partial"))))</f>
      </c>
      <c r="J209" s="29"/>
      <c r="K209">
        <f>IF($A209="","","#"&amp;TRIM(SUBSTITUTE(SUBSTITUTE(SUBSTITUTE(SUBSTITUTE(SUBSTITUTE(SUBSTITUTE($A209,"-",""),"(",""),")",""),".",""),"+","")," ","")))</f>
      </c>
    </row>
    <row r="210" spans="1:11" x14ac:dyDescent="0.3">
      <c r="A210" s="28"/>
      <c r="B210" s="29"/>
      <c r="C210" s="30"/>
      <c r="D210" s="31"/>
      <c r="E210" s="33">
        <f>IF(OR($D210="",$K210=""),"",IF(COUNTIFS(Payments!$G$5:$G$2500,$K210,Payments!$C$5:$C$2500,"&lt;&gt;")=0,"",_xlfn.MAXIFS(Payments!$C$5:$C$2500,Payments!$G$5:$G$2500,$K210)))</f>
      </c>
      <c r="F210" s="34">
        <f>IF(OR($D210="",$K210=""),"",SUMIF(Payments!$G$5:$G$2500,$K210,Payments!$D$5:$D$2500))</f>
      </c>
      <c r="G210" s="36">
        <f>IF($D210="","",ROUND($D210-IF($F210="",0,$F210),2))</f>
      </c>
      <c r="H210" s="35">
        <f>IF(OR($D210="",$K210=""),"",COUNTIF(Payments!$G$5:$G$2500,$K210))</f>
      </c>
      <c r="I210" s="37">
        <f>IF($D210="","",IF(OR($F210="",$F210=0),"Pending",IF(ROUND($F210-$D210,2)&gt;0,"Overpaid",IF(ROUND($F210-$D210,2)=0,"Paid","Partial"))))</f>
      </c>
      <c r="J210" s="29"/>
      <c r="K210">
        <f>IF($A210="","","#"&amp;TRIM(SUBSTITUTE(SUBSTITUTE(SUBSTITUTE(SUBSTITUTE(SUBSTITUTE(SUBSTITUTE($A210,"-",""),"(",""),")",""),".",""),"+","")," ","")))</f>
      </c>
    </row>
    <row r="211" spans="1:11" x14ac:dyDescent="0.3">
      <c r="A211" s="28"/>
      <c r="B211" s="29"/>
      <c r="C211" s="30"/>
      <c r="D211" s="31"/>
      <c r="E211" s="33">
        <f>IF(OR($D211="",$K211=""),"",IF(COUNTIFS(Payments!$G$5:$G$2500,$K211,Payments!$C$5:$C$2500,"&lt;&gt;")=0,"",_xlfn.MAXIFS(Payments!$C$5:$C$2500,Payments!$G$5:$G$2500,$K211)))</f>
      </c>
      <c r="F211" s="34">
        <f>IF(OR($D211="",$K211=""),"",SUMIF(Payments!$G$5:$G$2500,$K211,Payments!$D$5:$D$2500))</f>
      </c>
      <c r="G211" s="36">
        <f>IF($D211="","",ROUND($D211-IF($F211="",0,$F211),2))</f>
      </c>
      <c r="H211" s="35">
        <f>IF(OR($D211="",$K211=""),"",COUNTIF(Payments!$G$5:$G$2500,$K211))</f>
      </c>
      <c r="I211" s="37">
        <f>IF($D211="","",IF(OR($F211="",$F211=0),"Pending",IF(ROUND($F211-$D211,2)&gt;0,"Overpaid",IF(ROUND($F211-$D211,2)=0,"Paid","Partial"))))</f>
      </c>
      <c r="J211" s="29"/>
      <c r="K211">
        <f>IF($A211="","","#"&amp;TRIM(SUBSTITUTE(SUBSTITUTE(SUBSTITUTE(SUBSTITUTE(SUBSTITUTE(SUBSTITUTE($A211,"-",""),"(",""),")",""),".",""),"+","")," ","")))</f>
      </c>
    </row>
    <row r="212" spans="1:11" x14ac:dyDescent="0.3">
      <c r="A212" s="28"/>
      <c r="B212" s="29"/>
      <c r="C212" s="30"/>
      <c r="D212" s="31"/>
      <c r="E212" s="33">
        <f>IF(OR($D212="",$K212=""),"",IF(COUNTIFS(Payments!$G$5:$G$2500,$K212,Payments!$C$5:$C$2500,"&lt;&gt;")=0,"",_xlfn.MAXIFS(Payments!$C$5:$C$2500,Payments!$G$5:$G$2500,$K212)))</f>
      </c>
      <c r="F212" s="34">
        <f>IF(OR($D212="",$K212=""),"",SUMIF(Payments!$G$5:$G$2500,$K212,Payments!$D$5:$D$2500))</f>
      </c>
      <c r="G212" s="36">
        <f>IF($D212="","",ROUND($D212-IF($F212="",0,$F212),2))</f>
      </c>
      <c r="H212" s="35">
        <f>IF(OR($D212="",$K212=""),"",COUNTIF(Payments!$G$5:$G$2500,$K212))</f>
      </c>
      <c r="I212" s="37">
        <f>IF($D212="","",IF(OR($F212="",$F212=0),"Pending",IF(ROUND($F212-$D212,2)&gt;0,"Overpaid",IF(ROUND($F212-$D212,2)=0,"Paid","Partial"))))</f>
      </c>
      <c r="J212" s="29"/>
      <c r="K212">
        <f>IF($A212="","","#"&amp;TRIM(SUBSTITUTE(SUBSTITUTE(SUBSTITUTE(SUBSTITUTE(SUBSTITUTE(SUBSTITUTE($A212,"-",""),"(",""),")",""),".",""),"+","")," ","")))</f>
      </c>
    </row>
    <row r="213" spans="1:11" x14ac:dyDescent="0.3">
      <c r="A213" s="28"/>
      <c r="B213" s="29"/>
      <c r="C213" s="30"/>
      <c r="D213" s="31"/>
      <c r="E213" s="33">
        <f>IF(OR($D213="",$K213=""),"",IF(COUNTIFS(Payments!$G$5:$G$2500,$K213,Payments!$C$5:$C$2500,"&lt;&gt;")=0,"",_xlfn.MAXIFS(Payments!$C$5:$C$2500,Payments!$G$5:$G$2500,$K213)))</f>
      </c>
      <c r="F213" s="34">
        <f>IF(OR($D213="",$K213=""),"",SUMIF(Payments!$G$5:$G$2500,$K213,Payments!$D$5:$D$2500))</f>
      </c>
      <c r="G213" s="36">
        <f>IF($D213="","",ROUND($D213-IF($F213="",0,$F213),2))</f>
      </c>
      <c r="H213" s="35">
        <f>IF(OR($D213="",$K213=""),"",COUNTIF(Payments!$G$5:$G$2500,$K213))</f>
      </c>
      <c r="I213" s="37">
        <f>IF($D213="","",IF(OR($F213="",$F213=0),"Pending",IF(ROUND($F213-$D213,2)&gt;0,"Overpaid",IF(ROUND($F213-$D213,2)=0,"Paid","Partial"))))</f>
      </c>
      <c r="J213" s="29"/>
      <c r="K213">
        <f>IF($A213="","","#"&amp;TRIM(SUBSTITUTE(SUBSTITUTE(SUBSTITUTE(SUBSTITUTE(SUBSTITUTE(SUBSTITUTE($A213,"-",""),"(",""),")",""),".",""),"+","")," ","")))</f>
      </c>
    </row>
    <row r="214" spans="1:11" x14ac:dyDescent="0.3">
      <c r="A214" s="28"/>
      <c r="B214" s="29"/>
      <c r="C214" s="30"/>
      <c r="D214" s="31"/>
      <c r="E214" s="33">
        <f>IF(OR($D214="",$K214=""),"",IF(COUNTIFS(Payments!$G$5:$G$2500,$K214,Payments!$C$5:$C$2500,"&lt;&gt;")=0,"",_xlfn.MAXIFS(Payments!$C$5:$C$2500,Payments!$G$5:$G$2500,$K214)))</f>
      </c>
      <c r="F214" s="34">
        <f>IF(OR($D214="",$K214=""),"",SUMIF(Payments!$G$5:$G$2500,$K214,Payments!$D$5:$D$2500))</f>
      </c>
      <c r="G214" s="36">
        <f>IF($D214="","",ROUND($D214-IF($F214="",0,$F214),2))</f>
      </c>
      <c r="H214" s="35">
        <f>IF(OR($D214="",$K214=""),"",COUNTIF(Payments!$G$5:$G$2500,$K214))</f>
      </c>
      <c r="I214" s="37">
        <f>IF($D214="","",IF(OR($F214="",$F214=0),"Pending",IF(ROUND($F214-$D214,2)&gt;0,"Overpaid",IF(ROUND($F214-$D214,2)=0,"Paid","Partial"))))</f>
      </c>
      <c r="J214" s="29"/>
      <c r="K214">
        <f>IF($A214="","","#"&amp;TRIM(SUBSTITUTE(SUBSTITUTE(SUBSTITUTE(SUBSTITUTE(SUBSTITUTE(SUBSTITUTE($A214,"-",""),"(",""),")",""),".",""),"+","")," ","")))</f>
      </c>
    </row>
    <row r="215" spans="1:11" x14ac:dyDescent="0.3">
      <c r="A215" s="28"/>
      <c r="B215" s="29"/>
      <c r="C215" s="30"/>
      <c r="D215" s="31"/>
      <c r="E215" s="33">
        <f>IF(OR($D215="",$K215=""),"",IF(COUNTIFS(Payments!$G$5:$G$2500,$K215,Payments!$C$5:$C$2500,"&lt;&gt;")=0,"",_xlfn.MAXIFS(Payments!$C$5:$C$2500,Payments!$G$5:$G$2500,$K215)))</f>
      </c>
      <c r="F215" s="34">
        <f>IF(OR($D215="",$K215=""),"",SUMIF(Payments!$G$5:$G$2500,$K215,Payments!$D$5:$D$2500))</f>
      </c>
      <c r="G215" s="36">
        <f>IF($D215="","",ROUND($D215-IF($F215="",0,$F215),2))</f>
      </c>
      <c r="H215" s="35">
        <f>IF(OR($D215="",$K215=""),"",COUNTIF(Payments!$G$5:$G$2500,$K215))</f>
      </c>
      <c r="I215" s="37">
        <f>IF($D215="","",IF(OR($F215="",$F215=0),"Pending",IF(ROUND($F215-$D215,2)&gt;0,"Overpaid",IF(ROUND($F215-$D215,2)=0,"Paid","Partial"))))</f>
      </c>
      <c r="J215" s="29"/>
      <c r="K215">
        <f>IF($A215="","","#"&amp;TRIM(SUBSTITUTE(SUBSTITUTE(SUBSTITUTE(SUBSTITUTE(SUBSTITUTE(SUBSTITUTE($A215,"-",""),"(",""),")",""),".",""),"+","")," ","")))</f>
      </c>
    </row>
    <row r="216" spans="1:11" x14ac:dyDescent="0.3">
      <c r="A216" s="28"/>
      <c r="B216" s="29"/>
      <c r="C216" s="30"/>
      <c r="D216" s="31"/>
      <c r="E216" s="33">
        <f>IF(OR($D216="",$K216=""),"",IF(COUNTIFS(Payments!$G$5:$G$2500,$K216,Payments!$C$5:$C$2500,"&lt;&gt;")=0,"",_xlfn.MAXIFS(Payments!$C$5:$C$2500,Payments!$G$5:$G$2500,$K216)))</f>
      </c>
      <c r="F216" s="34">
        <f>IF(OR($D216="",$K216=""),"",SUMIF(Payments!$G$5:$G$2500,$K216,Payments!$D$5:$D$2500))</f>
      </c>
      <c r="G216" s="36">
        <f>IF($D216="","",ROUND($D216-IF($F216="",0,$F216),2))</f>
      </c>
      <c r="H216" s="35">
        <f>IF(OR($D216="",$K216=""),"",COUNTIF(Payments!$G$5:$G$2500,$K216))</f>
      </c>
      <c r="I216" s="37">
        <f>IF($D216="","",IF(OR($F216="",$F216=0),"Pending",IF(ROUND($F216-$D216,2)&gt;0,"Overpaid",IF(ROUND($F216-$D216,2)=0,"Paid","Partial"))))</f>
      </c>
      <c r="J216" s="29"/>
      <c r="K216">
        <f>IF($A216="","","#"&amp;TRIM(SUBSTITUTE(SUBSTITUTE(SUBSTITUTE(SUBSTITUTE(SUBSTITUTE(SUBSTITUTE($A216,"-",""),"(",""),")",""),".",""),"+","")," ","")))</f>
      </c>
    </row>
    <row r="217" spans="1:11" x14ac:dyDescent="0.3">
      <c r="A217" s="28"/>
      <c r="B217" s="29"/>
      <c r="C217" s="30"/>
      <c r="D217" s="31"/>
      <c r="E217" s="33">
        <f>IF(OR($D217="",$K217=""),"",IF(COUNTIFS(Payments!$G$5:$G$2500,$K217,Payments!$C$5:$C$2500,"&lt;&gt;")=0,"",_xlfn.MAXIFS(Payments!$C$5:$C$2500,Payments!$G$5:$G$2500,$K217)))</f>
      </c>
      <c r="F217" s="34">
        <f>IF(OR($D217="",$K217=""),"",SUMIF(Payments!$G$5:$G$2500,$K217,Payments!$D$5:$D$2500))</f>
      </c>
      <c r="G217" s="36">
        <f>IF($D217="","",ROUND($D217-IF($F217="",0,$F217),2))</f>
      </c>
      <c r="H217" s="35">
        <f>IF(OR($D217="",$K217=""),"",COUNTIF(Payments!$G$5:$G$2500,$K217))</f>
      </c>
      <c r="I217" s="37">
        <f>IF($D217="","",IF(OR($F217="",$F217=0),"Pending",IF(ROUND($F217-$D217,2)&gt;0,"Overpaid",IF(ROUND($F217-$D217,2)=0,"Paid","Partial"))))</f>
      </c>
      <c r="J217" s="29"/>
      <c r="K217">
        <f>IF($A217="","","#"&amp;TRIM(SUBSTITUTE(SUBSTITUTE(SUBSTITUTE(SUBSTITUTE(SUBSTITUTE(SUBSTITUTE($A217,"-",""),"(",""),")",""),".",""),"+","")," ","")))</f>
      </c>
    </row>
    <row r="218" spans="1:11" x14ac:dyDescent="0.3">
      <c r="A218" s="28"/>
      <c r="B218" s="29"/>
      <c r="C218" s="30"/>
      <c r="D218" s="31"/>
      <c r="E218" s="33">
        <f>IF(OR($D218="",$K218=""),"",IF(COUNTIFS(Payments!$G$5:$G$2500,$K218,Payments!$C$5:$C$2500,"&lt;&gt;")=0,"",_xlfn.MAXIFS(Payments!$C$5:$C$2500,Payments!$G$5:$G$2500,$K218)))</f>
      </c>
      <c r="F218" s="34">
        <f>IF(OR($D218="",$K218=""),"",SUMIF(Payments!$G$5:$G$2500,$K218,Payments!$D$5:$D$2500))</f>
      </c>
      <c r="G218" s="36">
        <f>IF($D218="","",ROUND($D218-IF($F218="",0,$F218),2))</f>
      </c>
      <c r="H218" s="35">
        <f>IF(OR($D218="",$K218=""),"",COUNTIF(Payments!$G$5:$G$2500,$K218))</f>
      </c>
      <c r="I218" s="37">
        <f>IF($D218="","",IF(OR($F218="",$F218=0),"Pending",IF(ROUND($F218-$D218,2)&gt;0,"Overpaid",IF(ROUND($F218-$D218,2)=0,"Paid","Partial"))))</f>
      </c>
      <c r="J218" s="29"/>
      <c r="K218">
        <f>IF($A218="","","#"&amp;TRIM(SUBSTITUTE(SUBSTITUTE(SUBSTITUTE(SUBSTITUTE(SUBSTITUTE(SUBSTITUTE($A218,"-",""),"(",""),")",""),".",""),"+","")," ","")))</f>
      </c>
    </row>
    <row r="219" spans="1:11" x14ac:dyDescent="0.3">
      <c r="A219" s="28"/>
      <c r="B219" s="29"/>
      <c r="C219" s="30"/>
      <c r="D219" s="31"/>
      <c r="E219" s="33">
        <f>IF(OR($D219="",$K219=""),"",IF(COUNTIFS(Payments!$G$5:$G$2500,$K219,Payments!$C$5:$C$2500,"&lt;&gt;")=0,"",_xlfn.MAXIFS(Payments!$C$5:$C$2500,Payments!$G$5:$G$2500,$K219)))</f>
      </c>
      <c r="F219" s="34">
        <f>IF(OR($D219="",$K219=""),"",SUMIF(Payments!$G$5:$G$2500,$K219,Payments!$D$5:$D$2500))</f>
      </c>
      <c r="G219" s="36">
        <f>IF($D219="","",ROUND($D219-IF($F219="",0,$F219),2))</f>
      </c>
      <c r="H219" s="35">
        <f>IF(OR($D219="",$K219=""),"",COUNTIF(Payments!$G$5:$G$2500,$K219))</f>
      </c>
      <c r="I219" s="37">
        <f>IF($D219="","",IF(OR($F219="",$F219=0),"Pending",IF(ROUND($F219-$D219,2)&gt;0,"Overpaid",IF(ROUND($F219-$D219,2)=0,"Paid","Partial"))))</f>
      </c>
      <c r="J219" s="29"/>
      <c r="K219">
        <f>IF($A219="","","#"&amp;TRIM(SUBSTITUTE(SUBSTITUTE(SUBSTITUTE(SUBSTITUTE(SUBSTITUTE(SUBSTITUTE($A219,"-",""),"(",""),")",""),".",""),"+","")," ","")))</f>
      </c>
    </row>
    <row r="220" spans="1:11" x14ac:dyDescent="0.3">
      <c r="A220" s="28"/>
      <c r="B220" s="29"/>
      <c r="C220" s="30"/>
      <c r="D220" s="31"/>
      <c r="E220" s="33">
        <f>IF(OR($D220="",$K220=""),"",IF(COUNTIFS(Payments!$G$5:$G$2500,$K220,Payments!$C$5:$C$2500,"&lt;&gt;")=0,"",_xlfn.MAXIFS(Payments!$C$5:$C$2500,Payments!$G$5:$G$2500,$K220)))</f>
      </c>
      <c r="F220" s="34">
        <f>IF(OR($D220="",$K220=""),"",SUMIF(Payments!$G$5:$G$2500,$K220,Payments!$D$5:$D$2500))</f>
      </c>
      <c r="G220" s="36">
        <f>IF($D220="","",ROUND($D220-IF($F220="",0,$F220),2))</f>
      </c>
      <c r="H220" s="35">
        <f>IF(OR($D220="",$K220=""),"",COUNTIF(Payments!$G$5:$G$2500,$K220))</f>
      </c>
      <c r="I220" s="37">
        <f>IF($D220="","",IF(OR($F220="",$F220=0),"Pending",IF(ROUND($F220-$D220,2)&gt;0,"Overpaid",IF(ROUND($F220-$D220,2)=0,"Paid","Partial"))))</f>
      </c>
      <c r="J220" s="29"/>
      <c r="K220">
        <f>IF($A220="","","#"&amp;TRIM(SUBSTITUTE(SUBSTITUTE(SUBSTITUTE(SUBSTITUTE(SUBSTITUTE(SUBSTITUTE($A220,"-",""),"(",""),")",""),".",""),"+","")," ","")))</f>
      </c>
    </row>
    <row r="221" spans="1:11" x14ac:dyDescent="0.3">
      <c r="A221" s="28"/>
      <c r="B221" s="29"/>
      <c r="C221" s="30"/>
      <c r="D221" s="31"/>
      <c r="E221" s="33">
        <f>IF(OR($D221="",$K221=""),"",IF(COUNTIFS(Payments!$G$5:$G$2500,$K221,Payments!$C$5:$C$2500,"&lt;&gt;")=0,"",_xlfn.MAXIFS(Payments!$C$5:$C$2500,Payments!$G$5:$G$2500,$K221)))</f>
      </c>
      <c r="F221" s="34">
        <f>IF(OR($D221="",$K221=""),"",SUMIF(Payments!$G$5:$G$2500,$K221,Payments!$D$5:$D$2500))</f>
      </c>
      <c r="G221" s="36">
        <f>IF($D221="","",ROUND($D221-IF($F221="",0,$F221),2))</f>
      </c>
      <c r="H221" s="35">
        <f>IF(OR($D221="",$K221=""),"",COUNTIF(Payments!$G$5:$G$2500,$K221))</f>
      </c>
      <c r="I221" s="37">
        <f>IF($D221="","",IF(OR($F221="",$F221=0),"Pending",IF(ROUND($F221-$D221,2)&gt;0,"Overpaid",IF(ROUND($F221-$D221,2)=0,"Paid","Partial"))))</f>
      </c>
      <c r="J221" s="29"/>
      <c r="K221">
        <f>IF($A221="","","#"&amp;TRIM(SUBSTITUTE(SUBSTITUTE(SUBSTITUTE(SUBSTITUTE(SUBSTITUTE(SUBSTITUTE($A221,"-",""),"(",""),")",""),".",""),"+","")," ","")))</f>
      </c>
    </row>
    <row r="222" spans="1:11" x14ac:dyDescent="0.3">
      <c r="A222" s="28"/>
      <c r="B222" s="29"/>
      <c r="C222" s="30"/>
      <c r="D222" s="31"/>
      <c r="E222" s="33">
        <f>IF(OR($D222="",$K222=""),"",IF(COUNTIFS(Payments!$G$5:$G$2500,$K222,Payments!$C$5:$C$2500,"&lt;&gt;")=0,"",_xlfn.MAXIFS(Payments!$C$5:$C$2500,Payments!$G$5:$G$2500,$K222)))</f>
      </c>
      <c r="F222" s="34">
        <f>IF(OR($D222="",$K222=""),"",SUMIF(Payments!$G$5:$G$2500,$K222,Payments!$D$5:$D$2500))</f>
      </c>
      <c r="G222" s="36">
        <f>IF($D222="","",ROUND($D222-IF($F222="",0,$F222),2))</f>
      </c>
      <c r="H222" s="35">
        <f>IF(OR($D222="",$K222=""),"",COUNTIF(Payments!$G$5:$G$2500,$K222))</f>
      </c>
      <c r="I222" s="37">
        <f>IF($D222="","",IF(OR($F222="",$F222=0),"Pending",IF(ROUND($F222-$D222,2)&gt;0,"Overpaid",IF(ROUND($F222-$D222,2)=0,"Paid","Partial"))))</f>
      </c>
      <c r="J222" s="29"/>
      <c r="K222">
        <f>IF($A222="","","#"&amp;TRIM(SUBSTITUTE(SUBSTITUTE(SUBSTITUTE(SUBSTITUTE(SUBSTITUTE(SUBSTITUTE($A222,"-",""),"(",""),")",""),".",""),"+","")," ","")))</f>
      </c>
    </row>
    <row r="223" spans="1:11" x14ac:dyDescent="0.3">
      <c r="A223" s="28"/>
      <c r="B223" s="29"/>
      <c r="C223" s="30"/>
      <c r="D223" s="31"/>
      <c r="E223" s="33">
        <f>IF(OR($D223="",$K223=""),"",IF(COUNTIFS(Payments!$G$5:$G$2500,$K223,Payments!$C$5:$C$2500,"&lt;&gt;")=0,"",_xlfn.MAXIFS(Payments!$C$5:$C$2500,Payments!$G$5:$G$2500,$K223)))</f>
      </c>
      <c r="F223" s="34">
        <f>IF(OR($D223="",$K223=""),"",SUMIF(Payments!$G$5:$G$2500,$K223,Payments!$D$5:$D$2500))</f>
      </c>
      <c r="G223" s="36">
        <f>IF($D223="","",ROUND($D223-IF($F223="",0,$F223),2))</f>
      </c>
      <c r="H223" s="35">
        <f>IF(OR($D223="",$K223=""),"",COUNTIF(Payments!$G$5:$G$2500,$K223))</f>
      </c>
      <c r="I223" s="37">
        <f>IF($D223="","",IF(OR($F223="",$F223=0),"Pending",IF(ROUND($F223-$D223,2)&gt;0,"Overpaid",IF(ROUND($F223-$D223,2)=0,"Paid","Partial"))))</f>
      </c>
      <c r="J223" s="29"/>
      <c r="K223">
        <f>IF($A223="","","#"&amp;TRIM(SUBSTITUTE(SUBSTITUTE(SUBSTITUTE(SUBSTITUTE(SUBSTITUTE(SUBSTITUTE($A223,"-",""),"(",""),")",""),".",""),"+","")," ","")))</f>
      </c>
    </row>
    <row r="224" spans="1:11" x14ac:dyDescent="0.3">
      <c r="A224" s="28"/>
      <c r="B224" s="29"/>
      <c r="C224" s="30"/>
      <c r="D224" s="31"/>
      <c r="E224" s="33">
        <f>IF(OR($D224="",$K224=""),"",IF(COUNTIFS(Payments!$G$5:$G$2500,$K224,Payments!$C$5:$C$2500,"&lt;&gt;")=0,"",_xlfn.MAXIFS(Payments!$C$5:$C$2500,Payments!$G$5:$G$2500,$K224)))</f>
      </c>
      <c r="F224" s="34">
        <f>IF(OR($D224="",$K224=""),"",SUMIF(Payments!$G$5:$G$2500,$K224,Payments!$D$5:$D$2500))</f>
      </c>
      <c r="G224" s="36">
        <f>IF($D224="","",ROUND($D224-IF($F224="",0,$F224),2))</f>
      </c>
      <c r="H224" s="35">
        <f>IF(OR($D224="",$K224=""),"",COUNTIF(Payments!$G$5:$G$2500,$K224))</f>
      </c>
      <c r="I224" s="37">
        <f>IF($D224="","",IF(OR($F224="",$F224=0),"Pending",IF(ROUND($F224-$D224,2)&gt;0,"Overpaid",IF(ROUND($F224-$D224,2)=0,"Paid","Partial"))))</f>
      </c>
      <c r="J224" s="29"/>
      <c r="K224">
        <f>IF($A224="","","#"&amp;TRIM(SUBSTITUTE(SUBSTITUTE(SUBSTITUTE(SUBSTITUTE(SUBSTITUTE(SUBSTITUTE($A224,"-",""),"(",""),")",""),".",""),"+","")," ","")))</f>
      </c>
    </row>
    <row r="225" spans="1:11" x14ac:dyDescent="0.3">
      <c r="A225" s="28"/>
      <c r="B225" s="29"/>
      <c r="C225" s="30"/>
      <c r="D225" s="31"/>
      <c r="E225" s="33">
        <f>IF(OR($D225="",$K225=""),"",IF(COUNTIFS(Payments!$G$5:$G$2500,$K225,Payments!$C$5:$C$2500,"&lt;&gt;")=0,"",_xlfn.MAXIFS(Payments!$C$5:$C$2500,Payments!$G$5:$G$2500,$K225)))</f>
      </c>
      <c r="F225" s="34">
        <f>IF(OR($D225="",$K225=""),"",SUMIF(Payments!$G$5:$G$2500,$K225,Payments!$D$5:$D$2500))</f>
      </c>
      <c r="G225" s="36">
        <f>IF($D225="","",ROUND($D225-IF($F225="",0,$F225),2))</f>
      </c>
      <c r="H225" s="35">
        <f>IF(OR($D225="",$K225=""),"",COUNTIF(Payments!$G$5:$G$2500,$K225))</f>
      </c>
      <c r="I225" s="37">
        <f>IF($D225="","",IF(OR($F225="",$F225=0),"Pending",IF(ROUND($F225-$D225,2)&gt;0,"Overpaid",IF(ROUND($F225-$D225,2)=0,"Paid","Partial"))))</f>
      </c>
      <c r="J225" s="29"/>
      <c r="K225">
        <f>IF($A225="","","#"&amp;TRIM(SUBSTITUTE(SUBSTITUTE(SUBSTITUTE(SUBSTITUTE(SUBSTITUTE(SUBSTITUTE($A225,"-",""),"(",""),")",""),".",""),"+","")," ","")))</f>
      </c>
    </row>
    <row r="226" spans="1:11" x14ac:dyDescent="0.3">
      <c r="A226" s="28"/>
      <c r="B226" s="29"/>
      <c r="C226" s="30"/>
      <c r="D226" s="31"/>
      <c r="E226" s="33">
        <f>IF(OR($D226="",$K226=""),"",IF(COUNTIFS(Payments!$G$5:$G$2500,$K226,Payments!$C$5:$C$2500,"&lt;&gt;")=0,"",_xlfn.MAXIFS(Payments!$C$5:$C$2500,Payments!$G$5:$G$2500,$K226)))</f>
      </c>
      <c r="F226" s="34">
        <f>IF(OR($D226="",$K226=""),"",SUMIF(Payments!$G$5:$G$2500,$K226,Payments!$D$5:$D$2500))</f>
      </c>
      <c r="G226" s="36">
        <f>IF($D226="","",ROUND($D226-IF($F226="",0,$F226),2))</f>
      </c>
      <c r="H226" s="35">
        <f>IF(OR($D226="",$K226=""),"",COUNTIF(Payments!$G$5:$G$2500,$K226))</f>
      </c>
      <c r="I226" s="37">
        <f>IF($D226="","",IF(OR($F226="",$F226=0),"Pending",IF(ROUND($F226-$D226,2)&gt;0,"Overpaid",IF(ROUND($F226-$D226,2)=0,"Paid","Partial"))))</f>
      </c>
      <c r="J226" s="29"/>
      <c r="K226">
        <f>IF($A226="","","#"&amp;TRIM(SUBSTITUTE(SUBSTITUTE(SUBSTITUTE(SUBSTITUTE(SUBSTITUTE(SUBSTITUTE($A226,"-",""),"(",""),")",""),".",""),"+","")," ","")))</f>
      </c>
    </row>
    <row r="227" spans="1:11" x14ac:dyDescent="0.3">
      <c r="A227" s="28"/>
      <c r="B227" s="29"/>
      <c r="C227" s="30"/>
      <c r="D227" s="31"/>
      <c r="E227" s="33">
        <f>IF(OR($D227="",$K227=""),"",IF(COUNTIFS(Payments!$G$5:$G$2500,$K227,Payments!$C$5:$C$2500,"&lt;&gt;")=0,"",_xlfn.MAXIFS(Payments!$C$5:$C$2500,Payments!$G$5:$G$2500,$K227)))</f>
      </c>
      <c r="F227" s="34">
        <f>IF(OR($D227="",$K227=""),"",SUMIF(Payments!$G$5:$G$2500,$K227,Payments!$D$5:$D$2500))</f>
      </c>
      <c r="G227" s="36">
        <f>IF($D227="","",ROUND($D227-IF($F227="",0,$F227),2))</f>
      </c>
      <c r="H227" s="35">
        <f>IF(OR($D227="",$K227=""),"",COUNTIF(Payments!$G$5:$G$2500,$K227))</f>
      </c>
      <c r="I227" s="37">
        <f>IF($D227="","",IF(OR($F227="",$F227=0),"Pending",IF(ROUND($F227-$D227,2)&gt;0,"Overpaid",IF(ROUND($F227-$D227,2)=0,"Paid","Partial"))))</f>
      </c>
      <c r="J227" s="29"/>
      <c r="K227">
        <f>IF($A227="","","#"&amp;TRIM(SUBSTITUTE(SUBSTITUTE(SUBSTITUTE(SUBSTITUTE(SUBSTITUTE(SUBSTITUTE($A227,"-",""),"(",""),")",""),".",""),"+","")," ","")))</f>
      </c>
    </row>
    <row r="228" spans="1:11" x14ac:dyDescent="0.3">
      <c r="A228" s="28"/>
      <c r="B228" s="29"/>
      <c r="C228" s="30"/>
      <c r="D228" s="31"/>
      <c r="E228" s="33">
        <f>IF(OR($D228="",$K228=""),"",IF(COUNTIFS(Payments!$G$5:$G$2500,$K228,Payments!$C$5:$C$2500,"&lt;&gt;")=0,"",_xlfn.MAXIFS(Payments!$C$5:$C$2500,Payments!$G$5:$G$2500,$K228)))</f>
      </c>
      <c r="F228" s="34">
        <f>IF(OR($D228="",$K228=""),"",SUMIF(Payments!$G$5:$G$2500,$K228,Payments!$D$5:$D$2500))</f>
      </c>
      <c r="G228" s="36">
        <f>IF($D228="","",ROUND($D228-IF($F228="",0,$F228),2))</f>
      </c>
      <c r="H228" s="35">
        <f>IF(OR($D228="",$K228=""),"",COUNTIF(Payments!$G$5:$G$2500,$K228))</f>
      </c>
      <c r="I228" s="37">
        <f>IF($D228="","",IF(OR($F228="",$F228=0),"Pending",IF(ROUND($F228-$D228,2)&gt;0,"Overpaid",IF(ROUND($F228-$D228,2)=0,"Paid","Partial"))))</f>
      </c>
      <c r="J228" s="29"/>
      <c r="K228">
        <f>IF($A228="","","#"&amp;TRIM(SUBSTITUTE(SUBSTITUTE(SUBSTITUTE(SUBSTITUTE(SUBSTITUTE(SUBSTITUTE($A228,"-",""),"(",""),")",""),".",""),"+","")," ","")))</f>
      </c>
    </row>
    <row r="229" spans="1:11" x14ac:dyDescent="0.3">
      <c r="A229" s="28"/>
      <c r="B229" s="29"/>
      <c r="C229" s="30"/>
      <c r="D229" s="31"/>
      <c r="E229" s="33">
        <f>IF(OR($D229="",$K229=""),"",IF(COUNTIFS(Payments!$G$5:$G$2500,$K229,Payments!$C$5:$C$2500,"&lt;&gt;")=0,"",_xlfn.MAXIFS(Payments!$C$5:$C$2500,Payments!$G$5:$G$2500,$K229)))</f>
      </c>
      <c r="F229" s="34">
        <f>IF(OR($D229="",$K229=""),"",SUMIF(Payments!$G$5:$G$2500,$K229,Payments!$D$5:$D$2500))</f>
      </c>
      <c r="G229" s="36">
        <f>IF($D229="","",ROUND($D229-IF($F229="",0,$F229),2))</f>
      </c>
      <c r="H229" s="35">
        <f>IF(OR($D229="",$K229=""),"",COUNTIF(Payments!$G$5:$G$2500,$K229))</f>
      </c>
      <c r="I229" s="37">
        <f>IF($D229="","",IF(OR($F229="",$F229=0),"Pending",IF(ROUND($F229-$D229,2)&gt;0,"Overpaid",IF(ROUND($F229-$D229,2)=0,"Paid","Partial"))))</f>
      </c>
      <c r="J229" s="29"/>
      <c r="K229">
        <f>IF($A229="","","#"&amp;TRIM(SUBSTITUTE(SUBSTITUTE(SUBSTITUTE(SUBSTITUTE(SUBSTITUTE(SUBSTITUTE($A229,"-",""),"(",""),")",""),".",""),"+","")," ","")))</f>
      </c>
    </row>
    <row r="230" spans="1:11" x14ac:dyDescent="0.3">
      <c r="A230" s="28"/>
      <c r="B230" s="29"/>
      <c r="C230" s="30"/>
      <c r="D230" s="31"/>
      <c r="E230" s="33">
        <f>IF(OR($D230="",$K230=""),"",IF(COUNTIFS(Payments!$G$5:$G$2500,$K230,Payments!$C$5:$C$2500,"&lt;&gt;")=0,"",_xlfn.MAXIFS(Payments!$C$5:$C$2500,Payments!$G$5:$G$2500,$K230)))</f>
      </c>
      <c r="F230" s="34">
        <f>IF(OR($D230="",$K230=""),"",SUMIF(Payments!$G$5:$G$2500,$K230,Payments!$D$5:$D$2500))</f>
      </c>
      <c r="G230" s="36">
        <f>IF($D230="","",ROUND($D230-IF($F230="",0,$F230),2))</f>
      </c>
      <c r="H230" s="35">
        <f>IF(OR($D230="",$K230=""),"",COUNTIF(Payments!$G$5:$G$2500,$K230))</f>
      </c>
      <c r="I230" s="37">
        <f>IF($D230="","",IF(OR($F230="",$F230=0),"Pending",IF(ROUND($F230-$D230,2)&gt;0,"Overpaid",IF(ROUND($F230-$D230,2)=0,"Paid","Partial"))))</f>
      </c>
      <c r="J230" s="29"/>
      <c r="K230">
        <f>IF($A230="","","#"&amp;TRIM(SUBSTITUTE(SUBSTITUTE(SUBSTITUTE(SUBSTITUTE(SUBSTITUTE(SUBSTITUTE($A230,"-",""),"(",""),")",""),".",""),"+","")," ","")))</f>
      </c>
    </row>
    <row r="231" spans="1:11" x14ac:dyDescent="0.3">
      <c r="A231" s="28"/>
      <c r="B231" s="29"/>
      <c r="C231" s="30"/>
      <c r="D231" s="31"/>
      <c r="E231" s="33">
        <f>IF(OR($D231="",$K231=""),"",IF(COUNTIFS(Payments!$G$5:$G$2500,$K231,Payments!$C$5:$C$2500,"&lt;&gt;")=0,"",_xlfn.MAXIFS(Payments!$C$5:$C$2500,Payments!$G$5:$G$2500,$K231)))</f>
      </c>
      <c r="F231" s="34">
        <f>IF(OR($D231="",$K231=""),"",SUMIF(Payments!$G$5:$G$2500,$K231,Payments!$D$5:$D$2500))</f>
      </c>
      <c r="G231" s="36">
        <f>IF($D231="","",ROUND($D231-IF($F231="",0,$F231),2))</f>
      </c>
      <c r="H231" s="35">
        <f>IF(OR($D231="",$K231=""),"",COUNTIF(Payments!$G$5:$G$2500,$K231))</f>
      </c>
      <c r="I231" s="37">
        <f>IF($D231="","",IF(OR($F231="",$F231=0),"Pending",IF(ROUND($F231-$D231,2)&gt;0,"Overpaid",IF(ROUND($F231-$D231,2)=0,"Paid","Partial"))))</f>
      </c>
      <c r="J231" s="29"/>
      <c r="K231">
        <f>IF($A231="","","#"&amp;TRIM(SUBSTITUTE(SUBSTITUTE(SUBSTITUTE(SUBSTITUTE(SUBSTITUTE(SUBSTITUTE($A231,"-",""),"(",""),")",""),".",""),"+","")," ","")))</f>
      </c>
    </row>
    <row r="232" spans="1:11" x14ac:dyDescent="0.3">
      <c r="A232" s="28"/>
      <c r="B232" s="29"/>
      <c r="C232" s="30"/>
      <c r="D232" s="31"/>
      <c r="E232" s="33">
        <f>IF(OR($D232="",$K232=""),"",IF(COUNTIFS(Payments!$G$5:$G$2500,$K232,Payments!$C$5:$C$2500,"&lt;&gt;")=0,"",_xlfn.MAXIFS(Payments!$C$5:$C$2500,Payments!$G$5:$G$2500,$K232)))</f>
      </c>
      <c r="F232" s="34">
        <f>IF(OR($D232="",$K232=""),"",SUMIF(Payments!$G$5:$G$2500,$K232,Payments!$D$5:$D$2500))</f>
      </c>
      <c r="G232" s="36">
        <f>IF($D232="","",ROUND($D232-IF($F232="",0,$F232),2))</f>
      </c>
      <c r="H232" s="35">
        <f>IF(OR($D232="",$K232=""),"",COUNTIF(Payments!$G$5:$G$2500,$K232))</f>
      </c>
      <c r="I232" s="37">
        <f>IF($D232="","",IF(OR($F232="",$F232=0),"Pending",IF(ROUND($F232-$D232,2)&gt;0,"Overpaid",IF(ROUND($F232-$D232,2)=0,"Paid","Partial"))))</f>
      </c>
      <c r="J232" s="29"/>
      <c r="K232">
        <f>IF($A232="","","#"&amp;TRIM(SUBSTITUTE(SUBSTITUTE(SUBSTITUTE(SUBSTITUTE(SUBSTITUTE(SUBSTITUTE($A232,"-",""),"(",""),")",""),".",""),"+","")," ","")))</f>
      </c>
    </row>
    <row r="233" spans="1:11" x14ac:dyDescent="0.3">
      <c r="A233" s="28"/>
      <c r="B233" s="29"/>
      <c r="C233" s="30"/>
      <c r="D233" s="31"/>
      <c r="E233" s="33">
        <f>IF(OR($D233="",$K233=""),"",IF(COUNTIFS(Payments!$G$5:$G$2500,$K233,Payments!$C$5:$C$2500,"&lt;&gt;")=0,"",_xlfn.MAXIFS(Payments!$C$5:$C$2500,Payments!$G$5:$G$2500,$K233)))</f>
      </c>
      <c r="F233" s="34">
        <f>IF(OR($D233="",$K233=""),"",SUMIF(Payments!$G$5:$G$2500,$K233,Payments!$D$5:$D$2500))</f>
      </c>
      <c r="G233" s="36">
        <f>IF($D233="","",ROUND($D233-IF($F233="",0,$F233),2))</f>
      </c>
      <c r="H233" s="35">
        <f>IF(OR($D233="",$K233=""),"",COUNTIF(Payments!$G$5:$G$2500,$K233))</f>
      </c>
      <c r="I233" s="37">
        <f>IF($D233="","",IF(OR($F233="",$F233=0),"Pending",IF(ROUND($F233-$D233,2)&gt;0,"Overpaid",IF(ROUND($F233-$D233,2)=0,"Paid","Partial"))))</f>
      </c>
      <c r="J233" s="29"/>
      <c r="K233">
        <f>IF($A233="","","#"&amp;TRIM(SUBSTITUTE(SUBSTITUTE(SUBSTITUTE(SUBSTITUTE(SUBSTITUTE(SUBSTITUTE($A233,"-",""),"(",""),")",""),".",""),"+","")," ","")))</f>
      </c>
    </row>
    <row r="234" spans="1:11" x14ac:dyDescent="0.3">
      <c r="A234" s="28"/>
      <c r="B234" s="29"/>
      <c r="C234" s="30"/>
      <c r="D234" s="31"/>
      <c r="E234" s="33">
        <f>IF(OR($D234="",$K234=""),"",IF(COUNTIFS(Payments!$G$5:$G$2500,$K234,Payments!$C$5:$C$2500,"&lt;&gt;")=0,"",_xlfn.MAXIFS(Payments!$C$5:$C$2500,Payments!$G$5:$G$2500,$K234)))</f>
      </c>
      <c r="F234" s="34">
        <f>IF(OR($D234="",$K234=""),"",SUMIF(Payments!$G$5:$G$2500,$K234,Payments!$D$5:$D$2500))</f>
      </c>
      <c r="G234" s="36">
        <f>IF($D234="","",ROUND($D234-IF($F234="",0,$F234),2))</f>
      </c>
      <c r="H234" s="35">
        <f>IF(OR($D234="",$K234=""),"",COUNTIF(Payments!$G$5:$G$2500,$K234))</f>
      </c>
      <c r="I234" s="37">
        <f>IF($D234="","",IF(OR($F234="",$F234=0),"Pending",IF(ROUND($F234-$D234,2)&gt;0,"Overpaid",IF(ROUND($F234-$D234,2)=0,"Paid","Partial"))))</f>
      </c>
      <c r="J234" s="29"/>
      <c r="K234">
        <f>IF($A234="","","#"&amp;TRIM(SUBSTITUTE(SUBSTITUTE(SUBSTITUTE(SUBSTITUTE(SUBSTITUTE(SUBSTITUTE($A234,"-",""),"(",""),")",""),".",""),"+","")," ","")))</f>
      </c>
    </row>
    <row r="235" spans="1:11" x14ac:dyDescent="0.3">
      <c r="A235" s="28"/>
      <c r="B235" s="29"/>
      <c r="C235" s="30"/>
      <c r="D235" s="31"/>
      <c r="E235" s="33">
        <f>IF(OR($D235="",$K235=""),"",IF(COUNTIFS(Payments!$G$5:$G$2500,$K235,Payments!$C$5:$C$2500,"&lt;&gt;")=0,"",_xlfn.MAXIFS(Payments!$C$5:$C$2500,Payments!$G$5:$G$2500,$K235)))</f>
      </c>
      <c r="F235" s="34">
        <f>IF(OR($D235="",$K235=""),"",SUMIF(Payments!$G$5:$G$2500,$K235,Payments!$D$5:$D$2500))</f>
      </c>
      <c r="G235" s="36">
        <f>IF($D235="","",ROUND($D235-IF($F235="",0,$F235),2))</f>
      </c>
      <c r="H235" s="35">
        <f>IF(OR($D235="",$K235=""),"",COUNTIF(Payments!$G$5:$G$2500,$K235))</f>
      </c>
      <c r="I235" s="37">
        <f>IF($D235="","",IF(OR($F235="",$F235=0),"Pending",IF(ROUND($F235-$D235,2)&gt;0,"Overpaid",IF(ROUND($F235-$D235,2)=0,"Paid","Partial"))))</f>
      </c>
      <c r="J235" s="29"/>
      <c r="K235">
        <f>IF($A235="","","#"&amp;TRIM(SUBSTITUTE(SUBSTITUTE(SUBSTITUTE(SUBSTITUTE(SUBSTITUTE(SUBSTITUTE($A235,"-",""),"(",""),")",""),".",""),"+","")," ","")))</f>
      </c>
    </row>
    <row r="236" spans="1:11" x14ac:dyDescent="0.3">
      <c r="A236" s="28"/>
      <c r="B236" s="29"/>
      <c r="C236" s="30"/>
      <c r="D236" s="31"/>
      <c r="E236" s="33">
        <f>IF(OR($D236="",$K236=""),"",IF(COUNTIFS(Payments!$G$5:$G$2500,$K236,Payments!$C$5:$C$2500,"&lt;&gt;")=0,"",_xlfn.MAXIFS(Payments!$C$5:$C$2500,Payments!$G$5:$G$2500,$K236)))</f>
      </c>
      <c r="F236" s="34">
        <f>IF(OR($D236="",$K236=""),"",SUMIF(Payments!$G$5:$G$2500,$K236,Payments!$D$5:$D$2500))</f>
      </c>
      <c r="G236" s="36">
        <f>IF($D236="","",ROUND($D236-IF($F236="",0,$F236),2))</f>
      </c>
      <c r="H236" s="35">
        <f>IF(OR($D236="",$K236=""),"",COUNTIF(Payments!$G$5:$G$2500,$K236))</f>
      </c>
      <c r="I236" s="37">
        <f>IF($D236="","",IF(OR($F236="",$F236=0),"Pending",IF(ROUND($F236-$D236,2)&gt;0,"Overpaid",IF(ROUND($F236-$D236,2)=0,"Paid","Partial"))))</f>
      </c>
      <c r="J236" s="29"/>
      <c r="K236">
        <f>IF($A236="","","#"&amp;TRIM(SUBSTITUTE(SUBSTITUTE(SUBSTITUTE(SUBSTITUTE(SUBSTITUTE(SUBSTITUTE($A236,"-",""),"(",""),")",""),".",""),"+","")," ","")))</f>
      </c>
    </row>
    <row r="237" spans="1:11" x14ac:dyDescent="0.3">
      <c r="A237" s="28"/>
      <c r="B237" s="29"/>
      <c r="C237" s="30"/>
      <c r="D237" s="31"/>
      <c r="E237" s="33">
        <f>IF(OR($D237="",$K237=""),"",IF(COUNTIFS(Payments!$G$5:$G$2500,$K237,Payments!$C$5:$C$2500,"&lt;&gt;")=0,"",_xlfn.MAXIFS(Payments!$C$5:$C$2500,Payments!$G$5:$G$2500,$K237)))</f>
      </c>
      <c r="F237" s="34">
        <f>IF(OR($D237="",$K237=""),"",SUMIF(Payments!$G$5:$G$2500,$K237,Payments!$D$5:$D$2500))</f>
      </c>
      <c r="G237" s="36">
        <f>IF($D237="","",ROUND($D237-IF($F237="",0,$F237),2))</f>
      </c>
      <c r="H237" s="35">
        <f>IF(OR($D237="",$K237=""),"",COUNTIF(Payments!$G$5:$G$2500,$K237))</f>
      </c>
      <c r="I237" s="37">
        <f>IF($D237="","",IF(OR($F237="",$F237=0),"Pending",IF(ROUND($F237-$D237,2)&gt;0,"Overpaid",IF(ROUND($F237-$D237,2)=0,"Paid","Partial"))))</f>
      </c>
      <c r="J237" s="29"/>
      <c r="K237">
        <f>IF($A237="","","#"&amp;TRIM(SUBSTITUTE(SUBSTITUTE(SUBSTITUTE(SUBSTITUTE(SUBSTITUTE(SUBSTITUTE($A237,"-",""),"(",""),")",""),".",""),"+","")," ","")))</f>
      </c>
    </row>
    <row r="238" spans="1:11" x14ac:dyDescent="0.3">
      <c r="A238" s="28"/>
      <c r="B238" s="29"/>
      <c r="C238" s="30"/>
      <c r="D238" s="31"/>
      <c r="E238" s="33">
        <f>IF(OR($D238="",$K238=""),"",IF(COUNTIFS(Payments!$G$5:$G$2500,$K238,Payments!$C$5:$C$2500,"&lt;&gt;")=0,"",_xlfn.MAXIFS(Payments!$C$5:$C$2500,Payments!$G$5:$G$2500,$K238)))</f>
      </c>
      <c r="F238" s="34">
        <f>IF(OR($D238="",$K238=""),"",SUMIF(Payments!$G$5:$G$2500,$K238,Payments!$D$5:$D$2500))</f>
      </c>
      <c r="G238" s="36">
        <f>IF($D238="","",ROUND($D238-IF($F238="",0,$F238),2))</f>
      </c>
      <c r="H238" s="35">
        <f>IF(OR($D238="",$K238=""),"",COUNTIF(Payments!$G$5:$G$2500,$K238))</f>
      </c>
      <c r="I238" s="37">
        <f>IF($D238="","",IF(OR($F238="",$F238=0),"Pending",IF(ROUND($F238-$D238,2)&gt;0,"Overpaid",IF(ROUND($F238-$D238,2)=0,"Paid","Partial"))))</f>
      </c>
      <c r="J238" s="29"/>
      <c r="K238">
        <f>IF($A238="","","#"&amp;TRIM(SUBSTITUTE(SUBSTITUTE(SUBSTITUTE(SUBSTITUTE(SUBSTITUTE(SUBSTITUTE($A238,"-",""),"(",""),")",""),".",""),"+","")," ","")))</f>
      </c>
    </row>
    <row r="239" spans="1:11" x14ac:dyDescent="0.3">
      <c r="A239" s="28"/>
      <c r="B239" s="29"/>
      <c r="C239" s="30"/>
      <c r="D239" s="31"/>
      <c r="E239" s="33">
        <f>IF(OR($D239="",$K239=""),"",IF(COUNTIFS(Payments!$G$5:$G$2500,$K239,Payments!$C$5:$C$2500,"&lt;&gt;")=0,"",_xlfn.MAXIFS(Payments!$C$5:$C$2500,Payments!$G$5:$G$2500,$K239)))</f>
      </c>
      <c r="F239" s="34">
        <f>IF(OR($D239="",$K239=""),"",SUMIF(Payments!$G$5:$G$2500,$K239,Payments!$D$5:$D$2500))</f>
      </c>
      <c r="G239" s="36">
        <f>IF($D239="","",ROUND($D239-IF($F239="",0,$F239),2))</f>
      </c>
      <c r="H239" s="35">
        <f>IF(OR($D239="",$K239=""),"",COUNTIF(Payments!$G$5:$G$2500,$K239))</f>
      </c>
      <c r="I239" s="37">
        <f>IF($D239="","",IF(OR($F239="",$F239=0),"Pending",IF(ROUND($F239-$D239,2)&gt;0,"Overpaid",IF(ROUND($F239-$D239,2)=0,"Paid","Partial"))))</f>
      </c>
      <c r="J239" s="29"/>
      <c r="K239">
        <f>IF($A239="","","#"&amp;TRIM(SUBSTITUTE(SUBSTITUTE(SUBSTITUTE(SUBSTITUTE(SUBSTITUTE(SUBSTITUTE($A239,"-",""),"(",""),")",""),".",""),"+","")," ","")))</f>
      </c>
    </row>
    <row r="240" spans="1:11" x14ac:dyDescent="0.3">
      <c r="A240" s="28"/>
      <c r="B240" s="29"/>
      <c r="C240" s="30"/>
      <c r="D240" s="31"/>
      <c r="E240" s="33">
        <f>IF(OR($D240="",$K240=""),"",IF(COUNTIFS(Payments!$G$5:$G$2500,$K240,Payments!$C$5:$C$2500,"&lt;&gt;")=0,"",_xlfn.MAXIFS(Payments!$C$5:$C$2500,Payments!$G$5:$G$2500,$K240)))</f>
      </c>
      <c r="F240" s="34">
        <f>IF(OR($D240="",$K240=""),"",SUMIF(Payments!$G$5:$G$2500,$K240,Payments!$D$5:$D$2500))</f>
      </c>
      <c r="G240" s="36">
        <f>IF($D240="","",ROUND($D240-IF($F240="",0,$F240),2))</f>
      </c>
      <c r="H240" s="35">
        <f>IF(OR($D240="",$K240=""),"",COUNTIF(Payments!$G$5:$G$2500,$K240))</f>
      </c>
      <c r="I240" s="37">
        <f>IF($D240="","",IF(OR($F240="",$F240=0),"Pending",IF(ROUND($F240-$D240,2)&gt;0,"Overpaid",IF(ROUND($F240-$D240,2)=0,"Paid","Partial"))))</f>
      </c>
      <c r="J240" s="29"/>
      <c r="K240">
        <f>IF($A240="","","#"&amp;TRIM(SUBSTITUTE(SUBSTITUTE(SUBSTITUTE(SUBSTITUTE(SUBSTITUTE(SUBSTITUTE($A240,"-",""),"(",""),")",""),".",""),"+","")," ","")))</f>
      </c>
    </row>
    <row r="241" spans="1:11" x14ac:dyDescent="0.3">
      <c r="A241" s="28"/>
      <c r="B241" s="29"/>
      <c r="C241" s="30"/>
      <c r="D241" s="31"/>
      <c r="E241" s="33">
        <f>IF(OR($D241="",$K241=""),"",IF(COUNTIFS(Payments!$G$5:$G$2500,$K241,Payments!$C$5:$C$2500,"&lt;&gt;")=0,"",_xlfn.MAXIFS(Payments!$C$5:$C$2500,Payments!$G$5:$G$2500,$K241)))</f>
      </c>
      <c r="F241" s="34">
        <f>IF(OR($D241="",$K241=""),"",SUMIF(Payments!$G$5:$G$2500,$K241,Payments!$D$5:$D$2500))</f>
      </c>
      <c r="G241" s="36">
        <f>IF($D241="","",ROUND($D241-IF($F241="",0,$F241),2))</f>
      </c>
      <c r="H241" s="35">
        <f>IF(OR($D241="",$K241=""),"",COUNTIF(Payments!$G$5:$G$2500,$K241))</f>
      </c>
      <c r="I241" s="37">
        <f>IF($D241="","",IF(OR($F241="",$F241=0),"Pending",IF(ROUND($F241-$D241,2)&gt;0,"Overpaid",IF(ROUND($F241-$D241,2)=0,"Paid","Partial"))))</f>
      </c>
      <c r="J241" s="29"/>
      <c r="K241">
        <f>IF($A241="","","#"&amp;TRIM(SUBSTITUTE(SUBSTITUTE(SUBSTITUTE(SUBSTITUTE(SUBSTITUTE(SUBSTITUTE($A241,"-",""),"(",""),")",""),".",""),"+","")," ","")))</f>
      </c>
    </row>
    <row r="242" spans="1:11" x14ac:dyDescent="0.3">
      <c r="A242" s="28"/>
      <c r="B242" s="29"/>
      <c r="C242" s="30"/>
      <c r="D242" s="31"/>
      <c r="E242" s="33">
        <f>IF(OR($D242="",$K242=""),"",IF(COUNTIFS(Payments!$G$5:$G$2500,$K242,Payments!$C$5:$C$2500,"&lt;&gt;")=0,"",_xlfn.MAXIFS(Payments!$C$5:$C$2500,Payments!$G$5:$G$2500,$K242)))</f>
      </c>
      <c r="F242" s="34">
        <f>IF(OR($D242="",$K242=""),"",SUMIF(Payments!$G$5:$G$2500,$K242,Payments!$D$5:$D$2500))</f>
      </c>
      <c r="G242" s="36">
        <f>IF($D242="","",ROUND($D242-IF($F242="",0,$F242),2))</f>
      </c>
      <c r="H242" s="35">
        <f>IF(OR($D242="",$K242=""),"",COUNTIF(Payments!$G$5:$G$2500,$K242))</f>
      </c>
      <c r="I242" s="37">
        <f>IF($D242="","",IF(OR($F242="",$F242=0),"Pending",IF(ROUND($F242-$D242,2)&gt;0,"Overpaid",IF(ROUND($F242-$D242,2)=0,"Paid","Partial"))))</f>
      </c>
      <c r="J242" s="29"/>
      <c r="K242">
        <f>IF($A242="","","#"&amp;TRIM(SUBSTITUTE(SUBSTITUTE(SUBSTITUTE(SUBSTITUTE(SUBSTITUTE(SUBSTITUTE($A242,"-",""),"(",""),")",""),".",""),"+","")," ","")))</f>
      </c>
    </row>
    <row r="243" spans="1:11" x14ac:dyDescent="0.3">
      <c r="A243" s="28"/>
      <c r="B243" s="29"/>
      <c r="C243" s="30"/>
      <c r="D243" s="31"/>
      <c r="E243" s="33">
        <f>IF(OR($D243="",$K243=""),"",IF(COUNTIFS(Payments!$G$5:$G$2500,$K243,Payments!$C$5:$C$2500,"&lt;&gt;")=0,"",_xlfn.MAXIFS(Payments!$C$5:$C$2500,Payments!$G$5:$G$2500,$K243)))</f>
      </c>
      <c r="F243" s="34">
        <f>IF(OR($D243="",$K243=""),"",SUMIF(Payments!$G$5:$G$2500,$K243,Payments!$D$5:$D$2500))</f>
      </c>
      <c r="G243" s="36">
        <f>IF($D243="","",ROUND($D243-IF($F243="",0,$F243),2))</f>
      </c>
      <c r="H243" s="35">
        <f>IF(OR($D243="",$K243=""),"",COUNTIF(Payments!$G$5:$G$2500,$K243))</f>
      </c>
      <c r="I243" s="37">
        <f>IF($D243="","",IF(OR($F243="",$F243=0),"Pending",IF(ROUND($F243-$D243,2)&gt;0,"Overpaid",IF(ROUND($F243-$D243,2)=0,"Paid","Partial"))))</f>
      </c>
      <c r="J243" s="29"/>
      <c r="K243">
        <f>IF($A243="","","#"&amp;TRIM(SUBSTITUTE(SUBSTITUTE(SUBSTITUTE(SUBSTITUTE(SUBSTITUTE(SUBSTITUTE($A243,"-",""),"(",""),")",""),".",""),"+","")," ","")))</f>
      </c>
    </row>
    <row r="244" spans="1:11" x14ac:dyDescent="0.3">
      <c r="A244" s="28"/>
      <c r="B244" s="29"/>
      <c r="C244" s="30"/>
      <c r="D244" s="31"/>
      <c r="E244" s="33">
        <f>IF(OR($D244="",$K244=""),"",IF(COUNTIFS(Payments!$G$5:$G$2500,$K244,Payments!$C$5:$C$2500,"&lt;&gt;")=0,"",_xlfn.MAXIFS(Payments!$C$5:$C$2500,Payments!$G$5:$G$2500,$K244)))</f>
      </c>
      <c r="F244" s="34">
        <f>IF(OR($D244="",$K244=""),"",SUMIF(Payments!$G$5:$G$2500,$K244,Payments!$D$5:$D$2500))</f>
      </c>
      <c r="G244" s="36">
        <f>IF($D244="","",ROUND($D244-IF($F244="",0,$F244),2))</f>
      </c>
      <c r="H244" s="35">
        <f>IF(OR($D244="",$K244=""),"",COUNTIF(Payments!$G$5:$G$2500,$K244))</f>
      </c>
      <c r="I244" s="37">
        <f>IF($D244="","",IF(OR($F244="",$F244=0),"Pending",IF(ROUND($F244-$D244,2)&gt;0,"Overpaid",IF(ROUND($F244-$D244,2)=0,"Paid","Partial"))))</f>
      </c>
      <c r="J244" s="29"/>
      <c r="K244">
        <f>IF($A244="","","#"&amp;TRIM(SUBSTITUTE(SUBSTITUTE(SUBSTITUTE(SUBSTITUTE(SUBSTITUTE(SUBSTITUTE($A244,"-",""),"(",""),")",""),".",""),"+","")," ","")))</f>
      </c>
    </row>
    <row r="245" spans="1:11" x14ac:dyDescent="0.3">
      <c r="A245" s="28"/>
      <c r="B245" s="29"/>
      <c r="C245" s="30"/>
      <c r="D245" s="31"/>
      <c r="E245" s="33">
        <f>IF(OR($D245="",$K245=""),"",IF(COUNTIFS(Payments!$G$5:$G$2500,$K245,Payments!$C$5:$C$2500,"&lt;&gt;")=0,"",_xlfn.MAXIFS(Payments!$C$5:$C$2500,Payments!$G$5:$G$2500,$K245)))</f>
      </c>
      <c r="F245" s="34">
        <f>IF(OR($D245="",$K245=""),"",SUMIF(Payments!$G$5:$G$2500,$K245,Payments!$D$5:$D$2500))</f>
      </c>
      <c r="G245" s="36">
        <f>IF($D245="","",ROUND($D245-IF($F245="",0,$F245),2))</f>
      </c>
      <c r="H245" s="35">
        <f>IF(OR($D245="",$K245=""),"",COUNTIF(Payments!$G$5:$G$2500,$K245))</f>
      </c>
      <c r="I245" s="37">
        <f>IF($D245="","",IF(OR($F245="",$F245=0),"Pending",IF(ROUND($F245-$D245,2)&gt;0,"Overpaid",IF(ROUND($F245-$D245,2)=0,"Paid","Partial"))))</f>
      </c>
      <c r="J245" s="29"/>
      <c r="K245">
        <f>IF($A245="","","#"&amp;TRIM(SUBSTITUTE(SUBSTITUTE(SUBSTITUTE(SUBSTITUTE(SUBSTITUTE(SUBSTITUTE($A245,"-",""),"(",""),")",""),".",""),"+","")," ","")))</f>
      </c>
    </row>
    <row r="246" spans="1:11" x14ac:dyDescent="0.3">
      <c r="A246" s="28"/>
      <c r="B246" s="29"/>
      <c r="C246" s="30"/>
      <c r="D246" s="31"/>
      <c r="E246" s="33">
        <f>IF(OR($D246="",$K246=""),"",IF(COUNTIFS(Payments!$G$5:$G$2500,$K246,Payments!$C$5:$C$2500,"&lt;&gt;")=0,"",_xlfn.MAXIFS(Payments!$C$5:$C$2500,Payments!$G$5:$G$2500,$K246)))</f>
      </c>
      <c r="F246" s="34">
        <f>IF(OR($D246="",$K246=""),"",SUMIF(Payments!$G$5:$G$2500,$K246,Payments!$D$5:$D$2500))</f>
      </c>
      <c r="G246" s="36">
        <f>IF($D246="","",ROUND($D246-IF($F246="",0,$F246),2))</f>
      </c>
      <c r="H246" s="35">
        <f>IF(OR($D246="",$K246=""),"",COUNTIF(Payments!$G$5:$G$2500,$K246))</f>
      </c>
      <c r="I246" s="37">
        <f>IF($D246="","",IF(OR($F246="",$F246=0),"Pending",IF(ROUND($F246-$D246,2)&gt;0,"Overpaid",IF(ROUND($F246-$D246,2)=0,"Paid","Partial"))))</f>
      </c>
      <c r="J246" s="29"/>
      <c r="K246">
        <f>IF($A246="","","#"&amp;TRIM(SUBSTITUTE(SUBSTITUTE(SUBSTITUTE(SUBSTITUTE(SUBSTITUTE(SUBSTITUTE($A246,"-",""),"(",""),")",""),".",""),"+","")," ","")))</f>
      </c>
    </row>
    <row r="247" spans="1:11" x14ac:dyDescent="0.3">
      <c r="A247" s="28"/>
      <c r="B247" s="29"/>
      <c r="C247" s="30"/>
      <c r="D247" s="31"/>
      <c r="E247" s="33">
        <f>IF(OR($D247="",$K247=""),"",IF(COUNTIFS(Payments!$G$5:$G$2500,$K247,Payments!$C$5:$C$2500,"&lt;&gt;")=0,"",_xlfn.MAXIFS(Payments!$C$5:$C$2500,Payments!$G$5:$G$2500,$K247)))</f>
      </c>
      <c r="F247" s="34">
        <f>IF(OR($D247="",$K247=""),"",SUMIF(Payments!$G$5:$G$2500,$K247,Payments!$D$5:$D$2500))</f>
      </c>
      <c r="G247" s="36">
        <f>IF($D247="","",ROUND($D247-IF($F247="",0,$F247),2))</f>
      </c>
      <c r="H247" s="35">
        <f>IF(OR($D247="",$K247=""),"",COUNTIF(Payments!$G$5:$G$2500,$K247))</f>
      </c>
      <c r="I247" s="37">
        <f>IF($D247="","",IF(OR($F247="",$F247=0),"Pending",IF(ROUND($F247-$D247,2)&gt;0,"Overpaid",IF(ROUND($F247-$D247,2)=0,"Paid","Partial"))))</f>
      </c>
      <c r="J247" s="29"/>
      <c r="K247">
        <f>IF($A247="","","#"&amp;TRIM(SUBSTITUTE(SUBSTITUTE(SUBSTITUTE(SUBSTITUTE(SUBSTITUTE(SUBSTITUTE($A247,"-",""),"(",""),")",""),".",""),"+","")," ","")))</f>
      </c>
    </row>
    <row r="248" spans="1:11" x14ac:dyDescent="0.3">
      <c r="A248" s="28"/>
      <c r="B248" s="29"/>
      <c r="C248" s="30"/>
      <c r="D248" s="31"/>
      <c r="E248" s="33">
        <f>IF(OR($D248="",$K248=""),"",IF(COUNTIFS(Payments!$G$5:$G$2500,$K248,Payments!$C$5:$C$2500,"&lt;&gt;")=0,"",_xlfn.MAXIFS(Payments!$C$5:$C$2500,Payments!$G$5:$G$2500,$K248)))</f>
      </c>
      <c r="F248" s="34">
        <f>IF(OR($D248="",$K248=""),"",SUMIF(Payments!$G$5:$G$2500,$K248,Payments!$D$5:$D$2500))</f>
      </c>
      <c r="G248" s="36">
        <f>IF($D248="","",ROUND($D248-IF($F248="",0,$F248),2))</f>
      </c>
      <c r="H248" s="35">
        <f>IF(OR($D248="",$K248=""),"",COUNTIF(Payments!$G$5:$G$2500,$K248))</f>
      </c>
      <c r="I248" s="37">
        <f>IF($D248="","",IF(OR($F248="",$F248=0),"Pending",IF(ROUND($F248-$D248,2)&gt;0,"Overpaid",IF(ROUND($F248-$D248,2)=0,"Paid","Partial"))))</f>
      </c>
      <c r="J248" s="29"/>
      <c r="K248">
        <f>IF($A248="","","#"&amp;TRIM(SUBSTITUTE(SUBSTITUTE(SUBSTITUTE(SUBSTITUTE(SUBSTITUTE(SUBSTITUTE($A248,"-",""),"(",""),")",""),".",""),"+","")," ","")))</f>
      </c>
    </row>
    <row r="249" spans="1:11" x14ac:dyDescent="0.3">
      <c r="A249" s="28"/>
      <c r="B249" s="29"/>
      <c r="C249" s="30"/>
      <c r="D249" s="31"/>
      <c r="E249" s="33">
        <f>IF(OR($D249="",$K249=""),"",IF(COUNTIFS(Payments!$G$5:$G$2500,$K249,Payments!$C$5:$C$2500,"&lt;&gt;")=0,"",_xlfn.MAXIFS(Payments!$C$5:$C$2500,Payments!$G$5:$G$2500,$K249)))</f>
      </c>
      <c r="F249" s="34">
        <f>IF(OR($D249="",$K249=""),"",SUMIF(Payments!$G$5:$G$2500,$K249,Payments!$D$5:$D$2500))</f>
      </c>
      <c r="G249" s="36">
        <f>IF($D249="","",ROUND($D249-IF($F249="",0,$F249),2))</f>
      </c>
      <c r="H249" s="35">
        <f>IF(OR($D249="",$K249=""),"",COUNTIF(Payments!$G$5:$G$2500,$K249))</f>
      </c>
      <c r="I249" s="37">
        <f>IF($D249="","",IF(OR($F249="",$F249=0),"Pending",IF(ROUND($F249-$D249,2)&gt;0,"Overpaid",IF(ROUND($F249-$D249,2)=0,"Paid","Partial"))))</f>
      </c>
      <c r="J249" s="29"/>
      <c r="K249">
        <f>IF($A249="","","#"&amp;TRIM(SUBSTITUTE(SUBSTITUTE(SUBSTITUTE(SUBSTITUTE(SUBSTITUTE(SUBSTITUTE($A249,"-",""),"(",""),")",""),".",""),"+","")," ","")))</f>
      </c>
    </row>
    <row r="250" spans="1:11" x14ac:dyDescent="0.3">
      <c r="A250" s="28"/>
      <c r="B250" s="29"/>
      <c r="C250" s="30"/>
      <c r="D250" s="31"/>
      <c r="E250" s="33">
        <f>IF(OR($D250="",$K250=""),"",IF(COUNTIFS(Payments!$G$5:$G$2500,$K250,Payments!$C$5:$C$2500,"&lt;&gt;")=0,"",_xlfn.MAXIFS(Payments!$C$5:$C$2500,Payments!$G$5:$G$2500,$K250)))</f>
      </c>
      <c r="F250" s="34">
        <f>IF(OR($D250="",$K250=""),"",SUMIF(Payments!$G$5:$G$2500,$K250,Payments!$D$5:$D$2500))</f>
      </c>
      <c r="G250" s="36">
        <f>IF($D250="","",ROUND($D250-IF($F250="",0,$F250),2))</f>
      </c>
      <c r="H250" s="35">
        <f>IF(OR($D250="",$K250=""),"",COUNTIF(Payments!$G$5:$G$2500,$K250))</f>
      </c>
      <c r="I250" s="37">
        <f>IF($D250="","",IF(OR($F250="",$F250=0),"Pending",IF(ROUND($F250-$D250,2)&gt;0,"Overpaid",IF(ROUND($F250-$D250,2)=0,"Paid","Partial"))))</f>
      </c>
      <c r="J250" s="29"/>
      <c r="K250">
        <f>IF($A250="","","#"&amp;TRIM(SUBSTITUTE(SUBSTITUTE(SUBSTITUTE(SUBSTITUTE(SUBSTITUTE(SUBSTITUTE($A250,"-",""),"(",""),")",""),".",""),"+","")," ","")))</f>
      </c>
    </row>
    <row r="251" spans="1:11" x14ac:dyDescent="0.3">
      <c r="A251" s="28"/>
      <c r="B251" s="29"/>
      <c r="C251" s="30"/>
      <c r="D251" s="31"/>
      <c r="E251" s="33">
        <f>IF(OR($D251="",$K251=""),"",IF(COUNTIFS(Payments!$G$5:$G$2500,$K251,Payments!$C$5:$C$2500,"&lt;&gt;")=0,"",_xlfn.MAXIFS(Payments!$C$5:$C$2500,Payments!$G$5:$G$2500,$K251)))</f>
      </c>
      <c r="F251" s="34">
        <f>IF(OR($D251="",$K251=""),"",SUMIF(Payments!$G$5:$G$2500,$K251,Payments!$D$5:$D$2500))</f>
      </c>
      <c r="G251" s="36">
        <f>IF($D251="","",ROUND($D251-IF($F251="",0,$F251),2))</f>
      </c>
      <c r="H251" s="35">
        <f>IF(OR($D251="",$K251=""),"",COUNTIF(Payments!$G$5:$G$2500,$K251))</f>
      </c>
      <c r="I251" s="37">
        <f>IF($D251="","",IF(OR($F251="",$F251=0),"Pending",IF(ROUND($F251-$D251,2)&gt;0,"Overpaid",IF(ROUND($F251-$D251,2)=0,"Paid","Partial"))))</f>
      </c>
      <c r="J251" s="29"/>
      <c r="K251">
        <f>IF($A251="","","#"&amp;TRIM(SUBSTITUTE(SUBSTITUTE(SUBSTITUTE(SUBSTITUTE(SUBSTITUTE(SUBSTITUTE($A251,"-",""),"(",""),")",""),".",""),"+","")," ","")))</f>
      </c>
    </row>
    <row r="252" spans="1:11" x14ac:dyDescent="0.3">
      <c r="A252" s="28"/>
      <c r="B252" s="29"/>
      <c r="C252" s="30"/>
      <c r="D252" s="31"/>
      <c r="E252" s="33">
        <f>IF(OR($D252="",$K252=""),"",IF(COUNTIFS(Payments!$G$5:$G$2500,$K252,Payments!$C$5:$C$2500,"&lt;&gt;")=0,"",_xlfn.MAXIFS(Payments!$C$5:$C$2500,Payments!$G$5:$G$2500,$K252)))</f>
      </c>
      <c r="F252" s="34">
        <f>IF(OR($D252="",$K252=""),"",SUMIF(Payments!$G$5:$G$2500,$K252,Payments!$D$5:$D$2500))</f>
      </c>
      <c r="G252" s="36">
        <f>IF($D252="","",ROUND($D252-IF($F252="",0,$F252),2))</f>
      </c>
      <c r="H252" s="35">
        <f>IF(OR($D252="",$K252=""),"",COUNTIF(Payments!$G$5:$G$2500,$K252))</f>
      </c>
      <c r="I252" s="37">
        <f>IF($D252="","",IF(OR($F252="",$F252=0),"Pending",IF(ROUND($F252-$D252,2)&gt;0,"Overpaid",IF(ROUND($F252-$D252,2)=0,"Paid","Partial"))))</f>
      </c>
      <c r="J252" s="29"/>
      <c r="K252">
        <f>IF($A252="","","#"&amp;TRIM(SUBSTITUTE(SUBSTITUTE(SUBSTITUTE(SUBSTITUTE(SUBSTITUTE(SUBSTITUTE($A252,"-",""),"(",""),")",""),".",""),"+","")," ","")))</f>
      </c>
    </row>
    <row r="253" spans="1:11" x14ac:dyDescent="0.3">
      <c r="A253" s="28"/>
      <c r="B253" s="29"/>
      <c r="C253" s="30"/>
      <c r="D253" s="31"/>
      <c r="E253" s="33">
        <f>IF(OR($D253="",$K253=""),"",IF(COUNTIFS(Payments!$G$5:$G$2500,$K253,Payments!$C$5:$C$2500,"&lt;&gt;")=0,"",_xlfn.MAXIFS(Payments!$C$5:$C$2500,Payments!$G$5:$G$2500,$K253)))</f>
      </c>
      <c r="F253" s="34">
        <f>IF(OR($D253="",$K253=""),"",SUMIF(Payments!$G$5:$G$2500,$K253,Payments!$D$5:$D$2500))</f>
      </c>
      <c r="G253" s="36">
        <f>IF($D253="","",ROUND($D253-IF($F253="",0,$F253),2))</f>
      </c>
      <c r="H253" s="35">
        <f>IF(OR($D253="",$K253=""),"",COUNTIF(Payments!$G$5:$G$2500,$K253))</f>
      </c>
      <c r="I253" s="37">
        <f>IF($D253="","",IF(OR($F253="",$F253=0),"Pending",IF(ROUND($F253-$D253,2)&gt;0,"Overpaid",IF(ROUND($F253-$D253,2)=0,"Paid","Partial"))))</f>
      </c>
      <c r="J253" s="29"/>
      <c r="K253">
        <f>IF($A253="","","#"&amp;TRIM(SUBSTITUTE(SUBSTITUTE(SUBSTITUTE(SUBSTITUTE(SUBSTITUTE(SUBSTITUTE($A253,"-",""),"(",""),")",""),".",""),"+","")," ","")))</f>
      </c>
    </row>
    <row r="254" spans="1:11" x14ac:dyDescent="0.3">
      <c r="A254" s="28"/>
      <c r="B254" s="29"/>
      <c r="C254" s="30"/>
      <c r="D254" s="31"/>
      <c r="E254" s="33">
        <f>IF(OR($D254="",$K254=""),"",IF(COUNTIFS(Payments!$G$5:$G$2500,$K254,Payments!$C$5:$C$2500,"&lt;&gt;")=0,"",_xlfn.MAXIFS(Payments!$C$5:$C$2500,Payments!$G$5:$G$2500,$K254)))</f>
      </c>
      <c r="F254" s="34">
        <f>IF(OR($D254="",$K254=""),"",SUMIF(Payments!$G$5:$G$2500,$K254,Payments!$D$5:$D$2500))</f>
      </c>
      <c r="G254" s="36">
        <f>IF($D254="","",ROUND($D254-IF($F254="",0,$F254),2))</f>
      </c>
      <c r="H254" s="35">
        <f>IF(OR($D254="",$K254=""),"",COUNTIF(Payments!$G$5:$G$2500,$K254))</f>
      </c>
      <c r="I254" s="37">
        <f>IF($D254="","",IF(OR($F254="",$F254=0),"Pending",IF(ROUND($F254-$D254,2)&gt;0,"Overpaid",IF(ROUND($F254-$D254,2)=0,"Paid","Partial"))))</f>
      </c>
      <c r="J254" s="29"/>
      <c r="K254">
        <f>IF($A254="","","#"&amp;TRIM(SUBSTITUTE(SUBSTITUTE(SUBSTITUTE(SUBSTITUTE(SUBSTITUTE(SUBSTITUTE($A254,"-",""),"(",""),")",""),".",""),"+","")," ","")))</f>
      </c>
    </row>
    <row r="255" spans="1:11" x14ac:dyDescent="0.3">
      <c r="A255" s="28"/>
      <c r="B255" s="29"/>
      <c r="C255" s="30"/>
      <c r="D255" s="31"/>
      <c r="E255" s="33">
        <f>IF(OR($D255="",$K255=""),"",IF(COUNTIFS(Payments!$G$5:$G$2500,$K255,Payments!$C$5:$C$2500,"&lt;&gt;")=0,"",_xlfn.MAXIFS(Payments!$C$5:$C$2500,Payments!$G$5:$G$2500,$K255)))</f>
      </c>
      <c r="F255" s="34">
        <f>IF(OR($D255="",$K255=""),"",SUMIF(Payments!$G$5:$G$2500,$K255,Payments!$D$5:$D$2500))</f>
      </c>
      <c r="G255" s="36">
        <f>IF($D255="","",ROUND($D255-IF($F255="",0,$F255),2))</f>
      </c>
      <c r="H255" s="35">
        <f>IF(OR($D255="",$K255=""),"",COUNTIF(Payments!$G$5:$G$2500,$K255))</f>
      </c>
      <c r="I255" s="37">
        <f>IF($D255="","",IF(OR($F255="",$F255=0),"Pending",IF(ROUND($F255-$D255,2)&gt;0,"Overpaid",IF(ROUND($F255-$D255,2)=0,"Paid","Partial"))))</f>
      </c>
      <c r="J255" s="29"/>
      <c r="K255">
        <f>IF($A255="","","#"&amp;TRIM(SUBSTITUTE(SUBSTITUTE(SUBSTITUTE(SUBSTITUTE(SUBSTITUTE(SUBSTITUTE($A255,"-",""),"(",""),")",""),".",""),"+","")," ","")))</f>
      </c>
    </row>
    <row r="256" spans="1:11" x14ac:dyDescent="0.3">
      <c r="A256" s="28"/>
      <c r="B256" s="29"/>
      <c r="C256" s="30"/>
      <c r="D256" s="31"/>
      <c r="E256" s="33">
        <f>IF(OR($D256="",$K256=""),"",IF(COUNTIFS(Payments!$G$5:$G$2500,$K256,Payments!$C$5:$C$2500,"&lt;&gt;")=0,"",_xlfn.MAXIFS(Payments!$C$5:$C$2500,Payments!$G$5:$G$2500,$K256)))</f>
      </c>
      <c r="F256" s="34">
        <f>IF(OR($D256="",$K256=""),"",SUMIF(Payments!$G$5:$G$2500,$K256,Payments!$D$5:$D$2500))</f>
      </c>
      <c r="G256" s="36">
        <f>IF($D256="","",ROUND($D256-IF($F256="",0,$F256),2))</f>
      </c>
      <c r="H256" s="35">
        <f>IF(OR($D256="",$K256=""),"",COUNTIF(Payments!$G$5:$G$2500,$K256))</f>
      </c>
      <c r="I256" s="37">
        <f>IF($D256="","",IF(OR($F256="",$F256=0),"Pending",IF(ROUND($F256-$D256,2)&gt;0,"Overpaid",IF(ROUND($F256-$D256,2)=0,"Paid","Partial"))))</f>
      </c>
      <c r="J256" s="29"/>
      <c r="K256">
        <f>IF($A256="","","#"&amp;TRIM(SUBSTITUTE(SUBSTITUTE(SUBSTITUTE(SUBSTITUTE(SUBSTITUTE(SUBSTITUTE($A256,"-",""),"(",""),")",""),".",""),"+","")," ","")))</f>
      </c>
    </row>
    <row r="257" spans="1:11" x14ac:dyDescent="0.3">
      <c r="A257" s="28"/>
      <c r="B257" s="29"/>
      <c r="C257" s="30"/>
      <c r="D257" s="31"/>
      <c r="E257" s="33">
        <f>IF(OR($D257="",$K257=""),"",IF(COUNTIFS(Payments!$G$5:$G$2500,$K257,Payments!$C$5:$C$2500,"&lt;&gt;")=0,"",_xlfn.MAXIFS(Payments!$C$5:$C$2500,Payments!$G$5:$G$2500,$K257)))</f>
      </c>
      <c r="F257" s="34">
        <f>IF(OR($D257="",$K257=""),"",SUMIF(Payments!$G$5:$G$2500,$K257,Payments!$D$5:$D$2500))</f>
      </c>
      <c r="G257" s="36">
        <f>IF($D257="","",ROUND($D257-IF($F257="",0,$F257),2))</f>
      </c>
      <c r="H257" s="35">
        <f>IF(OR($D257="",$K257=""),"",COUNTIF(Payments!$G$5:$G$2500,$K257))</f>
      </c>
      <c r="I257" s="37">
        <f>IF($D257="","",IF(OR($F257="",$F257=0),"Pending",IF(ROUND($F257-$D257,2)&gt;0,"Overpaid",IF(ROUND($F257-$D257,2)=0,"Paid","Partial"))))</f>
      </c>
      <c r="J257" s="29"/>
      <c r="K257">
        <f>IF($A257="","","#"&amp;TRIM(SUBSTITUTE(SUBSTITUTE(SUBSTITUTE(SUBSTITUTE(SUBSTITUTE(SUBSTITUTE($A257,"-",""),"(",""),")",""),".",""),"+","")," ","")))</f>
      </c>
    </row>
    <row r="258" spans="1:11" x14ac:dyDescent="0.3">
      <c r="A258" s="28"/>
      <c r="B258" s="29"/>
      <c r="C258" s="30"/>
      <c r="D258" s="31"/>
      <c r="E258" s="33">
        <f>IF(OR($D258="",$K258=""),"",IF(COUNTIFS(Payments!$G$5:$G$2500,$K258,Payments!$C$5:$C$2500,"&lt;&gt;")=0,"",_xlfn.MAXIFS(Payments!$C$5:$C$2500,Payments!$G$5:$G$2500,$K258)))</f>
      </c>
      <c r="F258" s="34">
        <f>IF(OR($D258="",$K258=""),"",SUMIF(Payments!$G$5:$G$2500,$K258,Payments!$D$5:$D$2500))</f>
      </c>
      <c r="G258" s="36">
        <f>IF($D258="","",ROUND($D258-IF($F258="",0,$F258),2))</f>
      </c>
      <c r="H258" s="35">
        <f>IF(OR($D258="",$K258=""),"",COUNTIF(Payments!$G$5:$G$2500,$K258))</f>
      </c>
      <c r="I258" s="37">
        <f>IF($D258="","",IF(OR($F258="",$F258=0),"Pending",IF(ROUND($F258-$D258,2)&gt;0,"Overpaid",IF(ROUND($F258-$D258,2)=0,"Paid","Partial"))))</f>
      </c>
      <c r="J258" s="29"/>
      <c r="K258">
        <f>IF($A258="","","#"&amp;TRIM(SUBSTITUTE(SUBSTITUTE(SUBSTITUTE(SUBSTITUTE(SUBSTITUTE(SUBSTITUTE($A258,"-",""),"(",""),")",""),".",""),"+","")," ","")))</f>
      </c>
    </row>
    <row r="259" spans="1:11" x14ac:dyDescent="0.3">
      <c r="A259" s="28"/>
      <c r="B259" s="29"/>
      <c r="C259" s="30"/>
      <c r="D259" s="31"/>
      <c r="E259" s="33">
        <f>IF(OR($D259="",$K259=""),"",IF(COUNTIFS(Payments!$G$5:$G$2500,$K259,Payments!$C$5:$C$2500,"&lt;&gt;")=0,"",_xlfn.MAXIFS(Payments!$C$5:$C$2500,Payments!$G$5:$G$2500,$K259)))</f>
      </c>
      <c r="F259" s="34">
        <f>IF(OR($D259="",$K259=""),"",SUMIF(Payments!$G$5:$G$2500,$K259,Payments!$D$5:$D$2500))</f>
      </c>
      <c r="G259" s="36">
        <f>IF($D259="","",ROUND($D259-IF($F259="",0,$F259),2))</f>
      </c>
      <c r="H259" s="35">
        <f>IF(OR($D259="",$K259=""),"",COUNTIF(Payments!$G$5:$G$2500,$K259))</f>
      </c>
      <c r="I259" s="37">
        <f>IF($D259="","",IF(OR($F259="",$F259=0),"Pending",IF(ROUND($F259-$D259,2)&gt;0,"Overpaid",IF(ROUND($F259-$D259,2)=0,"Paid","Partial"))))</f>
      </c>
      <c r="J259" s="29"/>
      <c r="K259">
        <f>IF($A259="","","#"&amp;TRIM(SUBSTITUTE(SUBSTITUTE(SUBSTITUTE(SUBSTITUTE(SUBSTITUTE(SUBSTITUTE($A259,"-",""),"(",""),")",""),".",""),"+","")," ","")))</f>
      </c>
    </row>
    <row r="260" spans="1:11" x14ac:dyDescent="0.3">
      <c r="A260" s="28"/>
      <c r="B260" s="29"/>
      <c r="C260" s="30"/>
      <c r="D260" s="31"/>
      <c r="E260" s="33">
        <f>IF(OR($D260="",$K260=""),"",IF(COUNTIFS(Payments!$G$5:$G$2500,$K260,Payments!$C$5:$C$2500,"&lt;&gt;")=0,"",_xlfn.MAXIFS(Payments!$C$5:$C$2500,Payments!$G$5:$G$2500,$K260)))</f>
      </c>
      <c r="F260" s="34">
        <f>IF(OR($D260="",$K260=""),"",SUMIF(Payments!$G$5:$G$2500,$K260,Payments!$D$5:$D$2500))</f>
      </c>
      <c r="G260" s="36">
        <f>IF($D260="","",ROUND($D260-IF($F260="",0,$F260),2))</f>
      </c>
      <c r="H260" s="35">
        <f>IF(OR($D260="",$K260=""),"",COUNTIF(Payments!$G$5:$G$2500,$K260))</f>
      </c>
      <c r="I260" s="37">
        <f>IF($D260="","",IF(OR($F260="",$F260=0),"Pending",IF(ROUND($F260-$D260,2)&gt;0,"Overpaid",IF(ROUND($F260-$D260,2)=0,"Paid","Partial"))))</f>
      </c>
      <c r="J260" s="29"/>
      <c r="K260">
        <f>IF($A260="","","#"&amp;TRIM(SUBSTITUTE(SUBSTITUTE(SUBSTITUTE(SUBSTITUTE(SUBSTITUTE(SUBSTITUTE($A260,"-",""),"(",""),")",""),".",""),"+","")," ","")))</f>
      </c>
    </row>
    <row r="261" spans="1:11" x14ac:dyDescent="0.3">
      <c r="A261" s="28"/>
      <c r="B261" s="29"/>
      <c r="C261" s="30"/>
      <c r="D261" s="31"/>
      <c r="E261" s="33">
        <f>IF(OR($D261="",$K261=""),"",IF(COUNTIFS(Payments!$G$5:$G$2500,$K261,Payments!$C$5:$C$2500,"&lt;&gt;")=0,"",_xlfn.MAXIFS(Payments!$C$5:$C$2500,Payments!$G$5:$G$2500,$K261)))</f>
      </c>
      <c r="F261" s="34">
        <f>IF(OR($D261="",$K261=""),"",SUMIF(Payments!$G$5:$G$2500,$K261,Payments!$D$5:$D$2500))</f>
      </c>
      <c r="G261" s="36">
        <f>IF($D261="","",ROUND($D261-IF($F261="",0,$F261),2))</f>
      </c>
      <c r="H261" s="35">
        <f>IF(OR($D261="",$K261=""),"",COUNTIF(Payments!$G$5:$G$2500,$K261))</f>
      </c>
      <c r="I261" s="37">
        <f>IF($D261="","",IF(OR($F261="",$F261=0),"Pending",IF(ROUND($F261-$D261,2)&gt;0,"Overpaid",IF(ROUND($F261-$D261,2)=0,"Paid","Partial"))))</f>
      </c>
      <c r="J261" s="29"/>
      <c r="K261">
        <f>IF($A261="","","#"&amp;TRIM(SUBSTITUTE(SUBSTITUTE(SUBSTITUTE(SUBSTITUTE(SUBSTITUTE(SUBSTITUTE($A261,"-",""),"(",""),")",""),".",""),"+","")," ","")))</f>
      </c>
    </row>
    <row r="262" spans="1:11" x14ac:dyDescent="0.3">
      <c r="A262" s="28"/>
      <c r="B262" s="29"/>
      <c r="C262" s="30"/>
      <c r="D262" s="31"/>
      <c r="E262" s="33">
        <f>IF(OR($D262="",$K262=""),"",IF(COUNTIFS(Payments!$G$5:$G$2500,$K262,Payments!$C$5:$C$2500,"&lt;&gt;")=0,"",_xlfn.MAXIFS(Payments!$C$5:$C$2500,Payments!$G$5:$G$2500,$K262)))</f>
      </c>
      <c r="F262" s="34">
        <f>IF(OR($D262="",$K262=""),"",SUMIF(Payments!$G$5:$G$2500,$K262,Payments!$D$5:$D$2500))</f>
      </c>
      <c r="G262" s="36">
        <f>IF($D262="","",ROUND($D262-IF($F262="",0,$F262),2))</f>
      </c>
      <c r="H262" s="35">
        <f>IF(OR($D262="",$K262=""),"",COUNTIF(Payments!$G$5:$G$2500,$K262))</f>
      </c>
      <c r="I262" s="37">
        <f>IF($D262="","",IF(OR($F262="",$F262=0),"Pending",IF(ROUND($F262-$D262,2)&gt;0,"Overpaid",IF(ROUND($F262-$D262,2)=0,"Paid","Partial"))))</f>
      </c>
      <c r="J262" s="29"/>
      <c r="K262">
        <f>IF($A262="","","#"&amp;TRIM(SUBSTITUTE(SUBSTITUTE(SUBSTITUTE(SUBSTITUTE(SUBSTITUTE(SUBSTITUTE($A262,"-",""),"(",""),")",""),".",""),"+","")," ","")))</f>
      </c>
    </row>
    <row r="263" spans="1:11" x14ac:dyDescent="0.3">
      <c r="A263" s="28"/>
      <c r="B263" s="29"/>
      <c r="C263" s="30"/>
      <c r="D263" s="31"/>
      <c r="E263" s="33">
        <f>IF(OR($D263="",$K263=""),"",IF(COUNTIFS(Payments!$G$5:$G$2500,$K263,Payments!$C$5:$C$2500,"&lt;&gt;")=0,"",_xlfn.MAXIFS(Payments!$C$5:$C$2500,Payments!$G$5:$G$2500,$K263)))</f>
      </c>
      <c r="F263" s="34">
        <f>IF(OR($D263="",$K263=""),"",SUMIF(Payments!$G$5:$G$2500,$K263,Payments!$D$5:$D$2500))</f>
      </c>
      <c r="G263" s="36">
        <f>IF($D263="","",ROUND($D263-IF($F263="",0,$F263),2))</f>
      </c>
      <c r="H263" s="35">
        <f>IF(OR($D263="",$K263=""),"",COUNTIF(Payments!$G$5:$G$2500,$K263))</f>
      </c>
      <c r="I263" s="37">
        <f>IF($D263="","",IF(OR($F263="",$F263=0),"Pending",IF(ROUND($F263-$D263,2)&gt;0,"Overpaid",IF(ROUND($F263-$D263,2)=0,"Paid","Partial"))))</f>
      </c>
      <c r="J263" s="29"/>
      <c r="K263">
        <f>IF($A263="","","#"&amp;TRIM(SUBSTITUTE(SUBSTITUTE(SUBSTITUTE(SUBSTITUTE(SUBSTITUTE(SUBSTITUTE($A263,"-",""),"(",""),")",""),".",""),"+","")," ","")))</f>
      </c>
    </row>
    <row r="264" spans="1:11" x14ac:dyDescent="0.3">
      <c r="A264" s="28"/>
      <c r="B264" s="29"/>
      <c r="C264" s="30"/>
      <c r="D264" s="31"/>
      <c r="E264" s="33">
        <f>IF(OR($D264="",$K264=""),"",IF(COUNTIFS(Payments!$G$5:$G$2500,$K264,Payments!$C$5:$C$2500,"&lt;&gt;")=0,"",_xlfn.MAXIFS(Payments!$C$5:$C$2500,Payments!$G$5:$G$2500,$K264)))</f>
      </c>
      <c r="F264" s="34">
        <f>IF(OR($D264="",$K264=""),"",SUMIF(Payments!$G$5:$G$2500,$K264,Payments!$D$5:$D$2500))</f>
      </c>
      <c r="G264" s="36">
        <f>IF($D264="","",ROUND($D264-IF($F264="",0,$F264),2))</f>
      </c>
      <c r="H264" s="35">
        <f>IF(OR($D264="",$K264=""),"",COUNTIF(Payments!$G$5:$G$2500,$K264))</f>
      </c>
      <c r="I264" s="37">
        <f>IF($D264="","",IF(OR($F264="",$F264=0),"Pending",IF(ROUND($F264-$D264,2)&gt;0,"Overpaid",IF(ROUND($F264-$D264,2)=0,"Paid","Partial"))))</f>
      </c>
      <c r="J264" s="29"/>
      <c r="K264">
        <f>IF($A264="","","#"&amp;TRIM(SUBSTITUTE(SUBSTITUTE(SUBSTITUTE(SUBSTITUTE(SUBSTITUTE(SUBSTITUTE($A264,"-",""),"(",""),")",""),".",""),"+","")," ","")))</f>
      </c>
    </row>
    <row r="265" spans="1:11" x14ac:dyDescent="0.3">
      <c r="A265" s="28"/>
      <c r="B265" s="29"/>
      <c r="C265" s="30"/>
      <c r="D265" s="31"/>
      <c r="E265" s="33">
        <f>IF(OR($D265="",$K265=""),"",IF(COUNTIFS(Payments!$G$5:$G$2500,$K265,Payments!$C$5:$C$2500,"&lt;&gt;")=0,"",_xlfn.MAXIFS(Payments!$C$5:$C$2500,Payments!$G$5:$G$2500,$K265)))</f>
      </c>
      <c r="F265" s="34">
        <f>IF(OR($D265="",$K265=""),"",SUMIF(Payments!$G$5:$G$2500,$K265,Payments!$D$5:$D$2500))</f>
      </c>
      <c r="G265" s="36">
        <f>IF($D265="","",ROUND($D265-IF($F265="",0,$F265),2))</f>
      </c>
      <c r="H265" s="35">
        <f>IF(OR($D265="",$K265=""),"",COUNTIF(Payments!$G$5:$G$2500,$K265))</f>
      </c>
      <c r="I265" s="37">
        <f>IF($D265="","",IF(OR($F265="",$F265=0),"Pending",IF(ROUND($F265-$D265,2)&gt;0,"Overpaid",IF(ROUND($F265-$D265,2)=0,"Paid","Partial"))))</f>
      </c>
      <c r="J265" s="29"/>
      <c r="K265">
        <f>IF($A265="","","#"&amp;TRIM(SUBSTITUTE(SUBSTITUTE(SUBSTITUTE(SUBSTITUTE(SUBSTITUTE(SUBSTITUTE($A265,"-",""),"(",""),")",""),".",""),"+","")," ","")))</f>
      </c>
    </row>
    <row r="266" spans="1:11" x14ac:dyDescent="0.3">
      <c r="A266" s="28"/>
      <c r="B266" s="29"/>
      <c r="C266" s="30"/>
      <c r="D266" s="31"/>
      <c r="E266" s="33">
        <f>IF(OR($D266="",$K266=""),"",IF(COUNTIFS(Payments!$G$5:$G$2500,$K266,Payments!$C$5:$C$2500,"&lt;&gt;")=0,"",_xlfn.MAXIFS(Payments!$C$5:$C$2500,Payments!$G$5:$G$2500,$K266)))</f>
      </c>
      <c r="F266" s="34">
        <f>IF(OR($D266="",$K266=""),"",SUMIF(Payments!$G$5:$G$2500,$K266,Payments!$D$5:$D$2500))</f>
      </c>
      <c r="G266" s="36">
        <f>IF($D266="","",ROUND($D266-IF($F266="",0,$F266),2))</f>
      </c>
      <c r="H266" s="35">
        <f>IF(OR($D266="",$K266=""),"",COUNTIF(Payments!$G$5:$G$2500,$K266))</f>
      </c>
      <c r="I266" s="37">
        <f>IF($D266="","",IF(OR($F266="",$F266=0),"Pending",IF(ROUND($F266-$D266,2)&gt;0,"Overpaid",IF(ROUND($F266-$D266,2)=0,"Paid","Partial"))))</f>
      </c>
      <c r="J266" s="29"/>
      <c r="K266">
        <f>IF($A266="","","#"&amp;TRIM(SUBSTITUTE(SUBSTITUTE(SUBSTITUTE(SUBSTITUTE(SUBSTITUTE(SUBSTITUTE($A266,"-",""),"(",""),")",""),".",""),"+","")," ","")))</f>
      </c>
    </row>
    <row r="267" spans="1:11" x14ac:dyDescent="0.3">
      <c r="A267" s="28"/>
      <c r="B267" s="29"/>
      <c r="C267" s="30"/>
      <c r="D267" s="31"/>
      <c r="E267" s="33">
        <f>IF(OR($D267="",$K267=""),"",IF(COUNTIFS(Payments!$G$5:$G$2500,$K267,Payments!$C$5:$C$2500,"&lt;&gt;")=0,"",_xlfn.MAXIFS(Payments!$C$5:$C$2500,Payments!$G$5:$G$2500,$K267)))</f>
      </c>
      <c r="F267" s="34">
        <f>IF(OR($D267="",$K267=""),"",SUMIF(Payments!$G$5:$G$2500,$K267,Payments!$D$5:$D$2500))</f>
      </c>
      <c r="G267" s="36">
        <f>IF($D267="","",ROUND($D267-IF($F267="",0,$F267),2))</f>
      </c>
      <c r="H267" s="35">
        <f>IF(OR($D267="",$K267=""),"",COUNTIF(Payments!$G$5:$G$2500,$K267))</f>
      </c>
      <c r="I267" s="37">
        <f>IF($D267="","",IF(OR($F267="",$F267=0),"Pending",IF(ROUND($F267-$D267,2)&gt;0,"Overpaid",IF(ROUND($F267-$D267,2)=0,"Paid","Partial"))))</f>
      </c>
      <c r="J267" s="29"/>
      <c r="K267">
        <f>IF($A267="","","#"&amp;TRIM(SUBSTITUTE(SUBSTITUTE(SUBSTITUTE(SUBSTITUTE(SUBSTITUTE(SUBSTITUTE($A267,"-",""),"(",""),")",""),".",""),"+","")," ","")))</f>
      </c>
    </row>
    <row r="268" spans="1:11" x14ac:dyDescent="0.3">
      <c r="A268" s="28"/>
      <c r="B268" s="29"/>
      <c r="C268" s="30"/>
      <c r="D268" s="31"/>
      <c r="E268" s="33">
        <f>IF(OR($D268="",$K268=""),"",IF(COUNTIFS(Payments!$G$5:$G$2500,$K268,Payments!$C$5:$C$2500,"&lt;&gt;")=0,"",_xlfn.MAXIFS(Payments!$C$5:$C$2500,Payments!$G$5:$G$2500,$K268)))</f>
      </c>
      <c r="F268" s="34">
        <f>IF(OR($D268="",$K268=""),"",SUMIF(Payments!$G$5:$G$2500,$K268,Payments!$D$5:$D$2500))</f>
      </c>
      <c r="G268" s="36">
        <f>IF($D268="","",ROUND($D268-IF($F268="",0,$F268),2))</f>
      </c>
      <c r="H268" s="35">
        <f>IF(OR($D268="",$K268=""),"",COUNTIF(Payments!$G$5:$G$2500,$K268))</f>
      </c>
      <c r="I268" s="37">
        <f>IF($D268="","",IF(OR($F268="",$F268=0),"Pending",IF(ROUND($F268-$D268,2)&gt;0,"Overpaid",IF(ROUND($F268-$D268,2)=0,"Paid","Partial"))))</f>
      </c>
      <c r="J268" s="29"/>
      <c r="K268">
        <f>IF($A268="","","#"&amp;TRIM(SUBSTITUTE(SUBSTITUTE(SUBSTITUTE(SUBSTITUTE(SUBSTITUTE(SUBSTITUTE($A268,"-",""),"(",""),")",""),".",""),"+","")," ","")))</f>
      </c>
    </row>
    <row r="269" spans="1:11" x14ac:dyDescent="0.3">
      <c r="A269" s="28"/>
      <c r="B269" s="29"/>
      <c r="C269" s="30"/>
      <c r="D269" s="31"/>
      <c r="E269" s="33">
        <f>IF(OR($D269="",$K269=""),"",IF(COUNTIFS(Payments!$G$5:$G$2500,$K269,Payments!$C$5:$C$2500,"&lt;&gt;")=0,"",_xlfn.MAXIFS(Payments!$C$5:$C$2500,Payments!$G$5:$G$2500,$K269)))</f>
      </c>
      <c r="F269" s="34">
        <f>IF(OR($D269="",$K269=""),"",SUMIF(Payments!$G$5:$G$2500,$K269,Payments!$D$5:$D$2500))</f>
      </c>
      <c r="G269" s="36">
        <f>IF($D269="","",ROUND($D269-IF($F269="",0,$F269),2))</f>
      </c>
      <c r="H269" s="35">
        <f>IF(OR($D269="",$K269=""),"",COUNTIF(Payments!$G$5:$G$2500,$K269))</f>
      </c>
      <c r="I269" s="37">
        <f>IF($D269="","",IF(OR($F269="",$F269=0),"Pending",IF(ROUND($F269-$D269,2)&gt;0,"Overpaid",IF(ROUND($F269-$D269,2)=0,"Paid","Partial"))))</f>
      </c>
      <c r="J269" s="29"/>
      <c r="K269">
        <f>IF($A269="","","#"&amp;TRIM(SUBSTITUTE(SUBSTITUTE(SUBSTITUTE(SUBSTITUTE(SUBSTITUTE(SUBSTITUTE($A269,"-",""),"(",""),")",""),".",""),"+","")," ","")))</f>
      </c>
    </row>
    <row r="270" spans="1:11" x14ac:dyDescent="0.3">
      <c r="A270" s="28"/>
      <c r="B270" s="29"/>
      <c r="C270" s="30"/>
      <c r="D270" s="31"/>
      <c r="E270" s="33">
        <f>IF(OR($D270="",$K270=""),"",IF(COUNTIFS(Payments!$G$5:$G$2500,$K270,Payments!$C$5:$C$2500,"&lt;&gt;")=0,"",_xlfn.MAXIFS(Payments!$C$5:$C$2500,Payments!$G$5:$G$2500,$K270)))</f>
      </c>
      <c r="F270" s="34">
        <f>IF(OR($D270="",$K270=""),"",SUMIF(Payments!$G$5:$G$2500,$K270,Payments!$D$5:$D$2500))</f>
      </c>
      <c r="G270" s="36">
        <f>IF($D270="","",ROUND($D270-IF($F270="",0,$F270),2))</f>
      </c>
      <c r="H270" s="35">
        <f>IF(OR($D270="",$K270=""),"",COUNTIF(Payments!$G$5:$G$2500,$K270))</f>
      </c>
      <c r="I270" s="37">
        <f>IF($D270="","",IF(OR($F270="",$F270=0),"Pending",IF(ROUND($F270-$D270,2)&gt;0,"Overpaid",IF(ROUND($F270-$D270,2)=0,"Paid","Partial"))))</f>
      </c>
      <c r="J270" s="29"/>
      <c r="K270">
        <f>IF($A270="","","#"&amp;TRIM(SUBSTITUTE(SUBSTITUTE(SUBSTITUTE(SUBSTITUTE(SUBSTITUTE(SUBSTITUTE($A270,"-",""),"(",""),")",""),".",""),"+","")," ","")))</f>
      </c>
    </row>
    <row r="271" spans="1:11" x14ac:dyDescent="0.3">
      <c r="A271" s="28"/>
      <c r="B271" s="29"/>
      <c r="C271" s="30"/>
      <c r="D271" s="31"/>
      <c r="E271" s="33">
        <f>IF(OR($D271="",$K271=""),"",IF(COUNTIFS(Payments!$G$5:$G$2500,$K271,Payments!$C$5:$C$2500,"&lt;&gt;")=0,"",_xlfn.MAXIFS(Payments!$C$5:$C$2500,Payments!$G$5:$G$2500,$K271)))</f>
      </c>
      <c r="F271" s="34">
        <f>IF(OR($D271="",$K271=""),"",SUMIF(Payments!$G$5:$G$2500,$K271,Payments!$D$5:$D$2500))</f>
      </c>
      <c r="G271" s="36">
        <f>IF($D271="","",ROUND($D271-IF($F271="",0,$F271),2))</f>
      </c>
      <c r="H271" s="35">
        <f>IF(OR($D271="",$K271=""),"",COUNTIF(Payments!$G$5:$G$2500,$K271))</f>
      </c>
      <c r="I271" s="37">
        <f>IF($D271="","",IF(OR($F271="",$F271=0),"Pending",IF(ROUND($F271-$D271,2)&gt;0,"Overpaid",IF(ROUND($F271-$D271,2)=0,"Paid","Partial"))))</f>
      </c>
      <c r="J271" s="29"/>
      <c r="K271">
        <f>IF($A271="","","#"&amp;TRIM(SUBSTITUTE(SUBSTITUTE(SUBSTITUTE(SUBSTITUTE(SUBSTITUTE(SUBSTITUTE($A271,"-",""),"(",""),")",""),".",""),"+","")," ","")))</f>
      </c>
    </row>
    <row r="272" spans="1:11" x14ac:dyDescent="0.3">
      <c r="A272" s="28"/>
      <c r="B272" s="29"/>
      <c r="C272" s="30"/>
      <c r="D272" s="31"/>
      <c r="E272" s="33">
        <f>IF(OR($D272="",$K272=""),"",IF(COUNTIFS(Payments!$G$5:$G$2500,$K272,Payments!$C$5:$C$2500,"&lt;&gt;")=0,"",_xlfn.MAXIFS(Payments!$C$5:$C$2500,Payments!$G$5:$G$2500,$K272)))</f>
      </c>
      <c r="F272" s="34">
        <f>IF(OR($D272="",$K272=""),"",SUMIF(Payments!$G$5:$G$2500,$K272,Payments!$D$5:$D$2500))</f>
      </c>
      <c r="G272" s="36">
        <f>IF($D272="","",ROUND($D272-IF($F272="",0,$F272),2))</f>
      </c>
      <c r="H272" s="35">
        <f>IF(OR($D272="",$K272=""),"",COUNTIF(Payments!$G$5:$G$2500,$K272))</f>
      </c>
      <c r="I272" s="37">
        <f>IF($D272="","",IF(OR($F272="",$F272=0),"Pending",IF(ROUND($F272-$D272,2)&gt;0,"Overpaid",IF(ROUND($F272-$D272,2)=0,"Paid","Partial"))))</f>
      </c>
      <c r="J272" s="29"/>
      <c r="K272">
        <f>IF($A272="","","#"&amp;TRIM(SUBSTITUTE(SUBSTITUTE(SUBSTITUTE(SUBSTITUTE(SUBSTITUTE(SUBSTITUTE($A272,"-",""),"(",""),")",""),".",""),"+","")," ","")))</f>
      </c>
    </row>
    <row r="273" spans="1:11" x14ac:dyDescent="0.3">
      <c r="A273" s="28"/>
      <c r="B273" s="29"/>
      <c r="C273" s="30"/>
      <c r="D273" s="31"/>
      <c r="E273" s="33">
        <f>IF(OR($D273="",$K273=""),"",IF(COUNTIFS(Payments!$G$5:$G$2500,$K273,Payments!$C$5:$C$2500,"&lt;&gt;")=0,"",_xlfn.MAXIFS(Payments!$C$5:$C$2500,Payments!$G$5:$G$2500,$K273)))</f>
      </c>
      <c r="F273" s="34">
        <f>IF(OR($D273="",$K273=""),"",SUMIF(Payments!$G$5:$G$2500,$K273,Payments!$D$5:$D$2500))</f>
      </c>
      <c r="G273" s="36">
        <f>IF($D273="","",ROUND($D273-IF($F273="",0,$F273),2))</f>
      </c>
      <c r="H273" s="35">
        <f>IF(OR($D273="",$K273=""),"",COUNTIF(Payments!$G$5:$G$2500,$K273))</f>
      </c>
      <c r="I273" s="37">
        <f>IF($D273="","",IF(OR($F273="",$F273=0),"Pending",IF(ROUND($F273-$D273,2)&gt;0,"Overpaid",IF(ROUND($F273-$D273,2)=0,"Paid","Partial"))))</f>
      </c>
      <c r="J273" s="29"/>
      <c r="K273">
        <f>IF($A273="","","#"&amp;TRIM(SUBSTITUTE(SUBSTITUTE(SUBSTITUTE(SUBSTITUTE(SUBSTITUTE(SUBSTITUTE($A273,"-",""),"(",""),")",""),".",""),"+","")," ","")))</f>
      </c>
    </row>
    <row r="274" spans="1:11" x14ac:dyDescent="0.3">
      <c r="A274" s="28"/>
      <c r="B274" s="29"/>
      <c r="C274" s="30"/>
      <c r="D274" s="31"/>
      <c r="E274" s="33">
        <f>IF(OR($D274="",$K274=""),"",IF(COUNTIFS(Payments!$G$5:$G$2500,$K274,Payments!$C$5:$C$2500,"&lt;&gt;")=0,"",_xlfn.MAXIFS(Payments!$C$5:$C$2500,Payments!$G$5:$G$2500,$K274)))</f>
      </c>
      <c r="F274" s="34">
        <f>IF(OR($D274="",$K274=""),"",SUMIF(Payments!$G$5:$G$2500,$K274,Payments!$D$5:$D$2500))</f>
      </c>
      <c r="G274" s="36">
        <f>IF($D274="","",ROUND($D274-IF($F274="",0,$F274),2))</f>
      </c>
      <c r="H274" s="35">
        <f>IF(OR($D274="",$K274=""),"",COUNTIF(Payments!$G$5:$G$2500,$K274))</f>
      </c>
      <c r="I274" s="37">
        <f>IF($D274="","",IF(OR($F274="",$F274=0),"Pending",IF(ROUND($F274-$D274,2)&gt;0,"Overpaid",IF(ROUND($F274-$D274,2)=0,"Paid","Partial"))))</f>
      </c>
      <c r="J274" s="29"/>
      <c r="K274">
        <f>IF($A274="","","#"&amp;TRIM(SUBSTITUTE(SUBSTITUTE(SUBSTITUTE(SUBSTITUTE(SUBSTITUTE(SUBSTITUTE($A274,"-",""),"(",""),")",""),".",""),"+","")," ","")))</f>
      </c>
    </row>
    <row r="275" spans="1:11" x14ac:dyDescent="0.3">
      <c r="A275" s="28"/>
      <c r="B275" s="29"/>
      <c r="C275" s="30"/>
      <c r="D275" s="31"/>
      <c r="E275" s="33">
        <f>IF(OR($D275="",$K275=""),"",IF(COUNTIFS(Payments!$G$5:$G$2500,$K275,Payments!$C$5:$C$2500,"&lt;&gt;")=0,"",_xlfn.MAXIFS(Payments!$C$5:$C$2500,Payments!$G$5:$G$2500,$K275)))</f>
      </c>
      <c r="F275" s="34">
        <f>IF(OR($D275="",$K275=""),"",SUMIF(Payments!$G$5:$G$2500,$K275,Payments!$D$5:$D$2500))</f>
      </c>
      <c r="G275" s="36">
        <f>IF($D275="","",ROUND($D275-IF($F275="",0,$F275),2))</f>
      </c>
      <c r="H275" s="35">
        <f>IF(OR($D275="",$K275=""),"",COUNTIF(Payments!$G$5:$G$2500,$K275))</f>
      </c>
      <c r="I275" s="37">
        <f>IF($D275="","",IF(OR($F275="",$F275=0),"Pending",IF(ROUND($F275-$D275,2)&gt;0,"Overpaid",IF(ROUND($F275-$D275,2)=0,"Paid","Partial"))))</f>
      </c>
      <c r="J275" s="29"/>
      <c r="K275">
        <f>IF($A275="","","#"&amp;TRIM(SUBSTITUTE(SUBSTITUTE(SUBSTITUTE(SUBSTITUTE(SUBSTITUTE(SUBSTITUTE($A275,"-",""),"(",""),")",""),".",""),"+","")," ","")))</f>
      </c>
    </row>
    <row r="276" spans="1:11" x14ac:dyDescent="0.3">
      <c r="A276" s="28"/>
      <c r="B276" s="29"/>
      <c r="C276" s="30"/>
      <c r="D276" s="31"/>
      <c r="E276" s="33">
        <f>IF(OR($D276="",$K276=""),"",IF(COUNTIFS(Payments!$G$5:$G$2500,$K276,Payments!$C$5:$C$2500,"&lt;&gt;")=0,"",_xlfn.MAXIFS(Payments!$C$5:$C$2500,Payments!$G$5:$G$2500,$K276)))</f>
      </c>
      <c r="F276" s="34">
        <f>IF(OR($D276="",$K276=""),"",SUMIF(Payments!$G$5:$G$2500,$K276,Payments!$D$5:$D$2500))</f>
      </c>
      <c r="G276" s="36">
        <f>IF($D276="","",ROUND($D276-IF($F276="",0,$F276),2))</f>
      </c>
      <c r="H276" s="35">
        <f>IF(OR($D276="",$K276=""),"",COUNTIF(Payments!$G$5:$G$2500,$K276))</f>
      </c>
      <c r="I276" s="37">
        <f>IF($D276="","",IF(OR($F276="",$F276=0),"Pending",IF(ROUND($F276-$D276,2)&gt;0,"Overpaid",IF(ROUND($F276-$D276,2)=0,"Paid","Partial"))))</f>
      </c>
      <c r="J276" s="29"/>
      <c r="K276">
        <f>IF($A276="","","#"&amp;TRIM(SUBSTITUTE(SUBSTITUTE(SUBSTITUTE(SUBSTITUTE(SUBSTITUTE(SUBSTITUTE($A276,"-",""),"(",""),")",""),".",""),"+","")," ","")))</f>
      </c>
    </row>
    <row r="277" spans="1:11" x14ac:dyDescent="0.3">
      <c r="A277" s="28"/>
      <c r="B277" s="29"/>
      <c r="C277" s="30"/>
      <c r="D277" s="31"/>
      <c r="E277" s="33">
        <f>IF(OR($D277="",$K277=""),"",IF(COUNTIFS(Payments!$G$5:$G$2500,$K277,Payments!$C$5:$C$2500,"&lt;&gt;")=0,"",_xlfn.MAXIFS(Payments!$C$5:$C$2500,Payments!$G$5:$G$2500,$K277)))</f>
      </c>
      <c r="F277" s="34">
        <f>IF(OR($D277="",$K277=""),"",SUMIF(Payments!$G$5:$G$2500,$K277,Payments!$D$5:$D$2500))</f>
      </c>
      <c r="G277" s="36">
        <f>IF($D277="","",ROUND($D277-IF($F277="",0,$F277),2))</f>
      </c>
      <c r="H277" s="35">
        <f>IF(OR($D277="",$K277=""),"",COUNTIF(Payments!$G$5:$G$2500,$K277))</f>
      </c>
      <c r="I277" s="37">
        <f>IF($D277="","",IF(OR($F277="",$F277=0),"Pending",IF(ROUND($F277-$D277,2)&gt;0,"Overpaid",IF(ROUND($F277-$D277,2)=0,"Paid","Partial"))))</f>
      </c>
      <c r="J277" s="29"/>
      <c r="K277">
        <f>IF($A277="","","#"&amp;TRIM(SUBSTITUTE(SUBSTITUTE(SUBSTITUTE(SUBSTITUTE(SUBSTITUTE(SUBSTITUTE($A277,"-",""),"(",""),")",""),".",""),"+","")," ","")))</f>
      </c>
    </row>
    <row r="278" spans="1:11" x14ac:dyDescent="0.3">
      <c r="A278" s="28"/>
      <c r="B278" s="29"/>
      <c r="C278" s="30"/>
      <c r="D278" s="31"/>
      <c r="E278" s="33">
        <f>IF(OR($D278="",$K278=""),"",IF(COUNTIFS(Payments!$G$5:$G$2500,$K278,Payments!$C$5:$C$2500,"&lt;&gt;")=0,"",_xlfn.MAXIFS(Payments!$C$5:$C$2500,Payments!$G$5:$G$2500,$K278)))</f>
      </c>
      <c r="F278" s="34">
        <f>IF(OR($D278="",$K278=""),"",SUMIF(Payments!$G$5:$G$2500,$K278,Payments!$D$5:$D$2500))</f>
      </c>
      <c r="G278" s="36">
        <f>IF($D278="","",ROUND($D278-IF($F278="",0,$F278),2))</f>
      </c>
      <c r="H278" s="35">
        <f>IF(OR($D278="",$K278=""),"",COUNTIF(Payments!$G$5:$G$2500,$K278))</f>
      </c>
      <c r="I278" s="37">
        <f>IF($D278="","",IF(OR($F278="",$F278=0),"Pending",IF(ROUND($F278-$D278,2)&gt;0,"Overpaid",IF(ROUND($F278-$D278,2)=0,"Paid","Partial"))))</f>
      </c>
      <c r="J278" s="29"/>
      <c r="K278">
        <f>IF($A278="","","#"&amp;TRIM(SUBSTITUTE(SUBSTITUTE(SUBSTITUTE(SUBSTITUTE(SUBSTITUTE(SUBSTITUTE($A278,"-",""),"(",""),")",""),".",""),"+","")," ","")))</f>
      </c>
    </row>
    <row r="279" spans="1:11" x14ac:dyDescent="0.3">
      <c r="A279" s="28"/>
      <c r="B279" s="29"/>
      <c r="C279" s="30"/>
      <c r="D279" s="31"/>
      <c r="E279" s="33">
        <f>IF(OR($D279="",$K279=""),"",IF(COUNTIFS(Payments!$G$5:$G$2500,$K279,Payments!$C$5:$C$2500,"&lt;&gt;")=0,"",_xlfn.MAXIFS(Payments!$C$5:$C$2500,Payments!$G$5:$G$2500,$K279)))</f>
      </c>
      <c r="F279" s="34">
        <f>IF(OR($D279="",$K279=""),"",SUMIF(Payments!$G$5:$G$2500,$K279,Payments!$D$5:$D$2500))</f>
      </c>
      <c r="G279" s="36">
        <f>IF($D279="","",ROUND($D279-IF($F279="",0,$F279),2))</f>
      </c>
      <c r="H279" s="35">
        <f>IF(OR($D279="",$K279=""),"",COUNTIF(Payments!$G$5:$G$2500,$K279))</f>
      </c>
      <c r="I279" s="37">
        <f>IF($D279="","",IF(OR($F279="",$F279=0),"Pending",IF(ROUND($F279-$D279,2)&gt;0,"Overpaid",IF(ROUND($F279-$D279,2)=0,"Paid","Partial"))))</f>
      </c>
      <c r="J279" s="29"/>
      <c r="K279">
        <f>IF($A279="","","#"&amp;TRIM(SUBSTITUTE(SUBSTITUTE(SUBSTITUTE(SUBSTITUTE(SUBSTITUTE(SUBSTITUTE($A279,"-",""),"(",""),")",""),".",""),"+","")," ","")))</f>
      </c>
    </row>
    <row r="280" spans="1:11" x14ac:dyDescent="0.3">
      <c r="A280" s="28"/>
      <c r="B280" s="29"/>
      <c r="C280" s="30"/>
      <c r="D280" s="31"/>
      <c r="E280" s="33">
        <f>IF(OR($D280="",$K280=""),"",IF(COUNTIFS(Payments!$G$5:$G$2500,$K280,Payments!$C$5:$C$2500,"&lt;&gt;")=0,"",_xlfn.MAXIFS(Payments!$C$5:$C$2500,Payments!$G$5:$G$2500,$K280)))</f>
      </c>
      <c r="F280" s="34">
        <f>IF(OR($D280="",$K280=""),"",SUMIF(Payments!$G$5:$G$2500,$K280,Payments!$D$5:$D$2500))</f>
      </c>
      <c r="G280" s="36">
        <f>IF($D280="","",ROUND($D280-IF($F280="",0,$F280),2))</f>
      </c>
      <c r="H280" s="35">
        <f>IF(OR($D280="",$K280=""),"",COUNTIF(Payments!$G$5:$G$2500,$K280))</f>
      </c>
      <c r="I280" s="37">
        <f>IF($D280="","",IF(OR($F280="",$F280=0),"Pending",IF(ROUND($F280-$D280,2)&gt;0,"Overpaid",IF(ROUND($F280-$D280,2)=0,"Paid","Partial"))))</f>
      </c>
      <c r="J280" s="29"/>
      <c r="K280">
        <f>IF($A280="","","#"&amp;TRIM(SUBSTITUTE(SUBSTITUTE(SUBSTITUTE(SUBSTITUTE(SUBSTITUTE(SUBSTITUTE($A280,"-",""),"(",""),")",""),".",""),"+","")," ","")))</f>
      </c>
    </row>
    <row r="281" spans="1:11" x14ac:dyDescent="0.3">
      <c r="A281" s="28"/>
      <c r="B281" s="29"/>
      <c r="C281" s="30"/>
      <c r="D281" s="31"/>
      <c r="E281" s="33">
        <f>IF(OR($D281="",$K281=""),"",IF(COUNTIFS(Payments!$G$5:$G$2500,$K281,Payments!$C$5:$C$2500,"&lt;&gt;")=0,"",_xlfn.MAXIFS(Payments!$C$5:$C$2500,Payments!$G$5:$G$2500,$K281)))</f>
      </c>
      <c r="F281" s="34">
        <f>IF(OR($D281="",$K281=""),"",SUMIF(Payments!$G$5:$G$2500,$K281,Payments!$D$5:$D$2500))</f>
      </c>
      <c r="G281" s="36">
        <f>IF($D281="","",ROUND($D281-IF($F281="",0,$F281),2))</f>
      </c>
      <c r="H281" s="35">
        <f>IF(OR($D281="",$K281=""),"",COUNTIF(Payments!$G$5:$G$2500,$K281))</f>
      </c>
      <c r="I281" s="37">
        <f>IF($D281="","",IF(OR($F281="",$F281=0),"Pending",IF(ROUND($F281-$D281,2)&gt;0,"Overpaid",IF(ROUND($F281-$D281,2)=0,"Paid","Partial"))))</f>
      </c>
      <c r="J281" s="29"/>
      <c r="K281">
        <f>IF($A281="","","#"&amp;TRIM(SUBSTITUTE(SUBSTITUTE(SUBSTITUTE(SUBSTITUTE(SUBSTITUTE(SUBSTITUTE($A281,"-",""),"(",""),")",""),".",""),"+","")," ","")))</f>
      </c>
    </row>
    <row r="282" spans="1:11" x14ac:dyDescent="0.3">
      <c r="A282" s="28"/>
      <c r="B282" s="29"/>
      <c r="C282" s="30"/>
      <c r="D282" s="31"/>
      <c r="E282" s="33">
        <f>IF(OR($D282="",$K282=""),"",IF(COUNTIFS(Payments!$G$5:$G$2500,$K282,Payments!$C$5:$C$2500,"&lt;&gt;")=0,"",_xlfn.MAXIFS(Payments!$C$5:$C$2500,Payments!$G$5:$G$2500,$K282)))</f>
      </c>
      <c r="F282" s="34">
        <f>IF(OR($D282="",$K282=""),"",SUMIF(Payments!$G$5:$G$2500,$K282,Payments!$D$5:$D$2500))</f>
      </c>
      <c r="G282" s="36">
        <f>IF($D282="","",ROUND($D282-IF($F282="",0,$F282),2))</f>
      </c>
      <c r="H282" s="35">
        <f>IF(OR($D282="",$K282=""),"",COUNTIF(Payments!$G$5:$G$2500,$K282))</f>
      </c>
      <c r="I282" s="37">
        <f>IF($D282="","",IF(OR($F282="",$F282=0),"Pending",IF(ROUND($F282-$D282,2)&gt;0,"Overpaid",IF(ROUND($F282-$D282,2)=0,"Paid","Partial"))))</f>
      </c>
      <c r="J282" s="29"/>
      <c r="K282">
        <f>IF($A282="","","#"&amp;TRIM(SUBSTITUTE(SUBSTITUTE(SUBSTITUTE(SUBSTITUTE(SUBSTITUTE(SUBSTITUTE($A282,"-",""),"(",""),")",""),".",""),"+","")," ","")))</f>
      </c>
    </row>
    <row r="283" spans="1:11" x14ac:dyDescent="0.3">
      <c r="A283" s="28"/>
      <c r="B283" s="29"/>
      <c r="C283" s="30"/>
      <c r="D283" s="31"/>
      <c r="E283" s="33">
        <f>IF(OR($D283="",$K283=""),"",IF(COUNTIFS(Payments!$G$5:$G$2500,$K283,Payments!$C$5:$C$2500,"&lt;&gt;")=0,"",_xlfn.MAXIFS(Payments!$C$5:$C$2500,Payments!$G$5:$G$2500,$K283)))</f>
      </c>
      <c r="F283" s="34">
        <f>IF(OR($D283="",$K283=""),"",SUMIF(Payments!$G$5:$G$2500,$K283,Payments!$D$5:$D$2500))</f>
      </c>
      <c r="G283" s="36">
        <f>IF($D283="","",ROUND($D283-IF($F283="",0,$F283),2))</f>
      </c>
      <c r="H283" s="35">
        <f>IF(OR($D283="",$K283=""),"",COUNTIF(Payments!$G$5:$G$2500,$K283))</f>
      </c>
      <c r="I283" s="37">
        <f>IF($D283="","",IF(OR($F283="",$F283=0),"Pending",IF(ROUND($F283-$D283,2)&gt;0,"Overpaid",IF(ROUND($F283-$D283,2)=0,"Paid","Partial"))))</f>
      </c>
      <c r="J283" s="29"/>
      <c r="K283">
        <f>IF($A283="","","#"&amp;TRIM(SUBSTITUTE(SUBSTITUTE(SUBSTITUTE(SUBSTITUTE(SUBSTITUTE(SUBSTITUTE($A283,"-",""),"(",""),")",""),".",""),"+","")," ","")))</f>
      </c>
    </row>
    <row r="284" spans="1:11" x14ac:dyDescent="0.3">
      <c r="A284" s="28"/>
      <c r="B284" s="29"/>
      <c r="C284" s="30"/>
      <c r="D284" s="31"/>
      <c r="E284" s="33">
        <f>IF(OR($D284="",$K284=""),"",IF(COUNTIFS(Payments!$G$5:$G$2500,$K284,Payments!$C$5:$C$2500,"&lt;&gt;")=0,"",_xlfn.MAXIFS(Payments!$C$5:$C$2500,Payments!$G$5:$G$2500,$K284)))</f>
      </c>
      <c r="F284" s="34">
        <f>IF(OR($D284="",$K284=""),"",SUMIF(Payments!$G$5:$G$2500,$K284,Payments!$D$5:$D$2500))</f>
      </c>
      <c r="G284" s="36">
        <f>IF($D284="","",ROUND($D284-IF($F284="",0,$F284),2))</f>
      </c>
      <c r="H284" s="35">
        <f>IF(OR($D284="",$K284=""),"",COUNTIF(Payments!$G$5:$G$2500,$K284))</f>
      </c>
      <c r="I284" s="37">
        <f>IF($D284="","",IF(OR($F284="",$F284=0),"Pending",IF(ROUND($F284-$D284,2)&gt;0,"Overpaid",IF(ROUND($F284-$D284,2)=0,"Paid","Partial"))))</f>
      </c>
      <c r="J284" s="29"/>
      <c r="K284">
        <f>IF($A284="","","#"&amp;TRIM(SUBSTITUTE(SUBSTITUTE(SUBSTITUTE(SUBSTITUTE(SUBSTITUTE(SUBSTITUTE($A284,"-",""),"(",""),")",""),".",""),"+","")," ","")))</f>
      </c>
    </row>
    <row r="285" spans="1:11" x14ac:dyDescent="0.3">
      <c r="A285" s="28"/>
      <c r="B285" s="29"/>
      <c r="C285" s="30"/>
      <c r="D285" s="31"/>
      <c r="E285" s="33">
        <f>IF(OR($D285="",$K285=""),"",IF(COUNTIFS(Payments!$G$5:$G$2500,$K285,Payments!$C$5:$C$2500,"&lt;&gt;")=0,"",_xlfn.MAXIFS(Payments!$C$5:$C$2500,Payments!$G$5:$G$2500,$K285)))</f>
      </c>
      <c r="F285" s="34">
        <f>IF(OR($D285="",$K285=""),"",SUMIF(Payments!$G$5:$G$2500,$K285,Payments!$D$5:$D$2500))</f>
      </c>
      <c r="G285" s="36">
        <f>IF($D285="","",ROUND($D285-IF($F285="",0,$F285),2))</f>
      </c>
      <c r="H285" s="35">
        <f>IF(OR($D285="",$K285=""),"",COUNTIF(Payments!$G$5:$G$2500,$K285))</f>
      </c>
      <c r="I285" s="37">
        <f>IF($D285="","",IF(OR($F285="",$F285=0),"Pending",IF(ROUND($F285-$D285,2)&gt;0,"Overpaid",IF(ROUND($F285-$D285,2)=0,"Paid","Partial"))))</f>
      </c>
      <c r="J285" s="29"/>
      <c r="K285">
        <f>IF($A285="","","#"&amp;TRIM(SUBSTITUTE(SUBSTITUTE(SUBSTITUTE(SUBSTITUTE(SUBSTITUTE(SUBSTITUTE($A285,"-",""),"(",""),")",""),".",""),"+","")," ","")))</f>
      </c>
    </row>
    <row r="286" spans="1:11" x14ac:dyDescent="0.3">
      <c r="A286" s="28"/>
      <c r="B286" s="29"/>
      <c r="C286" s="30"/>
      <c r="D286" s="31"/>
      <c r="E286" s="33">
        <f>IF(OR($D286="",$K286=""),"",IF(COUNTIFS(Payments!$G$5:$G$2500,$K286,Payments!$C$5:$C$2500,"&lt;&gt;")=0,"",_xlfn.MAXIFS(Payments!$C$5:$C$2500,Payments!$G$5:$G$2500,$K286)))</f>
      </c>
      <c r="F286" s="34">
        <f>IF(OR($D286="",$K286=""),"",SUMIF(Payments!$G$5:$G$2500,$K286,Payments!$D$5:$D$2500))</f>
      </c>
      <c r="G286" s="36">
        <f>IF($D286="","",ROUND($D286-IF($F286="",0,$F286),2))</f>
      </c>
      <c r="H286" s="35">
        <f>IF(OR($D286="",$K286=""),"",COUNTIF(Payments!$G$5:$G$2500,$K286))</f>
      </c>
      <c r="I286" s="37">
        <f>IF($D286="","",IF(OR($F286="",$F286=0),"Pending",IF(ROUND($F286-$D286,2)&gt;0,"Overpaid",IF(ROUND($F286-$D286,2)=0,"Paid","Partial"))))</f>
      </c>
      <c r="J286" s="29"/>
      <c r="K286">
        <f>IF($A286="","","#"&amp;TRIM(SUBSTITUTE(SUBSTITUTE(SUBSTITUTE(SUBSTITUTE(SUBSTITUTE(SUBSTITUTE($A286,"-",""),"(",""),")",""),".",""),"+","")," ","")))</f>
      </c>
    </row>
    <row r="287" spans="1:11" x14ac:dyDescent="0.3">
      <c r="A287" s="28"/>
      <c r="B287" s="29"/>
      <c r="C287" s="30"/>
      <c r="D287" s="31"/>
      <c r="E287" s="33">
        <f>IF(OR($D287="",$K287=""),"",IF(COUNTIFS(Payments!$G$5:$G$2500,$K287,Payments!$C$5:$C$2500,"&lt;&gt;")=0,"",_xlfn.MAXIFS(Payments!$C$5:$C$2500,Payments!$G$5:$G$2500,$K287)))</f>
      </c>
      <c r="F287" s="34">
        <f>IF(OR($D287="",$K287=""),"",SUMIF(Payments!$G$5:$G$2500,$K287,Payments!$D$5:$D$2500))</f>
      </c>
      <c r="G287" s="36">
        <f>IF($D287="","",ROUND($D287-IF($F287="",0,$F287),2))</f>
      </c>
      <c r="H287" s="35">
        <f>IF(OR($D287="",$K287=""),"",COUNTIF(Payments!$G$5:$G$2500,$K287))</f>
      </c>
      <c r="I287" s="37">
        <f>IF($D287="","",IF(OR($F287="",$F287=0),"Pending",IF(ROUND($F287-$D287,2)&gt;0,"Overpaid",IF(ROUND($F287-$D287,2)=0,"Paid","Partial"))))</f>
      </c>
      <c r="J287" s="29"/>
      <c r="K287">
        <f>IF($A287="","","#"&amp;TRIM(SUBSTITUTE(SUBSTITUTE(SUBSTITUTE(SUBSTITUTE(SUBSTITUTE(SUBSTITUTE($A287,"-",""),"(",""),")",""),".",""),"+","")," ","")))</f>
      </c>
    </row>
    <row r="288" spans="1:11" x14ac:dyDescent="0.3">
      <c r="A288" s="28"/>
      <c r="B288" s="29"/>
      <c r="C288" s="30"/>
      <c r="D288" s="31"/>
      <c r="E288" s="33">
        <f>IF(OR($D288="",$K288=""),"",IF(COUNTIFS(Payments!$G$5:$G$2500,$K288,Payments!$C$5:$C$2500,"&lt;&gt;")=0,"",_xlfn.MAXIFS(Payments!$C$5:$C$2500,Payments!$G$5:$G$2500,$K288)))</f>
      </c>
      <c r="F288" s="34">
        <f>IF(OR($D288="",$K288=""),"",SUMIF(Payments!$G$5:$G$2500,$K288,Payments!$D$5:$D$2500))</f>
      </c>
      <c r="G288" s="36">
        <f>IF($D288="","",ROUND($D288-IF($F288="",0,$F288),2))</f>
      </c>
      <c r="H288" s="35">
        <f>IF(OR($D288="",$K288=""),"",COUNTIF(Payments!$G$5:$G$2500,$K288))</f>
      </c>
      <c r="I288" s="37">
        <f>IF($D288="","",IF(OR($F288="",$F288=0),"Pending",IF(ROUND($F288-$D288,2)&gt;0,"Overpaid",IF(ROUND($F288-$D288,2)=0,"Paid","Partial"))))</f>
      </c>
      <c r="J288" s="29"/>
      <c r="K288">
        <f>IF($A288="","","#"&amp;TRIM(SUBSTITUTE(SUBSTITUTE(SUBSTITUTE(SUBSTITUTE(SUBSTITUTE(SUBSTITUTE($A288,"-",""),"(",""),")",""),".",""),"+","")," ","")))</f>
      </c>
    </row>
    <row r="289" spans="1:11" x14ac:dyDescent="0.3">
      <c r="A289" s="28"/>
      <c r="B289" s="29"/>
      <c r="C289" s="30"/>
      <c r="D289" s="31"/>
      <c r="E289" s="33">
        <f>IF(OR($D289="",$K289=""),"",IF(COUNTIFS(Payments!$G$5:$G$2500,$K289,Payments!$C$5:$C$2500,"&lt;&gt;")=0,"",_xlfn.MAXIFS(Payments!$C$5:$C$2500,Payments!$G$5:$G$2500,$K289)))</f>
      </c>
      <c r="F289" s="34">
        <f>IF(OR($D289="",$K289=""),"",SUMIF(Payments!$G$5:$G$2500,$K289,Payments!$D$5:$D$2500))</f>
      </c>
      <c r="G289" s="36">
        <f>IF($D289="","",ROUND($D289-IF($F289="",0,$F289),2))</f>
      </c>
      <c r="H289" s="35">
        <f>IF(OR($D289="",$K289=""),"",COUNTIF(Payments!$G$5:$G$2500,$K289))</f>
      </c>
      <c r="I289" s="37">
        <f>IF($D289="","",IF(OR($F289="",$F289=0),"Pending",IF(ROUND($F289-$D289,2)&gt;0,"Overpaid",IF(ROUND($F289-$D289,2)=0,"Paid","Partial"))))</f>
      </c>
      <c r="J289" s="29"/>
      <c r="K289">
        <f>IF($A289="","","#"&amp;TRIM(SUBSTITUTE(SUBSTITUTE(SUBSTITUTE(SUBSTITUTE(SUBSTITUTE(SUBSTITUTE($A289,"-",""),"(",""),")",""),".",""),"+","")," ","")))</f>
      </c>
    </row>
    <row r="290" spans="1:11" x14ac:dyDescent="0.3">
      <c r="A290" s="28"/>
      <c r="B290" s="29"/>
      <c r="C290" s="30"/>
      <c r="D290" s="31"/>
      <c r="E290" s="33">
        <f>IF(OR($D290="",$K290=""),"",IF(COUNTIFS(Payments!$G$5:$G$2500,$K290,Payments!$C$5:$C$2500,"&lt;&gt;")=0,"",_xlfn.MAXIFS(Payments!$C$5:$C$2500,Payments!$G$5:$G$2500,$K290)))</f>
      </c>
      <c r="F290" s="34">
        <f>IF(OR($D290="",$K290=""),"",SUMIF(Payments!$G$5:$G$2500,$K290,Payments!$D$5:$D$2500))</f>
      </c>
      <c r="G290" s="36">
        <f>IF($D290="","",ROUND($D290-IF($F290="",0,$F290),2))</f>
      </c>
      <c r="H290" s="35">
        <f>IF(OR($D290="",$K290=""),"",COUNTIF(Payments!$G$5:$G$2500,$K290))</f>
      </c>
      <c r="I290" s="37">
        <f>IF($D290="","",IF(OR($F290="",$F290=0),"Pending",IF(ROUND($F290-$D290,2)&gt;0,"Overpaid",IF(ROUND($F290-$D290,2)=0,"Paid","Partial"))))</f>
      </c>
      <c r="J290" s="29"/>
      <c r="K290">
        <f>IF($A290="","","#"&amp;TRIM(SUBSTITUTE(SUBSTITUTE(SUBSTITUTE(SUBSTITUTE(SUBSTITUTE(SUBSTITUTE($A290,"-",""),"(",""),")",""),".",""),"+","")," ","")))</f>
      </c>
    </row>
    <row r="291" spans="1:11" x14ac:dyDescent="0.3">
      <c r="A291" s="28"/>
      <c r="B291" s="29"/>
      <c r="C291" s="30"/>
      <c r="D291" s="31"/>
      <c r="E291" s="33">
        <f>IF(OR($D291="",$K291=""),"",IF(COUNTIFS(Payments!$G$5:$G$2500,$K291,Payments!$C$5:$C$2500,"&lt;&gt;")=0,"",_xlfn.MAXIFS(Payments!$C$5:$C$2500,Payments!$G$5:$G$2500,$K291)))</f>
      </c>
      <c r="F291" s="34">
        <f>IF(OR($D291="",$K291=""),"",SUMIF(Payments!$G$5:$G$2500,$K291,Payments!$D$5:$D$2500))</f>
      </c>
      <c r="G291" s="36">
        <f>IF($D291="","",ROUND($D291-IF($F291="",0,$F291),2))</f>
      </c>
      <c r="H291" s="35">
        <f>IF(OR($D291="",$K291=""),"",COUNTIF(Payments!$G$5:$G$2500,$K291))</f>
      </c>
      <c r="I291" s="37">
        <f>IF($D291="","",IF(OR($F291="",$F291=0),"Pending",IF(ROUND($F291-$D291,2)&gt;0,"Overpaid",IF(ROUND($F291-$D291,2)=0,"Paid","Partial"))))</f>
      </c>
      <c r="J291" s="29"/>
      <c r="K291">
        <f>IF($A291="","","#"&amp;TRIM(SUBSTITUTE(SUBSTITUTE(SUBSTITUTE(SUBSTITUTE(SUBSTITUTE(SUBSTITUTE($A291,"-",""),"(",""),")",""),".",""),"+","")," ","")))</f>
      </c>
    </row>
    <row r="292" spans="1:11" x14ac:dyDescent="0.3">
      <c r="A292" s="28"/>
      <c r="B292" s="29"/>
      <c r="C292" s="30"/>
      <c r="D292" s="31"/>
      <c r="E292" s="33">
        <f>IF(OR($D292="",$K292=""),"",IF(COUNTIFS(Payments!$G$5:$G$2500,$K292,Payments!$C$5:$C$2500,"&lt;&gt;")=0,"",_xlfn.MAXIFS(Payments!$C$5:$C$2500,Payments!$G$5:$G$2500,$K292)))</f>
      </c>
      <c r="F292" s="34">
        <f>IF(OR($D292="",$K292=""),"",SUMIF(Payments!$G$5:$G$2500,$K292,Payments!$D$5:$D$2500))</f>
      </c>
      <c r="G292" s="36">
        <f>IF($D292="","",ROUND($D292-IF($F292="",0,$F292),2))</f>
      </c>
      <c r="H292" s="35">
        <f>IF(OR($D292="",$K292=""),"",COUNTIF(Payments!$G$5:$G$2500,$K292))</f>
      </c>
      <c r="I292" s="37">
        <f>IF($D292="","",IF(OR($F292="",$F292=0),"Pending",IF(ROUND($F292-$D292,2)&gt;0,"Overpaid",IF(ROUND($F292-$D292,2)=0,"Paid","Partial"))))</f>
      </c>
      <c r="J292" s="29"/>
      <c r="K292">
        <f>IF($A292="","","#"&amp;TRIM(SUBSTITUTE(SUBSTITUTE(SUBSTITUTE(SUBSTITUTE(SUBSTITUTE(SUBSTITUTE($A292,"-",""),"(",""),")",""),".",""),"+","")," ","")))</f>
      </c>
    </row>
    <row r="293" spans="1:11" x14ac:dyDescent="0.3">
      <c r="A293" s="28"/>
      <c r="B293" s="29"/>
      <c r="C293" s="30"/>
      <c r="D293" s="31"/>
      <c r="E293" s="33">
        <f>IF(OR($D293="",$K293=""),"",IF(COUNTIFS(Payments!$G$5:$G$2500,$K293,Payments!$C$5:$C$2500,"&lt;&gt;")=0,"",_xlfn.MAXIFS(Payments!$C$5:$C$2500,Payments!$G$5:$G$2500,$K293)))</f>
      </c>
      <c r="F293" s="34">
        <f>IF(OR($D293="",$K293=""),"",SUMIF(Payments!$G$5:$G$2500,$K293,Payments!$D$5:$D$2500))</f>
      </c>
      <c r="G293" s="36">
        <f>IF($D293="","",ROUND($D293-IF($F293="",0,$F293),2))</f>
      </c>
      <c r="H293" s="35">
        <f>IF(OR($D293="",$K293=""),"",COUNTIF(Payments!$G$5:$G$2500,$K293))</f>
      </c>
      <c r="I293" s="37">
        <f>IF($D293="","",IF(OR($F293="",$F293=0),"Pending",IF(ROUND($F293-$D293,2)&gt;0,"Overpaid",IF(ROUND($F293-$D293,2)=0,"Paid","Partial"))))</f>
      </c>
      <c r="J293" s="29"/>
      <c r="K293">
        <f>IF($A293="","","#"&amp;TRIM(SUBSTITUTE(SUBSTITUTE(SUBSTITUTE(SUBSTITUTE(SUBSTITUTE(SUBSTITUTE($A293,"-",""),"(",""),")",""),".",""),"+","")," ","")))</f>
      </c>
    </row>
    <row r="294" spans="1:11" x14ac:dyDescent="0.3">
      <c r="A294" s="28"/>
      <c r="B294" s="29"/>
      <c r="C294" s="30"/>
      <c r="D294" s="31"/>
      <c r="E294" s="33">
        <f>IF(OR($D294="",$K294=""),"",IF(COUNTIFS(Payments!$G$5:$G$2500,$K294,Payments!$C$5:$C$2500,"&lt;&gt;")=0,"",_xlfn.MAXIFS(Payments!$C$5:$C$2500,Payments!$G$5:$G$2500,$K294)))</f>
      </c>
      <c r="F294" s="34">
        <f>IF(OR($D294="",$K294=""),"",SUMIF(Payments!$G$5:$G$2500,$K294,Payments!$D$5:$D$2500))</f>
      </c>
      <c r="G294" s="36">
        <f>IF($D294="","",ROUND($D294-IF($F294="",0,$F294),2))</f>
      </c>
      <c r="H294" s="35">
        <f>IF(OR($D294="",$K294=""),"",COUNTIF(Payments!$G$5:$G$2500,$K294))</f>
      </c>
      <c r="I294" s="37">
        <f>IF($D294="","",IF(OR($F294="",$F294=0),"Pending",IF(ROUND($F294-$D294,2)&gt;0,"Overpaid",IF(ROUND($F294-$D294,2)=0,"Paid","Partial"))))</f>
      </c>
      <c r="J294" s="29"/>
      <c r="K294">
        <f>IF($A294="","","#"&amp;TRIM(SUBSTITUTE(SUBSTITUTE(SUBSTITUTE(SUBSTITUTE(SUBSTITUTE(SUBSTITUTE($A294,"-",""),"(",""),")",""),".",""),"+","")," ","")))</f>
      </c>
    </row>
    <row r="295" spans="1:11" x14ac:dyDescent="0.3">
      <c r="A295" s="28"/>
      <c r="B295" s="29"/>
      <c r="C295" s="30"/>
      <c r="D295" s="31"/>
      <c r="E295" s="33">
        <f>IF(OR($D295="",$K295=""),"",IF(COUNTIFS(Payments!$G$5:$G$2500,$K295,Payments!$C$5:$C$2500,"&lt;&gt;")=0,"",_xlfn.MAXIFS(Payments!$C$5:$C$2500,Payments!$G$5:$G$2500,$K295)))</f>
      </c>
      <c r="F295" s="34">
        <f>IF(OR($D295="",$K295=""),"",SUMIF(Payments!$G$5:$G$2500,$K295,Payments!$D$5:$D$2500))</f>
      </c>
      <c r="G295" s="36">
        <f>IF($D295="","",ROUND($D295-IF($F295="",0,$F295),2))</f>
      </c>
      <c r="H295" s="35">
        <f>IF(OR($D295="",$K295=""),"",COUNTIF(Payments!$G$5:$G$2500,$K295))</f>
      </c>
      <c r="I295" s="37">
        <f>IF($D295="","",IF(OR($F295="",$F295=0),"Pending",IF(ROUND($F295-$D295,2)&gt;0,"Overpaid",IF(ROUND($F295-$D295,2)=0,"Paid","Partial"))))</f>
      </c>
      <c r="J295" s="29"/>
      <c r="K295">
        <f>IF($A295="","","#"&amp;TRIM(SUBSTITUTE(SUBSTITUTE(SUBSTITUTE(SUBSTITUTE(SUBSTITUTE(SUBSTITUTE($A295,"-",""),"(",""),")",""),".",""),"+","")," ","")))</f>
      </c>
    </row>
    <row r="296" spans="1:11" x14ac:dyDescent="0.3">
      <c r="A296" s="28"/>
      <c r="B296" s="29"/>
      <c r="C296" s="30"/>
      <c r="D296" s="31"/>
      <c r="E296" s="33">
        <f>IF(OR($D296="",$K296=""),"",IF(COUNTIFS(Payments!$G$5:$G$2500,$K296,Payments!$C$5:$C$2500,"&lt;&gt;")=0,"",_xlfn.MAXIFS(Payments!$C$5:$C$2500,Payments!$G$5:$G$2500,$K296)))</f>
      </c>
      <c r="F296" s="34">
        <f>IF(OR($D296="",$K296=""),"",SUMIF(Payments!$G$5:$G$2500,$K296,Payments!$D$5:$D$2500))</f>
      </c>
      <c r="G296" s="36">
        <f>IF($D296="","",ROUND($D296-IF($F296="",0,$F296),2))</f>
      </c>
      <c r="H296" s="35">
        <f>IF(OR($D296="",$K296=""),"",COUNTIF(Payments!$G$5:$G$2500,$K296))</f>
      </c>
      <c r="I296" s="37">
        <f>IF($D296="","",IF(OR($F296="",$F296=0),"Pending",IF(ROUND($F296-$D296,2)&gt;0,"Overpaid",IF(ROUND($F296-$D296,2)=0,"Paid","Partial"))))</f>
      </c>
      <c r="J296" s="29"/>
      <c r="K296">
        <f>IF($A296="","","#"&amp;TRIM(SUBSTITUTE(SUBSTITUTE(SUBSTITUTE(SUBSTITUTE(SUBSTITUTE(SUBSTITUTE($A296,"-",""),"(",""),")",""),".",""),"+","")," ","")))</f>
      </c>
    </row>
    <row r="297" spans="1:11" x14ac:dyDescent="0.3">
      <c r="A297" s="28"/>
      <c r="B297" s="29"/>
      <c r="C297" s="30"/>
      <c r="D297" s="31"/>
      <c r="E297" s="33">
        <f>IF(OR($D297="",$K297=""),"",IF(COUNTIFS(Payments!$G$5:$G$2500,$K297,Payments!$C$5:$C$2500,"&lt;&gt;")=0,"",_xlfn.MAXIFS(Payments!$C$5:$C$2500,Payments!$G$5:$G$2500,$K297)))</f>
      </c>
      <c r="F297" s="34">
        <f>IF(OR($D297="",$K297=""),"",SUMIF(Payments!$G$5:$G$2500,$K297,Payments!$D$5:$D$2500))</f>
      </c>
      <c r="G297" s="36">
        <f>IF($D297="","",ROUND($D297-IF($F297="",0,$F297),2))</f>
      </c>
      <c r="H297" s="35">
        <f>IF(OR($D297="",$K297=""),"",COUNTIF(Payments!$G$5:$G$2500,$K297))</f>
      </c>
      <c r="I297" s="37">
        <f>IF($D297="","",IF(OR($F297="",$F297=0),"Pending",IF(ROUND($F297-$D297,2)&gt;0,"Overpaid",IF(ROUND($F297-$D297,2)=0,"Paid","Partial"))))</f>
      </c>
      <c r="J297" s="29"/>
      <c r="K297">
        <f>IF($A297="","","#"&amp;TRIM(SUBSTITUTE(SUBSTITUTE(SUBSTITUTE(SUBSTITUTE(SUBSTITUTE(SUBSTITUTE($A297,"-",""),"(",""),")",""),".",""),"+","")," ","")))</f>
      </c>
    </row>
    <row r="298" spans="1:11" x14ac:dyDescent="0.3">
      <c r="A298" s="28"/>
      <c r="B298" s="29"/>
      <c r="C298" s="30"/>
      <c r="D298" s="31"/>
      <c r="E298" s="33">
        <f>IF(OR($D298="",$K298=""),"",IF(COUNTIFS(Payments!$G$5:$G$2500,$K298,Payments!$C$5:$C$2500,"&lt;&gt;")=0,"",_xlfn.MAXIFS(Payments!$C$5:$C$2500,Payments!$G$5:$G$2500,$K298)))</f>
      </c>
      <c r="F298" s="34">
        <f>IF(OR($D298="",$K298=""),"",SUMIF(Payments!$G$5:$G$2500,$K298,Payments!$D$5:$D$2500))</f>
      </c>
      <c r="G298" s="36">
        <f>IF($D298="","",ROUND($D298-IF($F298="",0,$F298),2))</f>
      </c>
      <c r="H298" s="35">
        <f>IF(OR($D298="",$K298=""),"",COUNTIF(Payments!$G$5:$G$2500,$K298))</f>
      </c>
      <c r="I298" s="37">
        <f>IF($D298="","",IF(OR($F298="",$F298=0),"Pending",IF(ROUND($F298-$D298,2)&gt;0,"Overpaid",IF(ROUND($F298-$D298,2)=0,"Paid","Partial"))))</f>
      </c>
      <c r="J298" s="29"/>
      <c r="K298">
        <f>IF($A298="","","#"&amp;TRIM(SUBSTITUTE(SUBSTITUTE(SUBSTITUTE(SUBSTITUTE(SUBSTITUTE(SUBSTITUTE($A298,"-",""),"(",""),")",""),".",""),"+","")," ","")))</f>
      </c>
    </row>
    <row r="299" spans="1:11" x14ac:dyDescent="0.3">
      <c r="A299" s="28"/>
      <c r="B299" s="29"/>
      <c r="C299" s="30"/>
      <c r="D299" s="31"/>
      <c r="E299" s="33">
        <f>IF(OR($D299="",$K299=""),"",IF(COUNTIFS(Payments!$G$5:$G$2500,$K299,Payments!$C$5:$C$2500,"&lt;&gt;")=0,"",_xlfn.MAXIFS(Payments!$C$5:$C$2500,Payments!$G$5:$G$2500,$K299)))</f>
      </c>
      <c r="F299" s="34">
        <f>IF(OR($D299="",$K299=""),"",SUMIF(Payments!$G$5:$G$2500,$K299,Payments!$D$5:$D$2500))</f>
      </c>
      <c r="G299" s="36">
        <f>IF($D299="","",ROUND($D299-IF($F299="",0,$F299),2))</f>
      </c>
      <c r="H299" s="35">
        <f>IF(OR($D299="",$K299=""),"",COUNTIF(Payments!$G$5:$G$2500,$K299))</f>
      </c>
      <c r="I299" s="37">
        <f>IF($D299="","",IF(OR($F299="",$F299=0),"Pending",IF(ROUND($F299-$D299,2)&gt;0,"Overpaid",IF(ROUND($F299-$D299,2)=0,"Paid","Partial"))))</f>
      </c>
      <c r="J299" s="29"/>
      <c r="K299">
        <f>IF($A299="","","#"&amp;TRIM(SUBSTITUTE(SUBSTITUTE(SUBSTITUTE(SUBSTITUTE(SUBSTITUTE(SUBSTITUTE($A299,"-",""),"(",""),")",""),".",""),"+","")," ","")))</f>
      </c>
    </row>
    <row r="300" spans="1:11" x14ac:dyDescent="0.3">
      <c r="A300" s="28"/>
      <c r="B300" s="29"/>
      <c r="C300" s="30"/>
      <c r="D300" s="31"/>
      <c r="E300" s="33">
        <f>IF(OR($D300="",$K300=""),"",IF(COUNTIFS(Payments!$G$5:$G$2500,$K300,Payments!$C$5:$C$2500,"&lt;&gt;")=0,"",_xlfn.MAXIFS(Payments!$C$5:$C$2500,Payments!$G$5:$G$2500,$K300)))</f>
      </c>
      <c r="F300" s="34">
        <f>IF(OR($D300="",$K300=""),"",SUMIF(Payments!$G$5:$G$2500,$K300,Payments!$D$5:$D$2500))</f>
      </c>
      <c r="G300" s="36">
        <f>IF($D300="","",ROUND($D300-IF($F300="",0,$F300),2))</f>
      </c>
      <c r="H300" s="35">
        <f>IF(OR($D300="",$K300=""),"",COUNTIF(Payments!$G$5:$G$2500,$K300))</f>
      </c>
      <c r="I300" s="37">
        <f>IF($D300="","",IF(OR($F300="",$F300=0),"Pending",IF(ROUND($F300-$D300,2)&gt;0,"Overpaid",IF(ROUND($F300-$D300,2)=0,"Paid","Partial"))))</f>
      </c>
      <c r="J300" s="29"/>
      <c r="K300">
        <f>IF($A300="","","#"&amp;TRIM(SUBSTITUTE(SUBSTITUTE(SUBSTITUTE(SUBSTITUTE(SUBSTITUTE(SUBSTITUTE($A300,"-",""),"(",""),")",""),".",""),"+","")," ","")))</f>
      </c>
    </row>
    <row r="301" spans="1:11" x14ac:dyDescent="0.3">
      <c r="A301" s="28"/>
      <c r="B301" s="29"/>
      <c r="C301" s="30"/>
      <c r="D301" s="31"/>
      <c r="E301" s="33">
        <f>IF(OR($D301="",$K301=""),"",IF(COUNTIFS(Payments!$G$5:$G$2500,$K301,Payments!$C$5:$C$2500,"&lt;&gt;")=0,"",_xlfn.MAXIFS(Payments!$C$5:$C$2500,Payments!$G$5:$G$2500,$K301)))</f>
      </c>
      <c r="F301" s="34">
        <f>IF(OR($D301="",$K301=""),"",SUMIF(Payments!$G$5:$G$2500,$K301,Payments!$D$5:$D$2500))</f>
      </c>
      <c r="G301" s="36">
        <f>IF($D301="","",ROUND($D301-IF($F301="",0,$F301),2))</f>
      </c>
      <c r="H301" s="35">
        <f>IF(OR($D301="",$K301=""),"",COUNTIF(Payments!$G$5:$G$2500,$K301))</f>
      </c>
      <c r="I301" s="37">
        <f>IF($D301="","",IF(OR($F301="",$F301=0),"Pending",IF(ROUND($F301-$D301,2)&gt;0,"Overpaid",IF(ROUND($F301-$D301,2)=0,"Paid","Partial"))))</f>
      </c>
      <c r="J301" s="29"/>
      <c r="K301">
        <f>IF($A301="","","#"&amp;TRIM(SUBSTITUTE(SUBSTITUTE(SUBSTITUTE(SUBSTITUTE(SUBSTITUTE(SUBSTITUTE($A301,"-",""),"(",""),")",""),".",""),"+","")," ","")))</f>
      </c>
    </row>
    <row r="302" spans="1:11" x14ac:dyDescent="0.3">
      <c r="A302" s="28"/>
      <c r="B302" s="29"/>
      <c r="C302" s="30"/>
      <c r="D302" s="31"/>
      <c r="E302" s="33">
        <f>IF(OR($D302="",$K302=""),"",IF(COUNTIFS(Payments!$G$5:$G$2500,$K302,Payments!$C$5:$C$2500,"&lt;&gt;")=0,"",_xlfn.MAXIFS(Payments!$C$5:$C$2500,Payments!$G$5:$G$2500,$K302)))</f>
      </c>
      <c r="F302" s="34">
        <f>IF(OR($D302="",$K302=""),"",SUMIF(Payments!$G$5:$G$2500,$K302,Payments!$D$5:$D$2500))</f>
      </c>
      <c r="G302" s="36">
        <f>IF($D302="","",ROUND($D302-IF($F302="",0,$F302),2))</f>
      </c>
      <c r="H302" s="35">
        <f>IF(OR($D302="",$K302=""),"",COUNTIF(Payments!$G$5:$G$2500,$K302))</f>
      </c>
      <c r="I302" s="37">
        <f>IF($D302="","",IF(OR($F302="",$F302=0),"Pending",IF(ROUND($F302-$D302,2)&gt;0,"Overpaid",IF(ROUND($F302-$D302,2)=0,"Paid","Partial"))))</f>
      </c>
      <c r="J302" s="29"/>
      <c r="K302">
        <f>IF($A302="","","#"&amp;TRIM(SUBSTITUTE(SUBSTITUTE(SUBSTITUTE(SUBSTITUTE(SUBSTITUTE(SUBSTITUTE($A302,"-",""),"(",""),")",""),".",""),"+","")," ","")))</f>
      </c>
    </row>
    <row r="303" spans="1:11" x14ac:dyDescent="0.3">
      <c r="A303" s="28"/>
      <c r="B303" s="29"/>
      <c r="C303" s="30"/>
      <c r="D303" s="31"/>
      <c r="E303" s="33">
        <f>IF(OR($D303="",$K303=""),"",IF(COUNTIFS(Payments!$G$5:$G$2500,$K303,Payments!$C$5:$C$2500,"&lt;&gt;")=0,"",_xlfn.MAXIFS(Payments!$C$5:$C$2500,Payments!$G$5:$G$2500,$K303)))</f>
      </c>
      <c r="F303" s="34">
        <f>IF(OR($D303="",$K303=""),"",SUMIF(Payments!$G$5:$G$2500,$K303,Payments!$D$5:$D$2500))</f>
      </c>
      <c r="G303" s="36">
        <f>IF($D303="","",ROUND($D303-IF($F303="",0,$F303),2))</f>
      </c>
      <c r="H303" s="35">
        <f>IF(OR($D303="",$K303=""),"",COUNTIF(Payments!$G$5:$G$2500,$K303))</f>
      </c>
      <c r="I303" s="37">
        <f>IF($D303="","",IF(OR($F303="",$F303=0),"Pending",IF(ROUND($F303-$D303,2)&gt;0,"Overpaid",IF(ROUND($F303-$D303,2)=0,"Paid","Partial"))))</f>
      </c>
      <c r="J303" s="29"/>
      <c r="K303">
        <f>IF($A303="","","#"&amp;TRIM(SUBSTITUTE(SUBSTITUTE(SUBSTITUTE(SUBSTITUTE(SUBSTITUTE(SUBSTITUTE($A303,"-",""),"(",""),")",""),".",""),"+","")," ","")))</f>
      </c>
    </row>
    <row r="304" spans="1:11" x14ac:dyDescent="0.3">
      <c r="A304" s="28"/>
      <c r="B304" s="29"/>
      <c r="C304" s="30"/>
      <c r="D304" s="31"/>
      <c r="E304" s="33">
        <f>IF(OR($D304="",$K304=""),"",IF(COUNTIFS(Payments!$G$5:$G$2500,$K304,Payments!$C$5:$C$2500,"&lt;&gt;")=0,"",_xlfn.MAXIFS(Payments!$C$5:$C$2500,Payments!$G$5:$G$2500,$K304)))</f>
      </c>
      <c r="F304" s="34">
        <f>IF(OR($D304="",$K304=""),"",SUMIF(Payments!$G$5:$G$2500,$K304,Payments!$D$5:$D$2500))</f>
      </c>
      <c r="G304" s="36">
        <f>IF($D304="","",ROUND($D304-IF($F304="",0,$F304),2))</f>
      </c>
      <c r="H304" s="35">
        <f>IF(OR($D304="",$K304=""),"",COUNTIF(Payments!$G$5:$G$2500,$K304))</f>
      </c>
      <c r="I304" s="37">
        <f>IF($D304="","",IF(OR($F304="",$F304=0),"Pending",IF(ROUND($F304-$D304,2)&gt;0,"Overpaid",IF(ROUND($F304-$D304,2)=0,"Paid","Partial"))))</f>
      </c>
      <c r="J304" s="29"/>
      <c r="K304">
        <f>IF($A304="","","#"&amp;TRIM(SUBSTITUTE(SUBSTITUTE(SUBSTITUTE(SUBSTITUTE(SUBSTITUTE(SUBSTITUTE($A304,"-",""),"(",""),")",""),".",""),"+","")," ","")))</f>
      </c>
    </row>
    <row r="305" spans="1:11" x14ac:dyDescent="0.3">
      <c r="A305" s="28"/>
      <c r="B305" s="29"/>
      <c r="C305" s="30"/>
      <c r="D305" s="31"/>
      <c r="E305" s="33">
        <f>IF(OR($D305="",$K305=""),"",IF(COUNTIFS(Payments!$G$5:$G$2500,$K305,Payments!$C$5:$C$2500,"&lt;&gt;")=0,"",_xlfn.MAXIFS(Payments!$C$5:$C$2500,Payments!$G$5:$G$2500,$K305)))</f>
      </c>
      <c r="F305" s="34">
        <f>IF(OR($D305="",$K305=""),"",SUMIF(Payments!$G$5:$G$2500,$K305,Payments!$D$5:$D$2500))</f>
      </c>
      <c r="G305" s="36">
        <f>IF($D305="","",ROUND($D305-IF($F305="",0,$F305),2))</f>
      </c>
      <c r="H305" s="35">
        <f>IF(OR($D305="",$K305=""),"",COUNTIF(Payments!$G$5:$G$2500,$K305))</f>
      </c>
      <c r="I305" s="37">
        <f>IF($D305="","",IF(OR($F305="",$F305=0),"Pending",IF(ROUND($F305-$D305,2)&gt;0,"Overpaid",IF(ROUND($F305-$D305,2)=0,"Paid","Partial"))))</f>
      </c>
      <c r="J305" s="29"/>
      <c r="K305">
        <f>IF($A305="","","#"&amp;TRIM(SUBSTITUTE(SUBSTITUTE(SUBSTITUTE(SUBSTITUTE(SUBSTITUTE(SUBSTITUTE($A305,"-",""),"(",""),")",""),".",""),"+","")," ","")))</f>
      </c>
    </row>
    <row r="306" spans="1:11" x14ac:dyDescent="0.3">
      <c r="A306" s="28"/>
      <c r="B306" s="29"/>
      <c r="C306" s="30"/>
      <c r="D306" s="31"/>
      <c r="E306" s="33">
        <f>IF(OR($D306="",$K306=""),"",IF(COUNTIFS(Payments!$G$5:$G$2500,$K306,Payments!$C$5:$C$2500,"&lt;&gt;")=0,"",_xlfn.MAXIFS(Payments!$C$5:$C$2500,Payments!$G$5:$G$2500,$K306)))</f>
      </c>
      <c r="F306" s="34">
        <f>IF(OR($D306="",$K306=""),"",SUMIF(Payments!$G$5:$G$2500,$K306,Payments!$D$5:$D$2500))</f>
      </c>
      <c r="G306" s="36">
        <f>IF($D306="","",ROUND($D306-IF($F306="",0,$F306),2))</f>
      </c>
      <c r="H306" s="35">
        <f>IF(OR($D306="",$K306=""),"",COUNTIF(Payments!$G$5:$G$2500,$K306))</f>
      </c>
      <c r="I306" s="37">
        <f>IF($D306="","",IF(OR($F306="",$F306=0),"Pending",IF(ROUND($F306-$D306,2)&gt;0,"Overpaid",IF(ROUND($F306-$D306,2)=0,"Paid","Partial"))))</f>
      </c>
      <c r="J306" s="29"/>
      <c r="K306">
        <f>IF($A306="","","#"&amp;TRIM(SUBSTITUTE(SUBSTITUTE(SUBSTITUTE(SUBSTITUTE(SUBSTITUTE(SUBSTITUTE($A306,"-",""),"(",""),")",""),".",""),"+","")," ","")))</f>
      </c>
    </row>
    <row r="307" spans="1:11" x14ac:dyDescent="0.3">
      <c r="A307" s="28"/>
      <c r="B307" s="29"/>
      <c r="C307" s="30"/>
      <c r="D307" s="31"/>
      <c r="E307" s="33">
        <f>IF(OR($D307="",$K307=""),"",IF(COUNTIFS(Payments!$G$5:$G$2500,$K307,Payments!$C$5:$C$2500,"&lt;&gt;")=0,"",_xlfn.MAXIFS(Payments!$C$5:$C$2500,Payments!$G$5:$G$2500,$K307)))</f>
      </c>
      <c r="F307" s="34">
        <f>IF(OR($D307="",$K307=""),"",SUMIF(Payments!$G$5:$G$2500,$K307,Payments!$D$5:$D$2500))</f>
      </c>
      <c r="G307" s="36">
        <f>IF($D307="","",ROUND($D307-IF($F307="",0,$F307),2))</f>
      </c>
      <c r="H307" s="35">
        <f>IF(OR($D307="",$K307=""),"",COUNTIF(Payments!$G$5:$G$2500,$K307))</f>
      </c>
      <c r="I307" s="37">
        <f>IF($D307="","",IF(OR($F307="",$F307=0),"Pending",IF(ROUND($F307-$D307,2)&gt;0,"Overpaid",IF(ROUND($F307-$D307,2)=0,"Paid","Partial"))))</f>
      </c>
      <c r="J307" s="29"/>
      <c r="K307">
        <f>IF($A307="","","#"&amp;TRIM(SUBSTITUTE(SUBSTITUTE(SUBSTITUTE(SUBSTITUTE(SUBSTITUTE(SUBSTITUTE($A307,"-",""),"(",""),")",""),".",""),"+","")," ","")))</f>
      </c>
    </row>
    <row r="308" spans="1:11" x14ac:dyDescent="0.3">
      <c r="A308" s="28"/>
      <c r="B308" s="29"/>
      <c r="C308" s="30"/>
      <c r="D308" s="31"/>
      <c r="E308" s="33">
        <f>IF(OR($D308="",$K308=""),"",IF(COUNTIFS(Payments!$G$5:$G$2500,$K308,Payments!$C$5:$C$2500,"&lt;&gt;")=0,"",_xlfn.MAXIFS(Payments!$C$5:$C$2500,Payments!$G$5:$G$2500,$K308)))</f>
      </c>
      <c r="F308" s="34">
        <f>IF(OR($D308="",$K308=""),"",SUMIF(Payments!$G$5:$G$2500,$K308,Payments!$D$5:$D$2500))</f>
      </c>
      <c r="G308" s="36">
        <f>IF($D308="","",ROUND($D308-IF($F308="",0,$F308),2))</f>
      </c>
      <c r="H308" s="35">
        <f>IF(OR($D308="",$K308=""),"",COUNTIF(Payments!$G$5:$G$2500,$K308))</f>
      </c>
      <c r="I308" s="37">
        <f>IF($D308="","",IF(OR($F308="",$F308=0),"Pending",IF(ROUND($F308-$D308,2)&gt;0,"Overpaid",IF(ROUND($F308-$D308,2)=0,"Paid","Partial"))))</f>
      </c>
      <c r="J308" s="29"/>
      <c r="K308">
        <f>IF($A308="","","#"&amp;TRIM(SUBSTITUTE(SUBSTITUTE(SUBSTITUTE(SUBSTITUTE(SUBSTITUTE(SUBSTITUTE($A308,"-",""),"(",""),")",""),".",""),"+","")," ","")))</f>
      </c>
    </row>
    <row r="309" spans="1:11" x14ac:dyDescent="0.3">
      <c r="A309" s="28"/>
      <c r="B309" s="29"/>
      <c r="C309" s="30"/>
      <c r="D309" s="31"/>
      <c r="E309" s="33">
        <f>IF(OR($D309="",$K309=""),"",IF(COUNTIFS(Payments!$G$5:$G$2500,$K309,Payments!$C$5:$C$2500,"&lt;&gt;")=0,"",_xlfn.MAXIFS(Payments!$C$5:$C$2500,Payments!$G$5:$G$2500,$K309)))</f>
      </c>
      <c r="F309" s="34">
        <f>IF(OR($D309="",$K309=""),"",SUMIF(Payments!$G$5:$G$2500,$K309,Payments!$D$5:$D$2500))</f>
      </c>
      <c r="G309" s="36">
        <f>IF($D309="","",ROUND($D309-IF($F309="",0,$F309),2))</f>
      </c>
      <c r="H309" s="35">
        <f>IF(OR($D309="",$K309=""),"",COUNTIF(Payments!$G$5:$G$2500,$K309))</f>
      </c>
      <c r="I309" s="37">
        <f>IF($D309="","",IF(OR($F309="",$F309=0),"Pending",IF(ROUND($F309-$D309,2)&gt;0,"Overpaid",IF(ROUND($F309-$D309,2)=0,"Paid","Partial"))))</f>
      </c>
      <c r="J309" s="29"/>
      <c r="K309">
        <f>IF($A309="","","#"&amp;TRIM(SUBSTITUTE(SUBSTITUTE(SUBSTITUTE(SUBSTITUTE(SUBSTITUTE(SUBSTITUTE($A309,"-",""),"(",""),")",""),".",""),"+","")," ","")))</f>
      </c>
    </row>
    <row r="310" spans="1:11" x14ac:dyDescent="0.3">
      <c r="A310" s="28"/>
      <c r="B310" s="29"/>
      <c r="C310" s="30"/>
      <c r="D310" s="31"/>
      <c r="E310" s="33">
        <f>IF(OR($D310="",$K310=""),"",IF(COUNTIFS(Payments!$G$5:$G$2500,$K310,Payments!$C$5:$C$2500,"&lt;&gt;")=0,"",_xlfn.MAXIFS(Payments!$C$5:$C$2500,Payments!$G$5:$G$2500,$K310)))</f>
      </c>
      <c r="F310" s="34">
        <f>IF(OR($D310="",$K310=""),"",SUMIF(Payments!$G$5:$G$2500,$K310,Payments!$D$5:$D$2500))</f>
      </c>
      <c r="G310" s="36">
        <f>IF($D310="","",ROUND($D310-IF($F310="",0,$F310),2))</f>
      </c>
      <c r="H310" s="35">
        <f>IF(OR($D310="",$K310=""),"",COUNTIF(Payments!$G$5:$G$2500,$K310))</f>
      </c>
      <c r="I310" s="37">
        <f>IF($D310="","",IF(OR($F310="",$F310=0),"Pending",IF(ROUND($F310-$D310,2)&gt;0,"Overpaid",IF(ROUND($F310-$D310,2)=0,"Paid","Partial"))))</f>
      </c>
      <c r="J310" s="29"/>
      <c r="K310">
        <f>IF($A310="","","#"&amp;TRIM(SUBSTITUTE(SUBSTITUTE(SUBSTITUTE(SUBSTITUTE(SUBSTITUTE(SUBSTITUTE($A310,"-",""),"(",""),")",""),".",""),"+","")," ","")))</f>
      </c>
    </row>
    <row r="311" spans="1:11" x14ac:dyDescent="0.3">
      <c r="A311" s="28"/>
      <c r="B311" s="29"/>
      <c r="C311" s="30"/>
      <c r="D311" s="31"/>
      <c r="E311" s="33">
        <f>IF(OR($D311="",$K311=""),"",IF(COUNTIFS(Payments!$G$5:$G$2500,$K311,Payments!$C$5:$C$2500,"&lt;&gt;")=0,"",_xlfn.MAXIFS(Payments!$C$5:$C$2500,Payments!$G$5:$G$2500,$K311)))</f>
      </c>
      <c r="F311" s="34">
        <f>IF(OR($D311="",$K311=""),"",SUMIF(Payments!$G$5:$G$2500,$K311,Payments!$D$5:$D$2500))</f>
      </c>
      <c r="G311" s="36">
        <f>IF($D311="","",ROUND($D311-IF($F311="",0,$F311),2))</f>
      </c>
      <c r="H311" s="35">
        <f>IF(OR($D311="",$K311=""),"",COUNTIF(Payments!$G$5:$G$2500,$K311))</f>
      </c>
      <c r="I311" s="37">
        <f>IF($D311="","",IF(OR($F311="",$F311=0),"Pending",IF(ROUND($F311-$D311,2)&gt;0,"Overpaid",IF(ROUND($F311-$D311,2)=0,"Paid","Partial"))))</f>
      </c>
      <c r="J311" s="29"/>
      <c r="K311">
        <f>IF($A311="","","#"&amp;TRIM(SUBSTITUTE(SUBSTITUTE(SUBSTITUTE(SUBSTITUTE(SUBSTITUTE(SUBSTITUTE($A311,"-",""),"(",""),")",""),".",""),"+","")," ","")))</f>
      </c>
    </row>
    <row r="312" spans="1:11" x14ac:dyDescent="0.3">
      <c r="A312" s="28"/>
      <c r="B312" s="29"/>
      <c r="C312" s="30"/>
      <c r="D312" s="31"/>
      <c r="E312" s="33">
        <f>IF(OR($D312="",$K312=""),"",IF(COUNTIFS(Payments!$G$5:$G$2500,$K312,Payments!$C$5:$C$2500,"&lt;&gt;")=0,"",_xlfn.MAXIFS(Payments!$C$5:$C$2500,Payments!$G$5:$G$2500,$K312)))</f>
      </c>
      <c r="F312" s="34">
        <f>IF(OR($D312="",$K312=""),"",SUMIF(Payments!$G$5:$G$2500,$K312,Payments!$D$5:$D$2500))</f>
      </c>
      <c r="G312" s="36">
        <f>IF($D312="","",ROUND($D312-IF($F312="",0,$F312),2))</f>
      </c>
      <c r="H312" s="35">
        <f>IF(OR($D312="",$K312=""),"",COUNTIF(Payments!$G$5:$G$2500,$K312))</f>
      </c>
      <c r="I312" s="37">
        <f>IF($D312="","",IF(OR($F312="",$F312=0),"Pending",IF(ROUND($F312-$D312,2)&gt;0,"Overpaid",IF(ROUND($F312-$D312,2)=0,"Paid","Partial"))))</f>
      </c>
      <c r="J312" s="29"/>
      <c r="K312">
        <f>IF($A312="","","#"&amp;TRIM(SUBSTITUTE(SUBSTITUTE(SUBSTITUTE(SUBSTITUTE(SUBSTITUTE(SUBSTITUTE($A312,"-",""),"(",""),")",""),".",""),"+","")," ","")))</f>
      </c>
    </row>
    <row r="313" spans="1:11" x14ac:dyDescent="0.3">
      <c r="A313" s="28"/>
      <c r="B313" s="29"/>
      <c r="C313" s="30"/>
      <c r="D313" s="31"/>
      <c r="E313" s="33">
        <f>IF(OR($D313="",$K313=""),"",IF(COUNTIFS(Payments!$G$5:$G$2500,$K313,Payments!$C$5:$C$2500,"&lt;&gt;")=0,"",_xlfn.MAXIFS(Payments!$C$5:$C$2500,Payments!$G$5:$G$2500,$K313)))</f>
      </c>
      <c r="F313" s="34">
        <f>IF(OR($D313="",$K313=""),"",SUMIF(Payments!$G$5:$G$2500,$K313,Payments!$D$5:$D$2500))</f>
      </c>
      <c r="G313" s="36">
        <f>IF($D313="","",ROUND($D313-IF($F313="",0,$F313),2))</f>
      </c>
      <c r="H313" s="35">
        <f>IF(OR($D313="",$K313=""),"",COUNTIF(Payments!$G$5:$G$2500,$K313))</f>
      </c>
      <c r="I313" s="37">
        <f>IF($D313="","",IF(OR($F313="",$F313=0),"Pending",IF(ROUND($F313-$D313,2)&gt;0,"Overpaid",IF(ROUND($F313-$D313,2)=0,"Paid","Partial"))))</f>
      </c>
      <c r="J313" s="29"/>
      <c r="K313">
        <f>IF($A313="","","#"&amp;TRIM(SUBSTITUTE(SUBSTITUTE(SUBSTITUTE(SUBSTITUTE(SUBSTITUTE(SUBSTITUTE($A313,"-",""),"(",""),")",""),".",""),"+","")," ","")))</f>
      </c>
    </row>
    <row r="314" spans="1:11" x14ac:dyDescent="0.3">
      <c r="A314" s="28"/>
      <c r="B314" s="29"/>
      <c r="C314" s="30"/>
      <c r="D314" s="31"/>
      <c r="E314" s="33">
        <f>IF(OR($D314="",$K314=""),"",IF(COUNTIFS(Payments!$G$5:$G$2500,$K314,Payments!$C$5:$C$2500,"&lt;&gt;")=0,"",_xlfn.MAXIFS(Payments!$C$5:$C$2500,Payments!$G$5:$G$2500,$K314)))</f>
      </c>
      <c r="F314" s="34">
        <f>IF(OR($D314="",$K314=""),"",SUMIF(Payments!$G$5:$G$2500,$K314,Payments!$D$5:$D$2500))</f>
      </c>
      <c r="G314" s="36">
        <f>IF($D314="","",ROUND($D314-IF($F314="",0,$F314),2))</f>
      </c>
      <c r="H314" s="35">
        <f>IF(OR($D314="",$K314=""),"",COUNTIF(Payments!$G$5:$G$2500,$K314))</f>
      </c>
      <c r="I314" s="37">
        <f>IF($D314="","",IF(OR($F314="",$F314=0),"Pending",IF(ROUND($F314-$D314,2)&gt;0,"Overpaid",IF(ROUND($F314-$D314,2)=0,"Paid","Partial"))))</f>
      </c>
      <c r="J314" s="29"/>
      <c r="K314">
        <f>IF($A314="","","#"&amp;TRIM(SUBSTITUTE(SUBSTITUTE(SUBSTITUTE(SUBSTITUTE(SUBSTITUTE(SUBSTITUTE($A314,"-",""),"(",""),")",""),".",""),"+","")," ","")))</f>
      </c>
    </row>
    <row r="315" spans="1:11" x14ac:dyDescent="0.3">
      <c r="A315" s="28"/>
      <c r="B315" s="29"/>
      <c r="C315" s="30"/>
      <c r="D315" s="31"/>
      <c r="E315" s="33">
        <f>IF(OR($D315="",$K315=""),"",IF(COUNTIFS(Payments!$G$5:$G$2500,$K315,Payments!$C$5:$C$2500,"&lt;&gt;")=0,"",_xlfn.MAXIFS(Payments!$C$5:$C$2500,Payments!$G$5:$G$2500,$K315)))</f>
      </c>
      <c r="F315" s="34">
        <f>IF(OR($D315="",$K315=""),"",SUMIF(Payments!$G$5:$G$2500,$K315,Payments!$D$5:$D$2500))</f>
      </c>
      <c r="G315" s="36">
        <f>IF($D315="","",ROUND($D315-IF($F315="",0,$F315),2))</f>
      </c>
      <c r="H315" s="35">
        <f>IF(OR($D315="",$K315=""),"",COUNTIF(Payments!$G$5:$G$2500,$K315))</f>
      </c>
      <c r="I315" s="37">
        <f>IF($D315="","",IF(OR($F315="",$F315=0),"Pending",IF(ROUND($F315-$D315,2)&gt;0,"Overpaid",IF(ROUND($F315-$D315,2)=0,"Paid","Partial"))))</f>
      </c>
      <c r="J315" s="29"/>
      <c r="K315">
        <f>IF($A315="","","#"&amp;TRIM(SUBSTITUTE(SUBSTITUTE(SUBSTITUTE(SUBSTITUTE(SUBSTITUTE(SUBSTITUTE($A315,"-",""),"(",""),")",""),".",""),"+","")," ","")))</f>
      </c>
    </row>
    <row r="316" spans="1:11" x14ac:dyDescent="0.3">
      <c r="A316" s="28"/>
      <c r="B316" s="29"/>
      <c r="C316" s="30"/>
      <c r="D316" s="31"/>
      <c r="E316" s="33">
        <f>IF(OR($D316="",$K316=""),"",IF(COUNTIFS(Payments!$G$5:$G$2500,$K316,Payments!$C$5:$C$2500,"&lt;&gt;")=0,"",_xlfn.MAXIFS(Payments!$C$5:$C$2500,Payments!$G$5:$G$2500,$K316)))</f>
      </c>
      <c r="F316" s="34">
        <f>IF(OR($D316="",$K316=""),"",SUMIF(Payments!$G$5:$G$2500,$K316,Payments!$D$5:$D$2500))</f>
      </c>
      <c r="G316" s="36">
        <f>IF($D316="","",ROUND($D316-IF($F316="",0,$F316),2))</f>
      </c>
      <c r="H316" s="35">
        <f>IF(OR($D316="",$K316=""),"",COUNTIF(Payments!$G$5:$G$2500,$K316))</f>
      </c>
      <c r="I316" s="37">
        <f>IF($D316="","",IF(OR($F316="",$F316=0),"Pending",IF(ROUND($F316-$D316,2)&gt;0,"Overpaid",IF(ROUND($F316-$D316,2)=0,"Paid","Partial"))))</f>
      </c>
      <c r="J316" s="29"/>
      <c r="K316">
        <f>IF($A316="","","#"&amp;TRIM(SUBSTITUTE(SUBSTITUTE(SUBSTITUTE(SUBSTITUTE(SUBSTITUTE(SUBSTITUTE($A316,"-",""),"(",""),")",""),".",""),"+","")," ","")))</f>
      </c>
    </row>
    <row r="317" spans="1:11" x14ac:dyDescent="0.3">
      <c r="A317" s="28"/>
      <c r="B317" s="29"/>
      <c r="C317" s="30"/>
      <c r="D317" s="31"/>
      <c r="E317" s="33">
        <f>IF(OR($D317="",$K317=""),"",IF(COUNTIFS(Payments!$G$5:$G$2500,$K317,Payments!$C$5:$C$2500,"&lt;&gt;")=0,"",_xlfn.MAXIFS(Payments!$C$5:$C$2500,Payments!$G$5:$G$2500,$K317)))</f>
      </c>
      <c r="F317" s="34">
        <f>IF(OR($D317="",$K317=""),"",SUMIF(Payments!$G$5:$G$2500,$K317,Payments!$D$5:$D$2500))</f>
      </c>
      <c r="G317" s="36">
        <f>IF($D317="","",ROUND($D317-IF($F317="",0,$F317),2))</f>
      </c>
      <c r="H317" s="35">
        <f>IF(OR($D317="",$K317=""),"",COUNTIF(Payments!$G$5:$G$2500,$K317))</f>
      </c>
      <c r="I317" s="37">
        <f>IF($D317="","",IF(OR($F317="",$F317=0),"Pending",IF(ROUND($F317-$D317,2)&gt;0,"Overpaid",IF(ROUND($F317-$D317,2)=0,"Paid","Partial"))))</f>
      </c>
      <c r="J317" s="29"/>
      <c r="K317">
        <f>IF($A317="","","#"&amp;TRIM(SUBSTITUTE(SUBSTITUTE(SUBSTITUTE(SUBSTITUTE(SUBSTITUTE(SUBSTITUTE($A317,"-",""),"(",""),")",""),".",""),"+","")," ","")))</f>
      </c>
    </row>
    <row r="318" spans="1:11" x14ac:dyDescent="0.3">
      <c r="A318" s="28"/>
      <c r="B318" s="29"/>
      <c r="C318" s="30"/>
      <c r="D318" s="31"/>
      <c r="E318" s="33">
        <f>IF(OR($D318="",$K318=""),"",IF(COUNTIFS(Payments!$G$5:$G$2500,$K318,Payments!$C$5:$C$2500,"&lt;&gt;")=0,"",_xlfn.MAXIFS(Payments!$C$5:$C$2500,Payments!$G$5:$G$2500,$K318)))</f>
      </c>
      <c r="F318" s="34">
        <f>IF(OR($D318="",$K318=""),"",SUMIF(Payments!$G$5:$G$2500,$K318,Payments!$D$5:$D$2500))</f>
      </c>
      <c r="G318" s="36">
        <f>IF($D318="","",ROUND($D318-IF($F318="",0,$F318),2))</f>
      </c>
      <c r="H318" s="35">
        <f>IF(OR($D318="",$K318=""),"",COUNTIF(Payments!$G$5:$G$2500,$K318))</f>
      </c>
      <c r="I318" s="37">
        <f>IF($D318="","",IF(OR($F318="",$F318=0),"Pending",IF(ROUND($F318-$D318,2)&gt;0,"Overpaid",IF(ROUND($F318-$D318,2)=0,"Paid","Partial"))))</f>
      </c>
      <c r="J318" s="29"/>
      <c r="K318">
        <f>IF($A318="","","#"&amp;TRIM(SUBSTITUTE(SUBSTITUTE(SUBSTITUTE(SUBSTITUTE(SUBSTITUTE(SUBSTITUTE($A318,"-",""),"(",""),")",""),".",""),"+","")," ","")))</f>
      </c>
    </row>
    <row r="319" spans="1:11" x14ac:dyDescent="0.3">
      <c r="A319" s="28"/>
      <c r="B319" s="29"/>
      <c r="C319" s="30"/>
      <c r="D319" s="31"/>
      <c r="E319" s="33">
        <f>IF(OR($D319="",$K319=""),"",IF(COUNTIFS(Payments!$G$5:$G$2500,$K319,Payments!$C$5:$C$2500,"&lt;&gt;")=0,"",_xlfn.MAXIFS(Payments!$C$5:$C$2500,Payments!$G$5:$G$2500,$K319)))</f>
      </c>
      <c r="F319" s="34">
        <f>IF(OR($D319="",$K319=""),"",SUMIF(Payments!$G$5:$G$2500,$K319,Payments!$D$5:$D$2500))</f>
      </c>
      <c r="G319" s="36">
        <f>IF($D319="","",ROUND($D319-IF($F319="",0,$F319),2))</f>
      </c>
      <c r="H319" s="35">
        <f>IF(OR($D319="",$K319=""),"",COUNTIF(Payments!$G$5:$G$2500,$K319))</f>
      </c>
      <c r="I319" s="37">
        <f>IF($D319="","",IF(OR($F319="",$F319=0),"Pending",IF(ROUND($F319-$D319,2)&gt;0,"Overpaid",IF(ROUND($F319-$D319,2)=0,"Paid","Partial"))))</f>
      </c>
      <c r="J319" s="29"/>
      <c r="K319">
        <f>IF($A319="","","#"&amp;TRIM(SUBSTITUTE(SUBSTITUTE(SUBSTITUTE(SUBSTITUTE(SUBSTITUTE(SUBSTITUTE($A319,"-",""),"(",""),")",""),".",""),"+","")," ","")))</f>
      </c>
    </row>
    <row r="320" spans="1:11" x14ac:dyDescent="0.3">
      <c r="A320" s="28"/>
      <c r="B320" s="29"/>
      <c r="C320" s="30"/>
      <c r="D320" s="31"/>
      <c r="E320" s="33">
        <f>IF(OR($D320="",$K320=""),"",IF(COUNTIFS(Payments!$G$5:$G$2500,$K320,Payments!$C$5:$C$2500,"&lt;&gt;")=0,"",_xlfn.MAXIFS(Payments!$C$5:$C$2500,Payments!$G$5:$G$2500,$K320)))</f>
      </c>
      <c r="F320" s="34">
        <f>IF(OR($D320="",$K320=""),"",SUMIF(Payments!$G$5:$G$2500,$K320,Payments!$D$5:$D$2500))</f>
      </c>
      <c r="G320" s="36">
        <f>IF($D320="","",ROUND($D320-IF($F320="",0,$F320),2))</f>
      </c>
      <c r="H320" s="35">
        <f>IF(OR($D320="",$K320=""),"",COUNTIF(Payments!$G$5:$G$2500,$K320))</f>
      </c>
      <c r="I320" s="37">
        <f>IF($D320="","",IF(OR($F320="",$F320=0),"Pending",IF(ROUND($F320-$D320,2)&gt;0,"Overpaid",IF(ROUND($F320-$D320,2)=0,"Paid","Partial"))))</f>
      </c>
      <c r="J320" s="29"/>
      <c r="K320">
        <f>IF($A320="","","#"&amp;TRIM(SUBSTITUTE(SUBSTITUTE(SUBSTITUTE(SUBSTITUTE(SUBSTITUTE(SUBSTITUTE($A320,"-",""),"(",""),")",""),".",""),"+","")," ","")))</f>
      </c>
    </row>
    <row r="321" spans="1:11" x14ac:dyDescent="0.3">
      <c r="A321" s="28"/>
      <c r="B321" s="29"/>
      <c r="C321" s="30"/>
      <c r="D321" s="31"/>
      <c r="E321" s="33">
        <f>IF(OR($D321="",$K321=""),"",IF(COUNTIFS(Payments!$G$5:$G$2500,$K321,Payments!$C$5:$C$2500,"&lt;&gt;")=0,"",_xlfn.MAXIFS(Payments!$C$5:$C$2500,Payments!$G$5:$G$2500,$K321)))</f>
      </c>
      <c r="F321" s="34">
        <f>IF(OR($D321="",$K321=""),"",SUMIF(Payments!$G$5:$G$2500,$K321,Payments!$D$5:$D$2500))</f>
      </c>
      <c r="G321" s="36">
        <f>IF($D321="","",ROUND($D321-IF($F321="",0,$F321),2))</f>
      </c>
      <c r="H321" s="35">
        <f>IF(OR($D321="",$K321=""),"",COUNTIF(Payments!$G$5:$G$2500,$K321))</f>
      </c>
      <c r="I321" s="37">
        <f>IF($D321="","",IF(OR($F321="",$F321=0),"Pending",IF(ROUND($F321-$D321,2)&gt;0,"Overpaid",IF(ROUND($F321-$D321,2)=0,"Paid","Partial"))))</f>
      </c>
      <c r="J321" s="29"/>
      <c r="K321">
        <f>IF($A321="","","#"&amp;TRIM(SUBSTITUTE(SUBSTITUTE(SUBSTITUTE(SUBSTITUTE(SUBSTITUTE(SUBSTITUTE($A321,"-",""),"(",""),")",""),".",""),"+","")," ","")))</f>
      </c>
    </row>
    <row r="322" spans="1:11" x14ac:dyDescent="0.3">
      <c r="A322" s="28"/>
      <c r="B322" s="29"/>
      <c r="C322" s="30"/>
      <c r="D322" s="31"/>
      <c r="E322" s="33">
        <f>IF(OR($D322="",$K322=""),"",IF(COUNTIFS(Payments!$G$5:$G$2500,$K322,Payments!$C$5:$C$2500,"&lt;&gt;")=0,"",_xlfn.MAXIFS(Payments!$C$5:$C$2500,Payments!$G$5:$G$2500,$K322)))</f>
      </c>
      <c r="F322" s="34">
        <f>IF(OR($D322="",$K322=""),"",SUMIF(Payments!$G$5:$G$2500,$K322,Payments!$D$5:$D$2500))</f>
      </c>
      <c r="G322" s="36">
        <f>IF($D322="","",ROUND($D322-IF($F322="",0,$F322),2))</f>
      </c>
      <c r="H322" s="35">
        <f>IF(OR($D322="",$K322=""),"",COUNTIF(Payments!$G$5:$G$2500,$K322))</f>
      </c>
      <c r="I322" s="37">
        <f>IF($D322="","",IF(OR($F322="",$F322=0),"Pending",IF(ROUND($F322-$D322,2)&gt;0,"Overpaid",IF(ROUND($F322-$D322,2)=0,"Paid","Partial"))))</f>
      </c>
      <c r="J322" s="29"/>
      <c r="K322">
        <f>IF($A322="","","#"&amp;TRIM(SUBSTITUTE(SUBSTITUTE(SUBSTITUTE(SUBSTITUTE(SUBSTITUTE(SUBSTITUTE($A322,"-",""),"(",""),")",""),".",""),"+","")," ","")))</f>
      </c>
    </row>
    <row r="323" spans="1:11" x14ac:dyDescent="0.3">
      <c r="A323" s="28"/>
      <c r="B323" s="29"/>
      <c r="C323" s="30"/>
      <c r="D323" s="31"/>
      <c r="E323" s="33">
        <f>IF(OR($D323="",$K323=""),"",IF(COUNTIFS(Payments!$G$5:$G$2500,$K323,Payments!$C$5:$C$2500,"&lt;&gt;")=0,"",_xlfn.MAXIFS(Payments!$C$5:$C$2500,Payments!$G$5:$G$2500,$K323)))</f>
      </c>
      <c r="F323" s="34">
        <f>IF(OR($D323="",$K323=""),"",SUMIF(Payments!$G$5:$G$2500,$K323,Payments!$D$5:$D$2500))</f>
      </c>
      <c r="G323" s="36">
        <f>IF($D323="","",ROUND($D323-IF($F323="",0,$F323),2))</f>
      </c>
      <c r="H323" s="35">
        <f>IF(OR($D323="",$K323=""),"",COUNTIF(Payments!$G$5:$G$2500,$K323))</f>
      </c>
      <c r="I323" s="37">
        <f>IF($D323="","",IF(OR($F323="",$F323=0),"Pending",IF(ROUND($F323-$D323,2)&gt;0,"Overpaid",IF(ROUND($F323-$D323,2)=0,"Paid","Partial"))))</f>
      </c>
      <c r="J323" s="29"/>
      <c r="K323">
        <f>IF($A323="","","#"&amp;TRIM(SUBSTITUTE(SUBSTITUTE(SUBSTITUTE(SUBSTITUTE(SUBSTITUTE(SUBSTITUTE($A323,"-",""),"(",""),")",""),".",""),"+","")," ","")))</f>
      </c>
    </row>
    <row r="324" spans="1:11" x14ac:dyDescent="0.3">
      <c r="A324" s="28"/>
      <c r="B324" s="29"/>
      <c r="C324" s="30"/>
      <c r="D324" s="31"/>
      <c r="E324" s="33">
        <f>IF(OR($D324="",$K324=""),"",IF(COUNTIFS(Payments!$G$5:$G$2500,$K324,Payments!$C$5:$C$2500,"&lt;&gt;")=0,"",_xlfn.MAXIFS(Payments!$C$5:$C$2500,Payments!$G$5:$G$2500,$K324)))</f>
      </c>
      <c r="F324" s="34">
        <f>IF(OR($D324="",$K324=""),"",SUMIF(Payments!$G$5:$G$2500,$K324,Payments!$D$5:$D$2500))</f>
      </c>
      <c r="G324" s="36">
        <f>IF($D324="","",ROUND($D324-IF($F324="",0,$F324),2))</f>
      </c>
      <c r="H324" s="35">
        <f>IF(OR($D324="",$K324=""),"",COUNTIF(Payments!$G$5:$G$2500,$K324))</f>
      </c>
      <c r="I324" s="37">
        <f>IF($D324="","",IF(OR($F324="",$F324=0),"Pending",IF(ROUND($F324-$D324,2)&gt;0,"Overpaid",IF(ROUND($F324-$D324,2)=0,"Paid","Partial"))))</f>
      </c>
      <c r="J324" s="29"/>
      <c r="K324">
        <f>IF($A324="","","#"&amp;TRIM(SUBSTITUTE(SUBSTITUTE(SUBSTITUTE(SUBSTITUTE(SUBSTITUTE(SUBSTITUTE($A324,"-",""),"(",""),")",""),".",""),"+","")," ","")))</f>
      </c>
    </row>
    <row r="325" spans="1:11" x14ac:dyDescent="0.3">
      <c r="A325" s="28"/>
      <c r="B325" s="29"/>
      <c r="C325" s="30"/>
      <c r="D325" s="31"/>
      <c r="E325" s="33">
        <f>IF(OR($D325="",$K325=""),"",IF(COUNTIFS(Payments!$G$5:$G$2500,$K325,Payments!$C$5:$C$2500,"&lt;&gt;")=0,"",_xlfn.MAXIFS(Payments!$C$5:$C$2500,Payments!$G$5:$G$2500,$K325)))</f>
      </c>
      <c r="F325" s="34">
        <f>IF(OR($D325="",$K325=""),"",SUMIF(Payments!$G$5:$G$2500,$K325,Payments!$D$5:$D$2500))</f>
      </c>
      <c r="G325" s="36">
        <f>IF($D325="","",ROUND($D325-IF($F325="",0,$F325),2))</f>
      </c>
      <c r="H325" s="35">
        <f>IF(OR($D325="",$K325=""),"",COUNTIF(Payments!$G$5:$G$2500,$K325))</f>
      </c>
      <c r="I325" s="37">
        <f>IF($D325="","",IF(OR($F325="",$F325=0),"Pending",IF(ROUND($F325-$D325,2)&gt;0,"Overpaid",IF(ROUND($F325-$D325,2)=0,"Paid","Partial"))))</f>
      </c>
      <c r="J325" s="29"/>
      <c r="K325">
        <f>IF($A325="","","#"&amp;TRIM(SUBSTITUTE(SUBSTITUTE(SUBSTITUTE(SUBSTITUTE(SUBSTITUTE(SUBSTITUTE($A325,"-",""),"(",""),")",""),".",""),"+","")," ","")))</f>
      </c>
    </row>
    <row r="326" spans="1:11" x14ac:dyDescent="0.3">
      <c r="A326" s="28"/>
      <c r="B326" s="29"/>
      <c r="C326" s="30"/>
      <c r="D326" s="31"/>
      <c r="E326" s="33">
        <f>IF(OR($D326="",$K326=""),"",IF(COUNTIFS(Payments!$G$5:$G$2500,$K326,Payments!$C$5:$C$2500,"&lt;&gt;")=0,"",_xlfn.MAXIFS(Payments!$C$5:$C$2500,Payments!$G$5:$G$2500,$K326)))</f>
      </c>
      <c r="F326" s="34">
        <f>IF(OR($D326="",$K326=""),"",SUMIF(Payments!$G$5:$G$2500,$K326,Payments!$D$5:$D$2500))</f>
      </c>
      <c r="G326" s="36">
        <f>IF($D326="","",ROUND($D326-IF($F326="",0,$F326),2))</f>
      </c>
      <c r="H326" s="35">
        <f>IF(OR($D326="",$K326=""),"",COUNTIF(Payments!$G$5:$G$2500,$K326))</f>
      </c>
      <c r="I326" s="37">
        <f>IF($D326="","",IF(OR($F326="",$F326=0),"Pending",IF(ROUND($F326-$D326,2)&gt;0,"Overpaid",IF(ROUND($F326-$D326,2)=0,"Paid","Partial"))))</f>
      </c>
      <c r="J326" s="29"/>
      <c r="K326">
        <f>IF($A326="","","#"&amp;TRIM(SUBSTITUTE(SUBSTITUTE(SUBSTITUTE(SUBSTITUTE(SUBSTITUTE(SUBSTITUTE($A326,"-",""),"(",""),")",""),".",""),"+","")," ","")))</f>
      </c>
    </row>
    <row r="327" spans="1:11" x14ac:dyDescent="0.3">
      <c r="A327" s="28"/>
      <c r="B327" s="29"/>
      <c r="C327" s="30"/>
      <c r="D327" s="31"/>
      <c r="E327" s="33">
        <f>IF(OR($D327="",$K327=""),"",IF(COUNTIFS(Payments!$G$5:$G$2500,$K327,Payments!$C$5:$C$2500,"&lt;&gt;")=0,"",_xlfn.MAXIFS(Payments!$C$5:$C$2500,Payments!$G$5:$G$2500,$K327)))</f>
      </c>
      <c r="F327" s="34">
        <f>IF(OR($D327="",$K327=""),"",SUMIF(Payments!$G$5:$G$2500,$K327,Payments!$D$5:$D$2500))</f>
      </c>
      <c r="G327" s="36">
        <f>IF($D327="","",ROUND($D327-IF($F327="",0,$F327),2))</f>
      </c>
      <c r="H327" s="35">
        <f>IF(OR($D327="",$K327=""),"",COUNTIF(Payments!$G$5:$G$2500,$K327))</f>
      </c>
      <c r="I327" s="37">
        <f>IF($D327="","",IF(OR($F327="",$F327=0),"Pending",IF(ROUND($F327-$D327,2)&gt;0,"Overpaid",IF(ROUND($F327-$D327,2)=0,"Paid","Partial"))))</f>
      </c>
      <c r="J327" s="29"/>
      <c r="K327">
        <f>IF($A327="","","#"&amp;TRIM(SUBSTITUTE(SUBSTITUTE(SUBSTITUTE(SUBSTITUTE(SUBSTITUTE(SUBSTITUTE($A327,"-",""),"(",""),")",""),".",""),"+","")," ","")))</f>
      </c>
    </row>
    <row r="328" spans="1:11" x14ac:dyDescent="0.3">
      <c r="A328" s="28"/>
      <c r="B328" s="29"/>
      <c r="C328" s="30"/>
      <c r="D328" s="31"/>
      <c r="E328" s="33">
        <f>IF(OR($D328="",$K328=""),"",IF(COUNTIFS(Payments!$G$5:$G$2500,$K328,Payments!$C$5:$C$2500,"&lt;&gt;")=0,"",_xlfn.MAXIFS(Payments!$C$5:$C$2500,Payments!$G$5:$G$2500,$K328)))</f>
      </c>
      <c r="F328" s="34">
        <f>IF(OR($D328="",$K328=""),"",SUMIF(Payments!$G$5:$G$2500,$K328,Payments!$D$5:$D$2500))</f>
      </c>
      <c r="G328" s="36">
        <f>IF($D328="","",ROUND($D328-IF($F328="",0,$F328),2))</f>
      </c>
      <c r="H328" s="35">
        <f>IF(OR($D328="",$K328=""),"",COUNTIF(Payments!$G$5:$G$2500,$K328))</f>
      </c>
      <c r="I328" s="37">
        <f>IF($D328="","",IF(OR($F328="",$F328=0),"Pending",IF(ROUND($F328-$D328,2)&gt;0,"Overpaid",IF(ROUND($F328-$D328,2)=0,"Paid","Partial"))))</f>
      </c>
      <c r="J328" s="29"/>
      <c r="K328">
        <f>IF($A328="","","#"&amp;TRIM(SUBSTITUTE(SUBSTITUTE(SUBSTITUTE(SUBSTITUTE(SUBSTITUTE(SUBSTITUTE($A328,"-",""),"(",""),")",""),".",""),"+","")," ","")))</f>
      </c>
    </row>
    <row r="329" spans="1:11" x14ac:dyDescent="0.3">
      <c r="A329" s="28"/>
      <c r="B329" s="29"/>
      <c r="C329" s="30"/>
      <c r="D329" s="31"/>
      <c r="E329" s="33">
        <f>IF(OR($D329="",$K329=""),"",IF(COUNTIFS(Payments!$G$5:$G$2500,$K329,Payments!$C$5:$C$2500,"&lt;&gt;")=0,"",_xlfn.MAXIFS(Payments!$C$5:$C$2500,Payments!$G$5:$G$2500,$K329)))</f>
      </c>
      <c r="F329" s="34">
        <f>IF(OR($D329="",$K329=""),"",SUMIF(Payments!$G$5:$G$2500,$K329,Payments!$D$5:$D$2500))</f>
      </c>
      <c r="G329" s="36">
        <f>IF($D329="","",ROUND($D329-IF($F329="",0,$F329),2))</f>
      </c>
      <c r="H329" s="35">
        <f>IF(OR($D329="",$K329=""),"",COUNTIF(Payments!$G$5:$G$2500,$K329))</f>
      </c>
      <c r="I329" s="37">
        <f>IF($D329="","",IF(OR($F329="",$F329=0),"Pending",IF(ROUND($F329-$D329,2)&gt;0,"Overpaid",IF(ROUND($F329-$D329,2)=0,"Paid","Partial"))))</f>
      </c>
      <c r="J329" s="29"/>
      <c r="K329">
        <f>IF($A329="","","#"&amp;TRIM(SUBSTITUTE(SUBSTITUTE(SUBSTITUTE(SUBSTITUTE(SUBSTITUTE(SUBSTITUTE($A329,"-",""),"(",""),")",""),".",""),"+","")," ","")))</f>
      </c>
    </row>
    <row r="330" spans="1:11" x14ac:dyDescent="0.3">
      <c r="A330" s="28"/>
      <c r="B330" s="29"/>
      <c r="C330" s="30"/>
      <c r="D330" s="31"/>
      <c r="E330" s="33">
        <f>IF(OR($D330="",$K330=""),"",IF(COUNTIFS(Payments!$G$5:$G$2500,$K330,Payments!$C$5:$C$2500,"&lt;&gt;")=0,"",_xlfn.MAXIFS(Payments!$C$5:$C$2500,Payments!$G$5:$G$2500,$K330)))</f>
      </c>
      <c r="F330" s="34">
        <f>IF(OR($D330="",$K330=""),"",SUMIF(Payments!$G$5:$G$2500,$K330,Payments!$D$5:$D$2500))</f>
      </c>
      <c r="G330" s="36">
        <f>IF($D330="","",ROUND($D330-IF($F330="",0,$F330),2))</f>
      </c>
      <c r="H330" s="35">
        <f>IF(OR($D330="",$K330=""),"",COUNTIF(Payments!$G$5:$G$2500,$K330))</f>
      </c>
      <c r="I330" s="37">
        <f>IF($D330="","",IF(OR($F330="",$F330=0),"Pending",IF(ROUND($F330-$D330,2)&gt;0,"Overpaid",IF(ROUND($F330-$D330,2)=0,"Paid","Partial"))))</f>
      </c>
      <c r="J330" s="29"/>
      <c r="K330">
        <f>IF($A330="","","#"&amp;TRIM(SUBSTITUTE(SUBSTITUTE(SUBSTITUTE(SUBSTITUTE(SUBSTITUTE(SUBSTITUTE($A330,"-",""),"(",""),")",""),".",""),"+","")," ","")))</f>
      </c>
    </row>
    <row r="331" spans="1:11" x14ac:dyDescent="0.3">
      <c r="A331" s="28"/>
      <c r="B331" s="29"/>
      <c r="C331" s="30"/>
      <c r="D331" s="31"/>
      <c r="E331" s="33">
        <f>IF(OR($D331="",$K331=""),"",IF(COUNTIFS(Payments!$G$5:$G$2500,$K331,Payments!$C$5:$C$2500,"&lt;&gt;")=0,"",_xlfn.MAXIFS(Payments!$C$5:$C$2500,Payments!$G$5:$G$2500,$K331)))</f>
      </c>
      <c r="F331" s="34">
        <f>IF(OR($D331="",$K331=""),"",SUMIF(Payments!$G$5:$G$2500,$K331,Payments!$D$5:$D$2500))</f>
      </c>
      <c r="G331" s="36">
        <f>IF($D331="","",ROUND($D331-IF($F331="",0,$F331),2))</f>
      </c>
      <c r="H331" s="35">
        <f>IF(OR($D331="",$K331=""),"",COUNTIF(Payments!$G$5:$G$2500,$K331))</f>
      </c>
      <c r="I331" s="37">
        <f>IF($D331="","",IF(OR($F331="",$F331=0),"Pending",IF(ROUND($F331-$D331,2)&gt;0,"Overpaid",IF(ROUND($F331-$D331,2)=0,"Paid","Partial"))))</f>
      </c>
      <c r="J331" s="29"/>
      <c r="K331">
        <f>IF($A331="","","#"&amp;TRIM(SUBSTITUTE(SUBSTITUTE(SUBSTITUTE(SUBSTITUTE(SUBSTITUTE(SUBSTITUTE($A331,"-",""),"(",""),")",""),".",""),"+","")," ","")))</f>
      </c>
    </row>
    <row r="332" spans="1:11" x14ac:dyDescent="0.3">
      <c r="A332" s="28"/>
      <c r="B332" s="29"/>
      <c r="C332" s="30"/>
      <c r="D332" s="31"/>
      <c r="E332" s="33">
        <f>IF(OR($D332="",$K332=""),"",IF(COUNTIFS(Payments!$G$5:$G$2500,$K332,Payments!$C$5:$C$2500,"&lt;&gt;")=0,"",_xlfn.MAXIFS(Payments!$C$5:$C$2500,Payments!$G$5:$G$2500,$K332)))</f>
      </c>
      <c r="F332" s="34">
        <f>IF(OR($D332="",$K332=""),"",SUMIF(Payments!$G$5:$G$2500,$K332,Payments!$D$5:$D$2500))</f>
      </c>
      <c r="G332" s="36">
        <f>IF($D332="","",ROUND($D332-IF($F332="",0,$F332),2))</f>
      </c>
      <c r="H332" s="35">
        <f>IF(OR($D332="",$K332=""),"",COUNTIF(Payments!$G$5:$G$2500,$K332))</f>
      </c>
      <c r="I332" s="37">
        <f>IF($D332="","",IF(OR($F332="",$F332=0),"Pending",IF(ROUND($F332-$D332,2)&gt;0,"Overpaid",IF(ROUND($F332-$D332,2)=0,"Paid","Partial"))))</f>
      </c>
      <c r="J332" s="29"/>
      <c r="K332">
        <f>IF($A332="","","#"&amp;TRIM(SUBSTITUTE(SUBSTITUTE(SUBSTITUTE(SUBSTITUTE(SUBSTITUTE(SUBSTITUTE($A332,"-",""),"(",""),")",""),".",""),"+","")," ","")))</f>
      </c>
    </row>
    <row r="333" spans="1:11" x14ac:dyDescent="0.3">
      <c r="A333" s="28"/>
      <c r="B333" s="29"/>
      <c r="C333" s="30"/>
      <c r="D333" s="31"/>
      <c r="E333" s="33">
        <f>IF(OR($D333="",$K333=""),"",IF(COUNTIFS(Payments!$G$5:$G$2500,$K333,Payments!$C$5:$C$2500,"&lt;&gt;")=0,"",_xlfn.MAXIFS(Payments!$C$5:$C$2500,Payments!$G$5:$G$2500,$K333)))</f>
      </c>
      <c r="F333" s="34">
        <f>IF(OR($D333="",$K333=""),"",SUMIF(Payments!$G$5:$G$2500,$K333,Payments!$D$5:$D$2500))</f>
      </c>
      <c r="G333" s="36">
        <f>IF($D333="","",ROUND($D333-IF($F333="",0,$F333),2))</f>
      </c>
      <c r="H333" s="35">
        <f>IF(OR($D333="",$K333=""),"",COUNTIF(Payments!$G$5:$G$2500,$K333))</f>
      </c>
      <c r="I333" s="37">
        <f>IF($D333="","",IF(OR($F333="",$F333=0),"Pending",IF(ROUND($F333-$D333,2)&gt;0,"Overpaid",IF(ROUND($F333-$D333,2)=0,"Paid","Partial"))))</f>
      </c>
      <c r="J333" s="29"/>
      <c r="K333">
        <f>IF($A333="","","#"&amp;TRIM(SUBSTITUTE(SUBSTITUTE(SUBSTITUTE(SUBSTITUTE(SUBSTITUTE(SUBSTITUTE($A333,"-",""),"(",""),")",""),".",""),"+","")," ","")))</f>
      </c>
    </row>
    <row r="334" spans="1:11" x14ac:dyDescent="0.3">
      <c r="A334" s="28"/>
      <c r="B334" s="29"/>
      <c r="C334" s="30"/>
      <c r="D334" s="31"/>
      <c r="E334" s="33">
        <f>IF(OR($D334="",$K334=""),"",IF(COUNTIFS(Payments!$G$5:$G$2500,$K334,Payments!$C$5:$C$2500,"&lt;&gt;")=0,"",_xlfn.MAXIFS(Payments!$C$5:$C$2500,Payments!$G$5:$G$2500,$K334)))</f>
      </c>
      <c r="F334" s="34">
        <f>IF(OR($D334="",$K334=""),"",SUMIF(Payments!$G$5:$G$2500,$K334,Payments!$D$5:$D$2500))</f>
      </c>
      <c r="G334" s="36">
        <f>IF($D334="","",ROUND($D334-IF($F334="",0,$F334),2))</f>
      </c>
      <c r="H334" s="35">
        <f>IF(OR($D334="",$K334=""),"",COUNTIF(Payments!$G$5:$G$2500,$K334))</f>
      </c>
      <c r="I334" s="37">
        <f>IF($D334="","",IF(OR($F334="",$F334=0),"Pending",IF(ROUND($F334-$D334,2)&gt;0,"Overpaid",IF(ROUND($F334-$D334,2)=0,"Paid","Partial"))))</f>
      </c>
      <c r="J334" s="29"/>
      <c r="K334">
        <f>IF($A334="","","#"&amp;TRIM(SUBSTITUTE(SUBSTITUTE(SUBSTITUTE(SUBSTITUTE(SUBSTITUTE(SUBSTITUTE($A334,"-",""),"(",""),")",""),".",""),"+","")," ","")))</f>
      </c>
    </row>
    <row r="335" spans="1:11" x14ac:dyDescent="0.3">
      <c r="A335" s="28"/>
      <c r="B335" s="29"/>
      <c r="C335" s="30"/>
      <c r="D335" s="31"/>
      <c r="E335" s="33">
        <f>IF(OR($D335="",$K335=""),"",IF(COUNTIFS(Payments!$G$5:$G$2500,$K335,Payments!$C$5:$C$2500,"&lt;&gt;")=0,"",_xlfn.MAXIFS(Payments!$C$5:$C$2500,Payments!$G$5:$G$2500,$K335)))</f>
      </c>
      <c r="F335" s="34">
        <f>IF(OR($D335="",$K335=""),"",SUMIF(Payments!$G$5:$G$2500,$K335,Payments!$D$5:$D$2500))</f>
      </c>
      <c r="G335" s="36">
        <f>IF($D335="","",ROUND($D335-IF($F335="",0,$F335),2))</f>
      </c>
      <c r="H335" s="35">
        <f>IF(OR($D335="",$K335=""),"",COUNTIF(Payments!$G$5:$G$2500,$K335))</f>
      </c>
      <c r="I335" s="37">
        <f>IF($D335="","",IF(OR($F335="",$F335=0),"Pending",IF(ROUND($F335-$D335,2)&gt;0,"Overpaid",IF(ROUND($F335-$D335,2)=0,"Paid","Partial"))))</f>
      </c>
      <c r="J335" s="29"/>
      <c r="K335">
        <f>IF($A335="","","#"&amp;TRIM(SUBSTITUTE(SUBSTITUTE(SUBSTITUTE(SUBSTITUTE(SUBSTITUTE(SUBSTITUTE($A335,"-",""),"(",""),")",""),".",""),"+","")," ","")))</f>
      </c>
    </row>
    <row r="336" spans="1:11" x14ac:dyDescent="0.3">
      <c r="A336" s="28"/>
      <c r="B336" s="29"/>
      <c r="C336" s="30"/>
      <c r="D336" s="31"/>
      <c r="E336" s="33">
        <f>IF(OR($D336="",$K336=""),"",IF(COUNTIFS(Payments!$G$5:$G$2500,$K336,Payments!$C$5:$C$2500,"&lt;&gt;")=0,"",_xlfn.MAXIFS(Payments!$C$5:$C$2500,Payments!$G$5:$G$2500,$K336)))</f>
      </c>
      <c r="F336" s="34">
        <f>IF(OR($D336="",$K336=""),"",SUMIF(Payments!$G$5:$G$2500,$K336,Payments!$D$5:$D$2500))</f>
      </c>
      <c r="G336" s="36">
        <f>IF($D336="","",ROUND($D336-IF($F336="",0,$F336),2))</f>
      </c>
      <c r="H336" s="35">
        <f>IF(OR($D336="",$K336=""),"",COUNTIF(Payments!$G$5:$G$2500,$K336))</f>
      </c>
      <c r="I336" s="37">
        <f>IF($D336="","",IF(OR($F336="",$F336=0),"Pending",IF(ROUND($F336-$D336,2)&gt;0,"Overpaid",IF(ROUND($F336-$D336,2)=0,"Paid","Partial"))))</f>
      </c>
      <c r="J336" s="29"/>
      <c r="K336">
        <f>IF($A336="","","#"&amp;TRIM(SUBSTITUTE(SUBSTITUTE(SUBSTITUTE(SUBSTITUTE(SUBSTITUTE(SUBSTITUTE($A336,"-",""),"(",""),")",""),".",""),"+","")," ","")))</f>
      </c>
    </row>
    <row r="337" spans="1:11" x14ac:dyDescent="0.3">
      <c r="A337" s="28"/>
      <c r="B337" s="29"/>
      <c r="C337" s="30"/>
      <c r="D337" s="31"/>
      <c r="E337" s="33">
        <f>IF(OR($D337="",$K337=""),"",IF(COUNTIFS(Payments!$G$5:$G$2500,$K337,Payments!$C$5:$C$2500,"&lt;&gt;")=0,"",_xlfn.MAXIFS(Payments!$C$5:$C$2500,Payments!$G$5:$G$2500,$K337)))</f>
      </c>
      <c r="F337" s="34">
        <f>IF(OR($D337="",$K337=""),"",SUMIF(Payments!$G$5:$G$2500,$K337,Payments!$D$5:$D$2500))</f>
      </c>
      <c r="G337" s="36">
        <f>IF($D337="","",ROUND($D337-IF($F337="",0,$F337),2))</f>
      </c>
      <c r="H337" s="35">
        <f>IF(OR($D337="",$K337=""),"",COUNTIF(Payments!$G$5:$G$2500,$K337))</f>
      </c>
      <c r="I337" s="37">
        <f>IF($D337="","",IF(OR($F337="",$F337=0),"Pending",IF(ROUND($F337-$D337,2)&gt;0,"Overpaid",IF(ROUND($F337-$D337,2)=0,"Paid","Partial"))))</f>
      </c>
      <c r="J337" s="29"/>
      <c r="K337">
        <f>IF($A337="","","#"&amp;TRIM(SUBSTITUTE(SUBSTITUTE(SUBSTITUTE(SUBSTITUTE(SUBSTITUTE(SUBSTITUTE($A337,"-",""),"(",""),")",""),".",""),"+","")," ","")))</f>
      </c>
    </row>
    <row r="338" spans="1:11" x14ac:dyDescent="0.3">
      <c r="A338" s="28"/>
      <c r="B338" s="29"/>
      <c r="C338" s="30"/>
      <c r="D338" s="31"/>
      <c r="E338" s="33">
        <f>IF(OR($D338="",$K338=""),"",IF(COUNTIFS(Payments!$G$5:$G$2500,$K338,Payments!$C$5:$C$2500,"&lt;&gt;")=0,"",_xlfn.MAXIFS(Payments!$C$5:$C$2500,Payments!$G$5:$G$2500,$K338)))</f>
      </c>
      <c r="F338" s="34">
        <f>IF(OR($D338="",$K338=""),"",SUMIF(Payments!$G$5:$G$2500,$K338,Payments!$D$5:$D$2500))</f>
      </c>
      <c r="G338" s="36">
        <f>IF($D338="","",ROUND($D338-IF($F338="",0,$F338),2))</f>
      </c>
      <c r="H338" s="35">
        <f>IF(OR($D338="",$K338=""),"",COUNTIF(Payments!$G$5:$G$2500,$K338))</f>
      </c>
      <c r="I338" s="37">
        <f>IF($D338="","",IF(OR($F338="",$F338=0),"Pending",IF(ROUND($F338-$D338,2)&gt;0,"Overpaid",IF(ROUND($F338-$D338,2)=0,"Paid","Partial"))))</f>
      </c>
      <c r="J338" s="29"/>
      <c r="K338">
        <f>IF($A338="","","#"&amp;TRIM(SUBSTITUTE(SUBSTITUTE(SUBSTITUTE(SUBSTITUTE(SUBSTITUTE(SUBSTITUTE($A338,"-",""),"(",""),")",""),".",""),"+","")," ","")))</f>
      </c>
    </row>
    <row r="339" spans="1:11" x14ac:dyDescent="0.3">
      <c r="A339" s="28"/>
      <c r="B339" s="29"/>
      <c r="C339" s="30"/>
      <c r="D339" s="31"/>
      <c r="E339" s="33">
        <f>IF(OR($D339="",$K339=""),"",IF(COUNTIFS(Payments!$G$5:$G$2500,$K339,Payments!$C$5:$C$2500,"&lt;&gt;")=0,"",_xlfn.MAXIFS(Payments!$C$5:$C$2500,Payments!$G$5:$G$2500,$K339)))</f>
      </c>
      <c r="F339" s="34">
        <f>IF(OR($D339="",$K339=""),"",SUMIF(Payments!$G$5:$G$2500,$K339,Payments!$D$5:$D$2500))</f>
      </c>
      <c r="G339" s="36">
        <f>IF($D339="","",ROUND($D339-IF($F339="",0,$F339),2))</f>
      </c>
      <c r="H339" s="35">
        <f>IF(OR($D339="",$K339=""),"",COUNTIF(Payments!$G$5:$G$2500,$K339))</f>
      </c>
      <c r="I339" s="37">
        <f>IF($D339="","",IF(OR($F339="",$F339=0),"Pending",IF(ROUND($F339-$D339,2)&gt;0,"Overpaid",IF(ROUND($F339-$D339,2)=0,"Paid","Partial"))))</f>
      </c>
      <c r="J339" s="29"/>
      <c r="K339">
        <f>IF($A339="","","#"&amp;TRIM(SUBSTITUTE(SUBSTITUTE(SUBSTITUTE(SUBSTITUTE(SUBSTITUTE(SUBSTITUTE($A339,"-",""),"(",""),")",""),".",""),"+","")," ","")))</f>
      </c>
    </row>
    <row r="340" spans="1:11" x14ac:dyDescent="0.3">
      <c r="A340" s="28"/>
      <c r="B340" s="29"/>
      <c r="C340" s="30"/>
      <c r="D340" s="31"/>
      <c r="E340" s="33">
        <f>IF(OR($D340="",$K340=""),"",IF(COUNTIFS(Payments!$G$5:$G$2500,$K340,Payments!$C$5:$C$2500,"&lt;&gt;")=0,"",_xlfn.MAXIFS(Payments!$C$5:$C$2500,Payments!$G$5:$G$2500,$K340)))</f>
      </c>
      <c r="F340" s="34">
        <f>IF(OR($D340="",$K340=""),"",SUMIF(Payments!$G$5:$G$2500,$K340,Payments!$D$5:$D$2500))</f>
      </c>
      <c r="G340" s="36">
        <f>IF($D340="","",ROUND($D340-IF($F340="",0,$F340),2))</f>
      </c>
      <c r="H340" s="35">
        <f>IF(OR($D340="",$K340=""),"",COUNTIF(Payments!$G$5:$G$2500,$K340))</f>
      </c>
      <c r="I340" s="37">
        <f>IF($D340="","",IF(OR($F340="",$F340=0),"Pending",IF(ROUND($F340-$D340,2)&gt;0,"Overpaid",IF(ROUND($F340-$D340,2)=0,"Paid","Partial"))))</f>
      </c>
      <c r="J340" s="29"/>
      <c r="K340">
        <f>IF($A340="","","#"&amp;TRIM(SUBSTITUTE(SUBSTITUTE(SUBSTITUTE(SUBSTITUTE(SUBSTITUTE(SUBSTITUTE($A340,"-",""),"(",""),")",""),".",""),"+","")," ","")))</f>
      </c>
    </row>
    <row r="341" spans="1:11" x14ac:dyDescent="0.3">
      <c r="A341" s="28"/>
      <c r="B341" s="29"/>
      <c r="C341" s="30"/>
      <c r="D341" s="31"/>
      <c r="E341" s="33">
        <f>IF(OR($D341="",$K341=""),"",IF(COUNTIFS(Payments!$G$5:$G$2500,$K341,Payments!$C$5:$C$2500,"&lt;&gt;")=0,"",_xlfn.MAXIFS(Payments!$C$5:$C$2500,Payments!$G$5:$G$2500,$K341)))</f>
      </c>
      <c r="F341" s="34">
        <f>IF(OR($D341="",$K341=""),"",SUMIF(Payments!$G$5:$G$2500,$K341,Payments!$D$5:$D$2500))</f>
      </c>
      <c r="G341" s="36">
        <f>IF($D341="","",ROUND($D341-IF($F341="",0,$F341),2))</f>
      </c>
      <c r="H341" s="35">
        <f>IF(OR($D341="",$K341=""),"",COUNTIF(Payments!$G$5:$G$2500,$K341))</f>
      </c>
      <c r="I341" s="37">
        <f>IF($D341="","",IF(OR($F341="",$F341=0),"Pending",IF(ROUND($F341-$D341,2)&gt;0,"Overpaid",IF(ROUND($F341-$D341,2)=0,"Paid","Partial"))))</f>
      </c>
      <c r="J341" s="29"/>
      <c r="K341">
        <f>IF($A341="","","#"&amp;TRIM(SUBSTITUTE(SUBSTITUTE(SUBSTITUTE(SUBSTITUTE(SUBSTITUTE(SUBSTITUTE($A341,"-",""),"(",""),")",""),".",""),"+","")," ","")))</f>
      </c>
    </row>
    <row r="342" spans="1:11" x14ac:dyDescent="0.3">
      <c r="A342" s="28"/>
      <c r="B342" s="29"/>
      <c r="C342" s="30"/>
      <c r="D342" s="31"/>
      <c r="E342" s="33">
        <f>IF(OR($D342="",$K342=""),"",IF(COUNTIFS(Payments!$G$5:$G$2500,$K342,Payments!$C$5:$C$2500,"&lt;&gt;")=0,"",_xlfn.MAXIFS(Payments!$C$5:$C$2500,Payments!$G$5:$G$2500,$K342)))</f>
      </c>
      <c r="F342" s="34">
        <f>IF(OR($D342="",$K342=""),"",SUMIF(Payments!$G$5:$G$2500,$K342,Payments!$D$5:$D$2500))</f>
      </c>
      <c r="G342" s="36">
        <f>IF($D342="","",ROUND($D342-IF($F342="",0,$F342),2))</f>
      </c>
      <c r="H342" s="35">
        <f>IF(OR($D342="",$K342=""),"",COUNTIF(Payments!$G$5:$G$2500,$K342))</f>
      </c>
      <c r="I342" s="37">
        <f>IF($D342="","",IF(OR($F342="",$F342=0),"Pending",IF(ROUND($F342-$D342,2)&gt;0,"Overpaid",IF(ROUND($F342-$D342,2)=0,"Paid","Partial"))))</f>
      </c>
      <c r="J342" s="29"/>
      <c r="K342">
        <f>IF($A342="","","#"&amp;TRIM(SUBSTITUTE(SUBSTITUTE(SUBSTITUTE(SUBSTITUTE(SUBSTITUTE(SUBSTITUTE($A342,"-",""),"(",""),")",""),".",""),"+","")," ","")))</f>
      </c>
    </row>
    <row r="343" spans="1:11" x14ac:dyDescent="0.3">
      <c r="A343" s="28"/>
      <c r="B343" s="29"/>
      <c r="C343" s="30"/>
      <c r="D343" s="31"/>
      <c r="E343" s="33">
        <f>IF(OR($D343="",$K343=""),"",IF(COUNTIFS(Payments!$G$5:$G$2500,$K343,Payments!$C$5:$C$2500,"&lt;&gt;")=0,"",_xlfn.MAXIFS(Payments!$C$5:$C$2500,Payments!$G$5:$G$2500,$K343)))</f>
      </c>
      <c r="F343" s="34">
        <f>IF(OR($D343="",$K343=""),"",SUMIF(Payments!$G$5:$G$2500,$K343,Payments!$D$5:$D$2500))</f>
      </c>
      <c r="G343" s="36">
        <f>IF($D343="","",ROUND($D343-IF($F343="",0,$F343),2))</f>
      </c>
      <c r="H343" s="35">
        <f>IF(OR($D343="",$K343=""),"",COUNTIF(Payments!$G$5:$G$2500,$K343))</f>
      </c>
      <c r="I343" s="37">
        <f>IF($D343="","",IF(OR($F343="",$F343=0),"Pending",IF(ROUND($F343-$D343,2)&gt;0,"Overpaid",IF(ROUND($F343-$D343,2)=0,"Paid","Partial"))))</f>
      </c>
      <c r="J343" s="29"/>
      <c r="K343">
        <f>IF($A343="","","#"&amp;TRIM(SUBSTITUTE(SUBSTITUTE(SUBSTITUTE(SUBSTITUTE(SUBSTITUTE(SUBSTITUTE($A343,"-",""),"(",""),")",""),".",""),"+","")," ","")))</f>
      </c>
    </row>
    <row r="344" spans="1:11" x14ac:dyDescent="0.3">
      <c r="A344" s="28"/>
      <c r="B344" s="29"/>
      <c r="C344" s="30"/>
      <c r="D344" s="31"/>
      <c r="E344" s="33">
        <f>IF(OR($D344="",$K344=""),"",IF(COUNTIFS(Payments!$G$5:$G$2500,$K344,Payments!$C$5:$C$2500,"&lt;&gt;")=0,"",_xlfn.MAXIFS(Payments!$C$5:$C$2500,Payments!$G$5:$G$2500,$K344)))</f>
      </c>
      <c r="F344" s="34">
        <f>IF(OR($D344="",$K344=""),"",SUMIF(Payments!$G$5:$G$2500,$K344,Payments!$D$5:$D$2500))</f>
      </c>
      <c r="G344" s="36">
        <f>IF($D344="","",ROUND($D344-IF($F344="",0,$F344),2))</f>
      </c>
      <c r="H344" s="35">
        <f>IF(OR($D344="",$K344=""),"",COUNTIF(Payments!$G$5:$G$2500,$K344))</f>
      </c>
      <c r="I344" s="37">
        <f>IF($D344="","",IF(OR($F344="",$F344=0),"Pending",IF(ROUND($F344-$D344,2)&gt;0,"Overpaid",IF(ROUND($F344-$D344,2)=0,"Paid","Partial"))))</f>
      </c>
      <c r="J344" s="29"/>
      <c r="K344">
        <f>IF($A344="","","#"&amp;TRIM(SUBSTITUTE(SUBSTITUTE(SUBSTITUTE(SUBSTITUTE(SUBSTITUTE(SUBSTITUTE($A344,"-",""),"(",""),")",""),".",""),"+","")," ","")))</f>
      </c>
    </row>
    <row r="345" spans="1:11" x14ac:dyDescent="0.3">
      <c r="A345" s="28"/>
      <c r="B345" s="29"/>
      <c r="C345" s="30"/>
      <c r="D345" s="31"/>
      <c r="E345" s="33">
        <f>IF(OR($D345="",$K345=""),"",IF(COUNTIFS(Payments!$G$5:$G$2500,$K345,Payments!$C$5:$C$2500,"&lt;&gt;")=0,"",_xlfn.MAXIFS(Payments!$C$5:$C$2500,Payments!$G$5:$G$2500,$K345)))</f>
      </c>
      <c r="F345" s="34">
        <f>IF(OR($D345="",$K345=""),"",SUMIF(Payments!$G$5:$G$2500,$K345,Payments!$D$5:$D$2500))</f>
      </c>
      <c r="G345" s="36">
        <f>IF($D345="","",ROUND($D345-IF($F345="",0,$F345),2))</f>
      </c>
      <c r="H345" s="35">
        <f>IF(OR($D345="",$K345=""),"",COUNTIF(Payments!$G$5:$G$2500,$K345))</f>
      </c>
      <c r="I345" s="37">
        <f>IF($D345="","",IF(OR($F345="",$F345=0),"Pending",IF(ROUND($F345-$D345,2)&gt;0,"Overpaid",IF(ROUND($F345-$D345,2)=0,"Paid","Partial"))))</f>
      </c>
      <c r="J345" s="29"/>
      <c r="K345">
        <f>IF($A345="","","#"&amp;TRIM(SUBSTITUTE(SUBSTITUTE(SUBSTITUTE(SUBSTITUTE(SUBSTITUTE(SUBSTITUTE($A345,"-",""),"(",""),")",""),".",""),"+","")," ","")))</f>
      </c>
    </row>
    <row r="346" spans="1:11" x14ac:dyDescent="0.3">
      <c r="A346" s="28"/>
      <c r="B346" s="29"/>
      <c r="C346" s="30"/>
      <c r="D346" s="31"/>
      <c r="E346" s="33">
        <f>IF(OR($D346="",$K346=""),"",IF(COUNTIFS(Payments!$G$5:$G$2500,$K346,Payments!$C$5:$C$2500,"&lt;&gt;")=0,"",_xlfn.MAXIFS(Payments!$C$5:$C$2500,Payments!$G$5:$G$2500,$K346)))</f>
      </c>
      <c r="F346" s="34">
        <f>IF(OR($D346="",$K346=""),"",SUMIF(Payments!$G$5:$G$2500,$K346,Payments!$D$5:$D$2500))</f>
      </c>
      <c r="G346" s="36">
        <f>IF($D346="","",ROUND($D346-IF($F346="",0,$F346),2))</f>
      </c>
      <c r="H346" s="35">
        <f>IF(OR($D346="",$K346=""),"",COUNTIF(Payments!$G$5:$G$2500,$K346))</f>
      </c>
      <c r="I346" s="37">
        <f>IF($D346="","",IF(OR($F346="",$F346=0),"Pending",IF(ROUND($F346-$D346,2)&gt;0,"Overpaid",IF(ROUND($F346-$D346,2)=0,"Paid","Partial"))))</f>
      </c>
      <c r="J346" s="29"/>
      <c r="K346">
        <f>IF($A346="","","#"&amp;TRIM(SUBSTITUTE(SUBSTITUTE(SUBSTITUTE(SUBSTITUTE(SUBSTITUTE(SUBSTITUTE($A346,"-",""),"(",""),")",""),".",""),"+","")," ","")))</f>
      </c>
    </row>
    <row r="347" spans="1:11" x14ac:dyDescent="0.3">
      <c r="A347" s="28"/>
      <c r="B347" s="29"/>
      <c r="C347" s="30"/>
      <c r="D347" s="31"/>
      <c r="E347" s="33">
        <f>IF(OR($D347="",$K347=""),"",IF(COUNTIFS(Payments!$G$5:$G$2500,$K347,Payments!$C$5:$C$2500,"&lt;&gt;")=0,"",_xlfn.MAXIFS(Payments!$C$5:$C$2500,Payments!$G$5:$G$2500,$K347)))</f>
      </c>
      <c r="F347" s="34">
        <f>IF(OR($D347="",$K347=""),"",SUMIF(Payments!$G$5:$G$2500,$K347,Payments!$D$5:$D$2500))</f>
      </c>
      <c r="G347" s="36">
        <f>IF($D347="","",ROUND($D347-IF($F347="",0,$F347),2))</f>
      </c>
      <c r="H347" s="35">
        <f>IF(OR($D347="",$K347=""),"",COUNTIF(Payments!$G$5:$G$2500,$K347))</f>
      </c>
      <c r="I347" s="37">
        <f>IF($D347="","",IF(OR($F347="",$F347=0),"Pending",IF(ROUND($F347-$D347,2)&gt;0,"Overpaid",IF(ROUND($F347-$D347,2)=0,"Paid","Partial"))))</f>
      </c>
      <c r="J347" s="29"/>
      <c r="K347">
        <f>IF($A347="","","#"&amp;TRIM(SUBSTITUTE(SUBSTITUTE(SUBSTITUTE(SUBSTITUTE(SUBSTITUTE(SUBSTITUTE($A347,"-",""),"(",""),")",""),".",""),"+","")," ","")))</f>
      </c>
    </row>
    <row r="348" spans="1:11" x14ac:dyDescent="0.3">
      <c r="A348" s="28"/>
      <c r="B348" s="29"/>
      <c r="C348" s="30"/>
      <c r="D348" s="31"/>
      <c r="E348" s="33">
        <f>IF(OR($D348="",$K348=""),"",IF(COUNTIFS(Payments!$G$5:$G$2500,$K348,Payments!$C$5:$C$2500,"&lt;&gt;")=0,"",_xlfn.MAXIFS(Payments!$C$5:$C$2500,Payments!$G$5:$G$2500,$K348)))</f>
      </c>
      <c r="F348" s="34">
        <f>IF(OR($D348="",$K348=""),"",SUMIF(Payments!$G$5:$G$2500,$K348,Payments!$D$5:$D$2500))</f>
      </c>
      <c r="G348" s="36">
        <f>IF($D348="","",ROUND($D348-IF($F348="",0,$F348),2))</f>
      </c>
      <c r="H348" s="35">
        <f>IF(OR($D348="",$K348=""),"",COUNTIF(Payments!$G$5:$G$2500,$K348))</f>
      </c>
      <c r="I348" s="37">
        <f>IF($D348="","",IF(OR($F348="",$F348=0),"Pending",IF(ROUND($F348-$D348,2)&gt;0,"Overpaid",IF(ROUND($F348-$D348,2)=0,"Paid","Partial"))))</f>
      </c>
      <c r="J348" s="29"/>
      <c r="K348">
        <f>IF($A348="","","#"&amp;TRIM(SUBSTITUTE(SUBSTITUTE(SUBSTITUTE(SUBSTITUTE(SUBSTITUTE(SUBSTITUTE($A348,"-",""),"(",""),")",""),".",""),"+","")," ","")))</f>
      </c>
    </row>
    <row r="349" spans="1:11" x14ac:dyDescent="0.3">
      <c r="A349" s="28"/>
      <c r="B349" s="29"/>
      <c r="C349" s="30"/>
      <c r="D349" s="31"/>
      <c r="E349" s="33">
        <f>IF(OR($D349="",$K349=""),"",IF(COUNTIFS(Payments!$G$5:$G$2500,$K349,Payments!$C$5:$C$2500,"&lt;&gt;")=0,"",_xlfn.MAXIFS(Payments!$C$5:$C$2500,Payments!$G$5:$G$2500,$K349)))</f>
      </c>
      <c r="F349" s="34">
        <f>IF(OR($D349="",$K349=""),"",SUMIF(Payments!$G$5:$G$2500,$K349,Payments!$D$5:$D$2500))</f>
      </c>
      <c r="G349" s="36">
        <f>IF($D349="","",ROUND($D349-IF($F349="",0,$F349),2))</f>
      </c>
      <c r="H349" s="35">
        <f>IF(OR($D349="",$K349=""),"",COUNTIF(Payments!$G$5:$G$2500,$K349))</f>
      </c>
      <c r="I349" s="37">
        <f>IF($D349="","",IF(OR($F349="",$F349=0),"Pending",IF(ROUND($F349-$D349,2)&gt;0,"Overpaid",IF(ROUND($F349-$D349,2)=0,"Paid","Partial"))))</f>
      </c>
      <c r="J349" s="29"/>
      <c r="K349">
        <f>IF($A349="","","#"&amp;TRIM(SUBSTITUTE(SUBSTITUTE(SUBSTITUTE(SUBSTITUTE(SUBSTITUTE(SUBSTITUTE($A349,"-",""),"(",""),")",""),".",""),"+","")," ","")))</f>
      </c>
    </row>
    <row r="350" spans="1:11" x14ac:dyDescent="0.3">
      <c r="A350" s="28"/>
      <c r="B350" s="29"/>
      <c r="C350" s="30"/>
      <c r="D350" s="31"/>
      <c r="E350" s="33">
        <f>IF(OR($D350="",$K350=""),"",IF(COUNTIFS(Payments!$G$5:$G$2500,$K350,Payments!$C$5:$C$2500,"&lt;&gt;")=0,"",_xlfn.MAXIFS(Payments!$C$5:$C$2500,Payments!$G$5:$G$2500,$K350)))</f>
      </c>
      <c r="F350" s="34">
        <f>IF(OR($D350="",$K350=""),"",SUMIF(Payments!$G$5:$G$2500,$K350,Payments!$D$5:$D$2500))</f>
      </c>
      <c r="G350" s="36">
        <f>IF($D350="","",ROUND($D350-IF($F350="",0,$F350),2))</f>
      </c>
      <c r="H350" s="35">
        <f>IF(OR($D350="",$K350=""),"",COUNTIF(Payments!$G$5:$G$2500,$K350))</f>
      </c>
      <c r="I350" s="37">
        <f>IF($D350="","",IF(OR($F350="",$F350=0),"Pending",IF(ROUND($F350-$D350,2)&gt;0,"Overpaid",IF(ROUND($F350-$D350,2)=0,"Paid","Partial"))))</f>
      </c>
      <c r="J350" s="29"/>
      <c r="K350">
        <f>IF($A350="","","#"&amp;TRIM(SUBSTITUTE(SUBSTITUTE(SUBSTITUTE(SUBSTITUTE(SUBSTITUTE(SUBSTITUTE($A350,"-",""),"(",""),")",""),".",""),"+","")," ","")))</f>
      </c>
    </row>
    <row r="351" spans="1:11" x14ac:dyDescent="0.3">
      <c r="A351" s="28"/>
      <c r="B351" s="29"/>
      <c r="C351" s="30"/>
      <c r="D351" s="31"/>
      <c r="E351" s="33">
        <f>IF(OR($D351="",$K351=""),"",IF(COUNTIFS(Payments!$G$5:$G$2500,$K351,Payments!$C$5:$C$2500,"&lt;&gt;")=0,"",_xlfn.MAXIFS(Payments!$C$5:$C$2500,Payments!$G$5:$G$2500,$K351)))</f>
      </c>
      <c r="F351" s="34">
        <f>IF(OR($D351="",$K351=""),"",SUMIF(Payments!$G$5:$G$2500,$K351,Payments!$D$5:$D$2500))</f>
      </c>
      <c r="G351" s="36">
        <f>IF($D351="","",ROUND($D351-IF($F351="",0,$F351),2))</f>
      </c>
      <c r="H351" s="35">
        <f>IF(OR($D351="",$K351=""),"",COUNTIF(Payments!$G$5:$G$2500,$K351))</f>
      </c>
      <c r="I351" s="37">
        <f>IF($D351="","",IF(OR($F351="",$F351=0),"Pending",IF(ROUND($F351-$D351,2)&gt;0,"Overpaid",IF(ROUND($F351-$D351,2)=0,"Paid","Partial"))))</f>
      </c>
      <c r="J351" s="29"/>
      <c r="K351">
        <f>IF($A351="","","#"&amp;TRIM(SUBSTITUTE(SUBSTITUTE(SUBSTITUTE(SUBSTITUTE(SUBSTITUTE(SUBSTITUTE($A351,"-",""),"(",""),")",""),".",""),"+","")," ","")))</f>
      </c>
    </row>
    <row r="352" spans="1:11" x14ac:dyDescent="0.3">
      <c r="A352" s="28"/>
      <c r="B352" s="29"/>
      <c r="C352" s="30"/>
      <c r="D352" s="31"/>
      <c r="E352" s="33">
        <f>IF(OR($D352="",$K352=""),"",IF(COUNTIFS(Payments!$G$5:$G$2500,$K352,Payments!$C$5:$C$2500,"&lt;&gt;")=0,"",_xlfn.MAXIFS(Payments!$C$5:$C$2500,Payments!$G$5:$G$2500,$K352)))</f>
      </c>
      <c r="F352" s="34">
        <f>IF(OR($D352="",$K352=""),"",SUMIF(Payments!$G$5:$G$2500,$K352,Payments!$D$5:$D$2500))</f>
      </c>
      <c r="G352" s="36">
        <f>IF($D352="","",ROUND($D352-IF($F352="",0,$F352),2))</f>
      </c>
      <c r="H352" s="35">
        <f>IF(OR($D352="",$K352=""),"",COUNTIF(Payments!$G$5:$G$2500,$K352))</f>
      </c>
      <c r="I352" s="37">
        <f>IF($D352="","",IF(OR($F352="",$F352=0),"Pending",IF(ROUND($F352-$D352,2)&gt;0,"Overpaid",IF(ROUND($F352-$D352,2)=0,"Paid","Partial"))))</f>
      </c>
      <c r="J352" s="29"/>
      <c r="K352">
        <f>IF($A352="","","#"&amp;TRIM(SUBSTITUTE(SUBSTITUTE(SUBSTITUTE(SUBSTITUTE(SUBSTITUTE(SUBSTITUTE($A352,"-",""),"(",""),")",""),".",""),"+","")," ","")))</f>
      </c>
    </row>
    <row r="353" spans="1:11" x14ac:dyDescent="0.3">
      <c r="A353" s="28"/>
      <c r="B353" s="29"/>
      <c r="C353" s="30"/>
      <c r="D353" s="31"/>
      <c r="E353" s="33">
        <f>IF(OR($D353="",$K353=""),"",IF(COUNTIFS(Payments!$G$5:$G$2500,$K353,Payments!$C$5:$C$2500,"&lt;&gt;")=0,"",_xlfn.MAXIFS(Payments!$C$5:$C$2500,Payments!$G$5:$G$2500,$K353)))</f>
      </c>
      <c r="F353" s="34">
        <f>IF(OR($D353="",$K353=""),"",SUMIF(Payments!$G$5:$G$2500,$K353,Payments!$D$5:$D$2500))</f>
      </c>
      <c r="G353" s="36">
        <f>IF($D353="","",ROUND($D353-IF($F353="",0,$F353),2))</f>
      </c>
      <c r="H353" s="35">
        <f>IF(OR($D353="",$K353=""),"",COUNTIF(Payments!$G$5:$G$2500,$K353))</f>
      </c>
      <c r="I353" s="37">
        <f>IF($D353="","",IF(OR($F353="",$F353=0),"Pending",IF(ROUND($F353-$D353,2)&gt;0,"Overpaid",IF(ROUND($F353-$D353,2)=0,"Paid","Partial"))))</f>
      </c>
      <c r="J353" s="29"/>
      <c r="K353">
        <f>IF($A353="","","#"&amp;TRIM(SUBSTITUTE(SUBSTITUTE(SUBSTITUTE(SUBSTITUTE(SUBSTITUTE(SUBSTITUTE($A353,"-",""),"(",""),")",""),".",""),"+","")," ","")))</f>
      </c>
    </row>
    <row r="354" spans="1:11" x14ac:dyDescent="0.3">
      <c r="A354" s="28"/>
      <c r="B354" s="29"/>
      <c r="C354" s="30"/>
      <c r="D354" s="31"/>
      <c r="E354" s="33">
        <f>IF(OR($D354="",$K354=""),"",IF(COUNTIFS(Payments!$G$5:$G$2500,$K354,Payments!$C$5:$C$2500,"&lt;&gt;")=0,"",_xlfn.MAXIFS(Payments!$C$5:$C$2500,Payments!$G$5:$G$2500,$K354)))</f>
      </c>
      <c r="F354" s="34">
        <f>IF(OR($D354="",$K354=""),"",SUMIF(Payments!$G$5:$G$2500,$K354,Payments!$D$5:$D$2500))</f>
      </c>
      <c r="G354" s="36">
        <f>IF($D354="","",ROUND($D354-IF($F354="",0,$F354),2))</f>
      </c>
      <c r="H354" s="35">
        <f>IF(OR($D354="",$K354=""),"",COUNTIF(Payments!$G$5:$G$2500,$K354))</f>
      </c>
      <c r="I354" s="37">
        <f>IF($D354="","",IF(OR($F354="",$F354=0),"Pending",IF(ROUND($F354-$D354,2)&gt;0,"Overpaid",IF(ROUND($F354-$D354,2)=0,"Paid","Partial"))))</f>
      </c>
      <c r="J354" s="29"/>
      <c r="K354">
        <f>IF($A354="","","#"&amp;TRIM(SUBSTITUTE(SUBSTITUTE(SUBSTITUTE(SUBSTITUTE(SUBSTITUTE(SUBSTITUTE($A354,"-",""),"(",""),")",""),".",""),"+","")," ","")))</f>
      </c>
    </row>
    <row r="355" spans="1:11" x14ac:dyDescent="0.3">
      <c r="A355" s="28"/>
      <c r="B355" s="29"/>
      <c r="C355" s="30"/>
      <c r="D355" s="31"/>
      <c r="E355" s="33">
        <f>IF(OR($D355="",$K355=""),"",IF(COUNTIFS(Payments!$G$5:$G$2500,$K355,Payments!$C$5:$C$2500,"&lt;&gt;")=0,"",_xlfn.MAXIFS(Payments!$C$5:$C$2500,Payments!$G$5:$G$2500,$K355)))</f>
      </c>
      <c r="F355" s="34">
        <f>IF(OR($D355="",$K355=""),"",SUMIF(Payments!$G$5:$G$2500,$K355,Payments!$D$5:$D$2500))</f>
      </c>
      <c r="G355" s="36">
        <f>IF($D355="","",ROUND($D355-IF($F355="",0,$F355),2))</f>
      </c>
      <c r="H355" s="35">
        <f>IF(OR($D355="",$K355=""),"",COUNTIF(Payments!$G$5:$G$2500,$K355))</f>
      </c>
      <c r="I355" s="37">
        <f>IF($D355="","",IF(OR($F355="",$F355=0),"Pending",IF(ROUND($F355-$D355,2)&gt;0,"Overpaid",IF(ROUND($F355-$D355,2)=0,"Paid","Partial"))))</f>
      </c>
      <c r="J355" s="29"/>
      <c r="K355">
        <f>IF($A355="","","#"&amp;TRIM(SUBSTITUTE(SUBSTITUTE(SUBSTITUTE(SUBSTITUTE(SUBSTITUTE(SUBSTITUTE($A355,"-",""),"(",""),")",""),".",""),"+","")," ","")))</f>
      </c>
    </row>
    <row r="356" spans="1:11" x14ac:dyDescent="0.3">
      <c r="A356" s="28"/>
      <c r="B356" s="29"/>
      <c r="C356" s="30"/>
      <c r="D356" s="31"/>
      <c r="E356" s="33">
        <f>IF(OR($D356="",$K356=""),"",IF(COUNTIFS(Payments!$G$5:$G$2500,$K356,Payments!$C$5:$C$2500,"&lt;&gt;")=0,"",_xlfn.MAXIFS(Payments!$C$5:$C$2500,Payments!$G$5:$G$2500,$K356)))</f>
      </c>
      <c r="F356" s="34">
        <f>IF(OR($D356="",$K356=""),"",SUMIF(Payments!$G$5:$G$2500,$K356,Payments!$D$5:$D$2500))</f>
      </c>
      <c r="G356" s="36">
        <f>IF($D356="","",ROUND($D356-IF($F356="",0,$F356),2))</f>
      </c>
      <c r="H356" s="35">
        <f>IF(OR($D356="",$K356=""),"",COUNTIF(Payments!$G$5:$G$2500,$K356))</f>
      </c>
      <c r="I356" s="37">
        <f>IF($D356="","",IF(OR($F356="",$F356=0),"Pending",IF(ROUND($F356-$D356,2)&gt;0,"Overpaid",IF(ROUND($F356-$D356,2)=0,"Paid","Partial"))))</f>
      </c>
      <c r="J356" s="29"/>
      <c r="K356">
        <f>IF($A356="","","#"&amp;TRIM(SUBSTITUTE(SUBSTITUTE(SUBSTITUTE(SUBSTITUTE(SUBSTITUTE(SUBSTITUTE($A356,"-",""),"(",""),")",""),".",""),"+","")," ","")))</f>
      </c>
    </row>
    <row r="357" spans="1:11" x14ac:dyDescent="0.3">
      <c r="A357" s="28"/>
      <c r="B357" s="29"/>
      <c r="C357" s="30"/>
      <c r="D357" s="31"/>
      <c r="E357" s="33">
        <f>IF(OR($D357="",$K357=""),"",IF(COUNTIFS(Payments!$G$5:$G$2500,$K357,Payments!$C$5:$C$2500,"&lt;&gt;")=0,"",_xlfn.MAXIFS(Payments!$C$5:$C$2500,Payments!$G$5:$G$2500,$K357)))</f>
      </c>
      <c r="F357" s="34">
        <f>IF(OR($D357="",$K357=""),"",SUMIF(Payments!$G$5:$G$2500,$K357,Payments!$D$5:$D$2500))</f>
      </c>
      <c r="G357" s="36">
        <f>IF($D357="","",ROUND($D357-IF($F357="",0,$F357),2))</f>
      </c>
      <c r="H357" s="35">
        <f>IF(OR($D357="",$K357=""),"",COUNTIF(Payments!$G$5:$G$2500,$K357))</f>
      </c>
      <c r="I357" s="37">
        <f>IF($D357="","",IF(OR($F357="",$F357=0),"Pending",IF(ROUND($F357-$D357,2)&gt;0,"Overpaid",IF(ROUND($F357-$D357,2)=0,"Paid","Partial"))))</f>
      </c>
      <c r="J357" s="29"/>
      <c r="K357">
        <f>IF($A357="","","#"&amp;TRIM(SUBSTITUTE(SUBSTITUTE(SUBSTITUTE(SUBSTITUTE(SUBSTITUTE(SUBSTITUTE($A357,"-",""),"(",""),")",""),".",""),"+","")," ","")))</f>
      </c>
    </row>
    <row r="358" spans="1:11" x14ac:dyDescent="0.3">
      <c r="A358" s="28"/>
      <c r="B358" s="29"/>
      <c r="C358" s="30"/>
      <c r="D358" s="31"/>
      <c r="E358" s="33">
        <f>IF(OR($D358="",$K358=""),"",IF(COUNTIFS(Payments!$G$5:$G$2500,$K358,Payments!$C$5:$C$2500,"&lt;&gt;")=0,"",_xlfn.MAXIFS(Payments!$C$5:$C$2500,Payments!$G$5:$G$2500,$K358)))</f>
      </c>
      <c r="F358" s="34">
        <f>IF(OR($D358="",$K358=""),"",SUMIF(Payments!$G$5:$G$2500,$K358,Payments!$D$5:$D$2500))</f>
      </c>
      <c r="G358" s="36">
        <f>IF($D358="","",ROUND($D358-IF($F358="",0,$F358),2))</f>
      </c>
      <c r="H358" s="35">
        <f>IF(OR($D358="",$K358=""),"",COUNTIF(Payments!$G$5:$G$2500,$K358))</f>
      </c>
      <c r="I358" s="37">
        <f>IF($D358="","",IF(OR($F358="",$F358=0),"Pending",IF(ROUND($F358-$D358,2)&gt;0,"Overpaid",IF(ROUND($F358-$D358,2)=0,"Paid","Partial"))))</f>
      </c>
      <c r="J358" s="29"/>
      <c r="K358">
        <f>IF($A358="","","#"&amp;TRIM(SUBSTITUTE(SUBSTITUTE(SUBSTITUTE(SUBSTITUTE(SUBSTITUTE(SUBSTITUTE($A358,"-",""),"(",""),")",""),".",""),"+","")," ","")))</f>
      </c>
    </row>
    <row r="359" spans="1:11" x14ac:dyDescent="0.3">
      <c r="A359" s="28"/>
      <c r="B359" s="29"/>
      <c r="C359" s="30"/>
      <c r="D359" s="31"/>
      <c r="E359" s="33">
        <f>IF(OR($D359="",$K359=""),"",IF(COUNTIFS(Payments!$G$5:$G$2500,$K359,Payments!$C$5:$C$2500,"&lt;&gt;")=0,"",_xlfn.MAXIFS(Payments!$C$5:$C$2500,Payments!$G$5:$G$2500,$K359)))</f>
      </c>
      <c r="F359" s="34">
        <f>IF(OR($D359="",$K359=""),"",SUMIF(Payments!$G$5:$G$2500,$K359,Payments!$D$5:$D$2500))</f>
      </c>
      <c r="G359" s="36">
        <f>IF($D359="","",ROUND($D359-IF($F359="",0,$F359),2))</f>
      </c>
      <c r="H359" s="35">
        <f>IF(OR($D359="",$K359=""),"",COUNTIF(Payments!$G$5:$G$2500,$K359))</f>
      </c>
      <c r="I359" s="37">
        <f>IF($D359="","",IF(OR($F359="",$F359=0),"Pending",IF(ROUND($F359-$D359,2)&gt;0,"Overpaid",IF(ROUND($F359-$D359,2)=0,"Paid","Partial"))))</f>
      </c>
      <c r="J359" s="29"/>
      <c r="K359">
        <f>IF($A359="","","#"&amp;TRIM(SUBSTITUTE(SUBSTITUTE(SUBSTITUTE(SUBSTITUTE(SUBSTITUTE(SUBSTITUTE($A359,"-",""),"(",""),")",""),".",""),"+","")," ","")))</f>
      </c>
    </row>
    <row r="360" spans="1:11" x14ac:dyDescent="0.3">
      <c r="A360" s="28"/>
      <c r="B360" s="29"/>
      <c r="C360" s="30"/>
      <c r="D360" s="31"/>
      <c r="E360" s="33">
        <f>IF(OR($D360="",$K360=""),"",IF(COUNTIFS(Payments!$G$5:$G$2500,$K360,Payments!$C$5:$C$2500,"&lt;&gt;")=0,"",_xlfn.MAXIFS(Payments!$C$5:$C$2500,Payments!$G$5:$G$2500,$K360)))</f>
      </c>
      <c r="F360" s="34">
        <f>IF(OR($D360="",$K360=""),"",SUMIF(Payments!$G$5:$G$2500,$K360,Payments!$D$5:$D$2500))</f>
      </c>
      <c r="G360" s="36">
        <f>IF($D360="","",ROUND($D360-IF($F360="",0,$F360),2))</f>
      </c>
      <c r="H360" s="35">
        <f>IF(OR($D360="",$K360=""),"",COUNTIF(Payments!$G$5:$G$2500,$K360))</f>
      </c>
      <c r="I360" s="37">
        <f>IF($D360="","",IF(OR($F360="",$F360=0),"Pending",IF(ROUND($F360-$D360,2)&gt;0,"Overpaid",IF(ROUND($F360-$D360,2)=0,"Paid","Partial"))))</f>
      </c>
      <c r="J360" s="29"/>
      <c r="K360">
        <f>IF($A360="","","#"&amp;TRIM(SUBSTITUTE(SUBSTITUTE(SUBSTITUTE(SUBSTITUTE(SUBSTITUTE(SUBSTITUTE($A360,"-",""),"(",""),")",""),".",""),"+","")," ","")))</f>
      </c>
    </row>
    <row r="361" spans="1:11" x14ac:dyDescent="0.3">
      <c r="A361" s="28"/>
      <c r="B361" s="29"/>
      <c r="C361" s="30"/>
      <c r="D361" s="31"/>
      <c r="E361" s="33">
        <f>IF(OR($D361="",$K361=""),"",IF(COUNTIFS(Payments!$G$5:$G$2500,$K361,Payments!$C$5:$C$2500,"&lt;&gt;")=0,"",_xlfn.MAXIFS(Payments!$C$5:$C$2500,Payments!$G$5:$G$2500,$K361)))</f>
      </c>
      <c r="F361" s="34">
        <f>IF(OR($D361="",$K361=""),"",SUMIF(Payments!$G$5:$G$2500,$K361,Payments!$D$5:$D$2500))</f>
      </c>
      <c r="G361" s="36">
        <f>IF($D361="","",ROUND($D361-IF($F361="",0,$F361),2))</f>
      </c>
      <c r="H361" s="35">
        <f>IF(OR($D361="",$K361=""),"",COUNTIF(Payments!$G$5:$G$2500,$K361))</f>
      </c>
      <c r="I361" s="37">
        <f>IF($D361="","",IF(OR($F361="",$F361=0),"Pending",IF(ROUND($F361-$D361,2)&gt;0,"Overpaid",IF(ROUND($F361-$D361,2)=0,"Paid","Partial"))))</f>
      </c>
      <c r="J361" s="29"/>
      <c r="K361">
        <f>IF($A361="","","#"&amp;TRIM(SUBSTITUTE(SUBSTITUTE(SUBSTITUTE(SUBSTITUTE(SUBSTITUTE(SUBSTITUTE($A361,"-",""),"(",""),")",""),".",""),"+","")," ","")))</f>
      </c>
    </row>
    <row r="362" spans="1:11" x14ac:dyDescent="0.3">
      <c r="A362" s="28"/>
      <c r="B362" s="29"/>
      <c r="C362" s="30"/>
      <c r="D362" s="31"/>
      <c r="E362" s="33">
        <f>IF(OR($D362="",$K362=""),"",IF(COUNTIFS(Payments!$G$5:$G$2500,$K362,Payments!$C$5:$C$2500,"&lt;&gt;")=0,"",_xlfn.MAXIFS(Payments!$C$5:$C$2500,Payments!$G$5:$G$2500,$K362)))</f>
      </c>
      <c r="F362" s="34">
        <f>IF(OR($D362="",$K362=""),"",SUMIF(Payments!$G$5:$G$2500,$K362,Payments!$D$5:$D$2500))</f>
      </c>
      <c r="G362" s="36">
        <f>IF($D362="","",ROUND($D362-IF($F362="",0,$F362),2))</f>
      </c>
      <c r="H362" s="35">
        <f>IF(OR($D362="",$K362=""),"",COUNTIF(Payments!$G$5:$G$2500,$K362))</f>
      </c>
      <c r="I362" s="37">
        <f>IF($D362="","",IF(OR($F362="",$F362=0),"Pending",IF(ROUND($F362-$D362,2)&gt;0,"Overpaid",IF(ROUND($F362-$D362,2)=0,"Paid","Partial"))))</f>
      </c>
      <c r="J362" s="29"/>
      <c r="K362">
        <f>IF($A362="","","#"&amp;TRIM(SUBSTITUTE(SUBSTITUTE(SUBSTITUTE(SUBSTITUTE(SUBSTITUTE(SUBSTITUTE($A362,"-",""),"(",""),")",""),".",""),"+","")," ","")))</f>
      </c>
    </row>
    <row r="363" spans="1:11" x14ac:dyDescent="0.3">
      <c r="A363" s="28"/>
      <c r="B363" s="29"/>
      <c r="C363" s="30"/>
      <c r="D363" s="31"/>
      <c r="E363" s="33">
        <f>IF(OR($D363="",$K363=""),"",IF(COUNTIFS(Payments!$G$5:$G$2500,$K363,Payments!$C$5:$C$2500,"&lt;&gt;")=0,"",_xlfn.MAXIFS(Payments!$C$5:$C$2500,Payments!$G$5:$G$2500,$K363)))</f>
      </c>
      <c r="F363" s="34">
        <f>IF(OR($D363="",$K363=""),"",SUMIF(Payments!$G$5:$G$2500,$K363,Payments!$D$5:$D$2500))</f>
      </c>
      <c r="G363" s="36">
        <f>IF($D363="","",ROUND($D363-IF($F363="",0,$F363),2))</f>
      </c>
      <c r="H363" s="35">
        <f>IF(OR($D363="",$K363=""),"",COUNTIF(Payments!$G$5:$G$2500,$K363))</f>
      </c>
      <c r="I363" s="37">
        <f>IF($D363="","",IF(OR($F363="",$F363=0),"Pending",IF(ROUND($F363-$D363,2)&gt;0,"Overpaid",IF(ROUND($F363-$D363,2)=0,"Paid","Partial"))))</f>
      </c>
      <c r="J363" s="29"/>
      <c r="K363">
        <f>IF($A363="","","#"&amp;TRIM(SUBSTITUTE(SUBSTITUTE(SUBSTITUTE(SUBSTITUTE(SUBSTITUTE(SUBSTITUTE($A363,"-",""),"(",""),")",""),".",""),"+","")," ","")))</f>
      </c>
    </row>
    <row r="364" spans="1:11" x14ac:dyDescent="0.3">
      <c r="A364" s="28"/>
      <c r="B364" s="29"/>
      <c r="C364" s="30"/>
      <c r="D364" s="31"/>
      <c r="E364" s="33">
        <f>IF(OR($D364="",$K364=""),"",IF(COUNTIFS(Payments!$G$5:$G$2500,$K364,Payments!$C$5:$C$2500,"&lt;&gt;")=0,"",_xlfn.MAXIFS(Payments!$C$5:$C$2500,Payments!$G$5:$G$2500,$K364)))</f>
      </c>
      <c r="F364" s="34">
        <f>IF(OR($D364="",$K364=""),"",SUMIF(Payments!$G$5:$G$2500,$K364,Payments!$D$5:$D$2500))</f>
      </c>
      <c r="G364" s="36">
        <f>IF($D364="","",ROUND($D364-IF($F364="",0,$F364),2))</f>
      </c>
      <c r="H364" s="35">
        <f>IF(OR($D364="",$K364=""),"",COUNTIF(Payments!$G$5:$G$2500,$K364))</f>
      </c>
      <c r="I364" s="37">
        <f>IF($D364="","",IF(OR($F364="",$F364=0),"Pending",IF(ROUND($F364-$D364,2)&gt;0,"Overpaid",IF(ROUND($F364-$D364,2)=0,"Paid","Partial"))))</f>
      </c>
      <c r="J364" s="29"/>
      <c r="K364">
        <f>IF($A364="","","#"&amp;TRIM(SUBSTITUTE(SUBSTITUTE(SUBSTITUTE(SUBSTITUTE(SUBSTITUTE(SUBSTITUTE($A364,"-",""),"(",""),")",""),".",""),"+","")," ","")))</f>
      </c>
    </row>
    <row r="365" spans="1:11" x14ac:dyDescent="0.3">
      <c r="A365" s="28"/>
      <c r="B365" s="29"/>
      <c r="C365" s="30"/>
      <c r="D365" s="31"/>
      <c r="E365" s="33">
        <f>IF(OR($D365="",$K365=""),"",IF(COUNTIFS(Payments!$G$5:$G$2500,$K365,Payments!$C$5:$C$2500,"&lt;&gt;")=0,"",_xlfn.MAXIFS(Payments!$C$5:$C$2500,Payments!$G$5:$G$2500,$K365)))</f>
      </c>
      <c r="F365" s="34">
        <f>IF(OR($D365="",$K365=""),"",SUMIF(Payments!$G$5:$G$2500,$K365,Payments!$D$5:$D$2500))</f>
      </c>
      <c r="G365" s="36">
        <f>IF($D365="","",ROUND($D365-IF($F365="",0,$F365),2))</f>
      </c>
      <c r="H365" s="35">
        <f>IF(OR($D365="",$K365=""),"",COUNTIF(Payments!$G$5:$G$2500,$K365))</f>
      </c>
      <c r="I365" s="37">
        <f>IF($D365="","",IF(OR($F365="",$F365=0),"Pending",IF(ROUND($F365-$D365,2)&gt;0,"Overpaid",IF(ROUND($F365-$D365,2)=0,"Paid","Partial"))))</f>
      </c>
      <c r="J365" s="29"/>
      <c r="K365">
        <f>IF($A365="","","#"&amp;TRIM(SUBSTITUTE(SUBSTITUTE(SUBSTITUTE(SUBSTITUTE(SUBSTITUTE(SUBSTITUTE($A365,"-",""),"(",""),")",""),".",""),"+","")," ","")))</f>
      </c>
    </row>
    <row r="366" spans="1:11" x14ac:dyDescent="0.3">
      <c r="A366" s="28"/>
      <c r="B366" s="29"/>
      <c r="C366" s="30"/>
      <c r="D366" s="31"/>
      <c r="E366" s="33">
        <f>IF(OR($D366="",$K366=""),"",IF(COUNTIFS(Payments!$G$5:$G$2500,$K366,Payments!$C$5:$C$2500,"&lt;&gt;")=0,"",_xlfn.MAXIFS(Payments!$C$5:$C$2500,Payments!$G$5:$G$2500,$K366)))</f>
      </c>
      <c r="F366" s="34">
        <f>IF(OR($D366="",$K366=""),"",SUMIF(Payments!$G$5:$G$2500,$K366,Payments!$D$5:$D$2500))</f>
      </c>
      <c r="G366" s="36">
        <f>IF($D366="","",ROUND($D366-IF($F366="",0,$F366),2))</f>
      </c>
      <c r="H366" s="35">
        <f>IF(OR($D366="",$K366=""),"",COUNTIF(Payments!$G$5:$G$2500,$K366))</f>
      </c>
      <c r="I366" s="37">
        <f>IF($D366="","",IF(OR($F366="",$F366=0),"Pending",IF(ROUND($F366-$D366,2)&gt;0,"Overpaid",IF(ROUND($F366-$D366,2)=0,"Paid","Partial"))))</f>
      </c>
      <c r="J366" s="29"/>
      <c r="K366">
        <f>IF($A366="","","#"&amp;TRIM(SUBSTITUTE(SUBSTITUTE(SUBSTITUTE(SUBSTITUTE(SUBSTITUTE(SUBSTITUTE($A366,"-",""),"(",""),")",""),".",""),"+","")," ","")))</f>
      </c>
    </row>
    <row r="367" spans="1:11" x14ac:dyDescent="0.3">
      <c r="A367" s="28"/>
      <c r="B367" s="29"/>
      <c r="C367" s="30"/>
      <c r="D367" s="31"/>
      <c r="E367" s="33">
        <f>IF(OR($D367="",$K367=""),"",IF(COUNTIFS(Payments!$G$5:$G$2500,$K367,Payments!$C$5:$C$2500,"&lt;&gt;")=0,"",_xlfn.MAXIFS(Payments!$C$5:$C$2500,Payments!$G$5:$G$2500,$K367)))</f>
      </c>
      <c r="F367" s="34">
        <f>IF(OR($D367="",$K367=""),"",SUMIF(Payments!$G$5:$G$2500,$K367,Payments!$D$5:$D$2500))</f>
      </c>
      <c r="G367" s="36">
        <f>IF($D367="","",ROUND($D367-IF($F367="",0,$F367),2))</f>
      </c>
      <c r="H367" s="35">
        <f>IF(OR($D367="",$K367=""),"",COUNTIF(Payments!$G$5:$G$2500,$K367))</f>
      </c>
      <c r="I367" s="37">
        <f>IF($D367="","",IF(OR($F367="",$F367=0),"Pending",IF(ROUND($F367-$D367,2)&gt;0,"Overpaid",IF(ROUND($F367-$D367,2)=0,"Paid","Partial"))))</f>
      </c>
      <c r="J367" s="29"/>
      <c r="K367">
        <f>IF($A367="","","#"&amp;TRIM(SUBSTITUTE(SUBSTITUTE(SUBSTITUTE(SUBSTITUTE(SUBSTITUTE(SUBSTITUTE($A367,"-",""),"(",""),")",""),".",""),"+","")," ","")))</f>
      </c>
    </row>
    <row r="368" spans="1:11" x14ac:dyDescent="0.3">
      <c r="A368" s="28"/>
      <c r="B368" s="29"/>
      <c r="C368" s="30"/>
      <c r="D368" s="31"/>
      <c r="E368" s="33">
        <f>IF(OR($D368="",$K368=""),"",IF(COUNTIFS(Payments!$G$5:$G$2500,$K368,Payments!$C$5:$C$2500,"&lt;&gt;")=0,"",_xlfn.MAXIFS(Payments!$C$5:$C$2500,Payments!$G$5:$G$2500,$K368)))</f>
      </c>
      <c r="F368" s="34">
        <f>IF(OR($D368="",$K368=""),"",SUMIF(Payments!$G$5:$G$2500,$K368,Payments!$D$5:$D$2500))</f>
      </c>
      <c r="G368" s="36">
        <f>IF($D368="","",ROUND($D368-IF($F368="",0,$F368),2))</f>
      </c>
      <c r="H368" s="35">
        <f>IF(OR($D368="",$K368=""),"",COUNTIF(Payments!$G$5:$G$2500,$K368))</f>
      </c>
      <c r="I368" s="37">
        <f>IF($D368="","",IF(OR($F368="",$F368=0),"Pending",IF(ROUND($F368-$D368,2)&gt;0,"Overpaid",IF(ROUND($F368-$D368,2)=0,"Paid","Partial"))))</f>
      </c>
      <c r="J368" s="29"/>
      <c r="K368">
        <f>IF($A368="","","#"&amp;TRIM(SUBSTITUTE(SUBSTITUTE(SUBSTITUTE(SUBSTITUTE(SUBSTITUTE(SUBSTITUTE($A368,"-",""),"(",""),")",""),".",""),"+","")," ","")))</f>
      </c>
    </row>
    <row r="369" spans="1:11" x14ac:dyDescent="0.3">
      <c r="A369" s="28"/>
      <c r="B369" s="29"/>
      <c r="C369" s="30"/>
      <c r="D369" s="31"/>
      <c r="E369" s="33">
        <f>IF(OR($D369="",$K369=""),"",IF(COUNTIFS(Payments!$G$5:$G$2500,$K369,Payments!$C$5:$C$2500,"&lt;&gt;")=0,"",_xlfn.MAXIFS(Payments!$C$5:$C$2500,Payments!$G$5:$G$2500,$K369)))</f>
      </c>
      <c r="F369" s="34">
        <f>IF(OR($D369="",$K369=""),"",SUMIF(Payments!$G$5:$G$2500,$K369,Payments!$D$5:$D$2500))</f>
      </c>
      <c r="G369" s="36">
        <f>IF($D369="","",ROUND($D369-IF($F369="",0,$F369),2))</f>
      </c>
      <c r="H369" s="35">
        <f>IF(OR($D369="",$K369=""),"",COUNTIF(Payments!$G$5:$G$2500,$K369))</f>
      </c>
      <c r="I369" s="37">
        <f>IF($D369="","",IF(OR($F369="",$F369=0),"Pending",IF(ROUND($F369-$D369,2)&gt;0,"Overpaid",IF(ROUND($F369-$D369,2)=0,"Paid","Partial"))))</f>
      </c>
      <c r="J369" s="29"/>
      <c r="K369">
        <f>IF($A369="","","#"&amp;TRIM(SUBSTITUTE(SUBSTITUTE(SUBSTITUTE(SUBSTITUTE(SUBSTITUTE(SUBSTITUTE($A369,"-",""),"(",""),")",""),".",""),"+","")," ","")))</f>
      </c>
    </row>
    <row r="370" spans="1:11" x14ac:dyDescent="0.3">
      <c r="A370" s="28"/>
      <c r="B370" s="29"/>
      <c r="C370" s="30"/>
      <c r="D370" s="31"/>
      <c r="E370" s="33">
        <f>IF(OR($D370="",$K370=""),"",IF(COUNTIFS(Payments!$G$5:$G$2500,$K370,Payments!$C$5:$C$2500,"&lt;&gt;")=0,"",_xlfn.MAXIFS(Payments!$C$5:$C$2500,Payments!$G$5:$G$2500,$K370)))</f>
      </c>
      <c r="F370" s="34">
        <f>IF(OR($D370="",$K370=""),"",SUMIF(Payments!$G$5:$G$2500,$K370,Payments!$D$5:$D$2500))</f>
      </c>
      <c r="G370" s="36">
        <f>IF($D370="","",ROUND($D370-IF($F370="",0,$F370),2))</f>
      </c>
      <c r="H370" s="35">
        <f>IF(OR($D370="",$K370=""),"",COUNTIF(Payments!$G$5:$G$2500,$K370))</f>
      </c>
      <c r="I370" s="37">
        <f>IF($D370="","",IF(OR($F370="",$F370=0),"Pending",IF(ROUND($F370-$D370,2)&gt;0,"Overpaid",IF(ROUND($F370-$D370,2)=0,"Paid","Partial"))))</f>
      </c>
      <c r="J370" s="29"/>
      <c r="K370">
        <f>IF($A370="","","#"&amp;TRIM(SUBSTITUTE(SUBSTITUTE(SUBSTITUTE(SUBSTITUTE(SUBSTITUTE(SUBSTITUTE($A370,"-",""),"(",""),")",""),".",""),"+","")," ","")))</f>
      </c>
    </row>
    <row r="371" spans="1:11" x14ac:dyDescent="0.3">
      <c r="A371" s="28"/>
      <c r="B371" s="29"/>
      <c r="C371" s="30"/>
      <c r="D371" s="31"/>
      <c r="E371" s="33">
        <f>IF(OR($D371="",$K371=""),"",IF(COUNTIFS(Payments!$G$5:$G$2500,$K371,Payments!$C$5:$C$2500,"&lt;&gt;")=0,"",_xlfn.MAXIFS(Payments!$C$5:$C$2500,Payments!$G$5:$G$2500,$K371)))</f>
      </c>
      <c r="F371" s="34">
        <f>IF(OR($D371="",$K371=""),"",SUMIF(Payments!$G$5:$G$2500,$K371,Payments!$D$5:$D$2500))</f>
      </c>
      <c r="G371" s="36">
        <f>IF($D371="","",ROUND($D371-IF($F371="",0,$F371),2))</f>
      </c>
      <c r="H371" s="35">
        <f>IF(OR($D371="",$K371=""),"",COUNTIF(Payments!$G$5:$G$2500,$K371))</f>
      </c>
      <c r="I371" s="37">
        <f>IF($D371="","",IF(OR($F371="",$F371=0),"Pending",IF(ROUND($F371-$D371,2)&gt;0,"Overpaid",IF(ROUND($F371-$D371,2)=0,"Paid","Partial"))))</f>
      </c>
      <c r="J371" s="29"/>
      <c r="K371">
        <f>IF($A371="","","#"&amp;TRIM(SUBSTITUTE(SUBSTITUTE(SUBSTITUTE(SUBSTITUTE(SUBSTITUTE(SUBSTITUTE($A371,"-",""),"(",""),")",""),".",""),"+","")," ","")))</f>
      </c>
    </row>
    <row r="372" spans="1:11" x14ac:dyDescent="0.3">
      <c r="A372" s="28"/>
      <c r="B372" s="29"/>
      <c r="C372" s="30"/>
      <c r="D372" s="31"/>
      <c r="E372" s="33">
        <f>IF(OR($D372="",$K372=""),"",IF(COUNTIFS(Payments!$G$5:$G$2500,$K372,Payments!$C$5:$C$2500,"&lt;&gt;")=0,"",_xlfn.MAXIFS(Payments!$C$5:$C$2500,Payments!$G$5:$G$2500,$K372)))</f>
      </c>
      <c r="F372" s="34">
        <f>IF(OR($D372="",$K372=""),"",SUMIF(Payments!$G$5:$G$2500,$K372,Payments!$D$5:$D$2500))</f>
      </c>
      <c r="G372" s="36">
        <f>IF($D372="","",ROUND($D372-IF($F372="",0,$F372),2))</f>
      </c>
      <c r="H372" s="35">
        <f>IF(OR($D372="",$K372=""),"",COUNTIF(Payments!$G$5:$G$2500,$K372))</f>
      </c>
      <c r="I372" s="37">
        <f>IF($D372="","",IF(OR($F372="",$F372=0),"Pending",IF(ROUND($F372-$D372,2)&gt;0,"Overpaid",IF(ROUND($F372-$D372,2)=0,"Paid","Partial"))))</f>
      </c>
      <c r="J372" s="29"/>
      <c r="K372">
        <f>IF($A372="","","#"&amp;TRIM(SUBSTITUTE(SUBSTITUTE(SUBSTITUTE(SUBSTITUTE(SUBSTITUTE(SUBSTITUTE($A372,"-",""),"(",""),")",""),".",""),"+","")," ","")))</f>
      </c>
    </row>
    <row r="373" spans="1:11" x14ac:dyDescent="0.3">
      <c r="A373" s="28"/>
      <c r="B373" s="29"/>
      <c r="C373" s="30"/>
      <c r="D373" s="31"/>
      <c r="E373" s="33">
        <f>IF(OR($D373="",$K373=""),"",IF(COUNTIFS(Payments!$G$5:$G$2500,$K373,Payments!$C$5:$C$2500,"&lt;&gt;")=0,"",_xlfn.MAXIFS(Payments!$C$5:$C$2500,Payments!$G$5:$G$2500,$K373)))</f>
      </c>
      <c r="F373" s="34">
        <f>IF(OR($D373="",$K373=""),"",SUMIF(Payments!$G$5:$G$2500,$K373,Payments!$D$5:$D$2500))</f>
      </c>
      <c r="G373" s="36">
        <f>IF($D373="","",ROUND($D373-IF($F373="",0,$F373),2))</f>
      </c>
      <c r="H373" s="35">
        <f>IF(OR($D373="",$K373=""),"",COUNTIF(Payments!$G$5:$G$2500,$K373))</f>
      </c>
      <c r="I373" s="37">
        <f>IF($D373="","",IF(OR($F373="",$F373=0),"Pending",IF(ROUND($F373-$D373,2)&gt;0,"Overpaid",IF(ROUND($F373-$D373,2)=0,"Paid","Partial"))))</f>
      </c>
      <c r="J373" s="29"/>
      <c r="K373">
        <f>IF($A373="","","#"&amp;TRIM(SUBSTITUTE(SUBSTITUTE(SUBSTITUTE(SUBSTITUTE(SUBSTITUTE(SUBSTITUTE($A373,"-",""),"(",""),")",""),".",""),"+","")," ","")))</f>
      </c>
    </row>
    <row r="374" spans="1:11" x14ac:dyDescent="0.3">
      <c r="A374" s="28"/>
      <c r="B374" s="29"/>
      <c r="C374" s="30"/>
      <c r="D374" s="31"/>
      <c r="E374" s="33">
        <f>IF(OR($D374="",$K374=""),"",IF(COUNTIFS(Payments!$G$5:$G$2500,$K374,Payments!$C$5:$C$2500,"&lt;&gt;")=0,"",_xlfn.MAXIFS(Payments!$C$5:$C$2500,Payments!$G$5:$G$2500,$K374)))</f>
      </c>
      <c r="F374" s="34">
        <f>IF(OR($D374="",$K374=""),"",SUMIF(Payments!$G$5:$G$2500,$K374,Payments!$D$5:$D$2500))</f>
      </c>
      <c r="G374" s="36">
        <f>IF($D374="","",ROUND($D374-IF($F374="",0,$F374),2))</f>
      </c>
      <c r="H374" s="35">
        <f>IF(OR($D374="",$K374=""),"",COUNTIF(Payments!$G$5:$G$2500,$K374))</f>
      </c>
      <c r="I374" s="37">
        <f>IF($D374="","",IF(OR($F374="",$F374=0),"Pending",IF(ROUND($F374-$D374,2)&gt;0,"Overpaid",IF(ROUND($F374-$D374,2)=0,"Paid","Partial"))))</f>
      </c>
      <c r="J374" s="29"/>
      <c r="K374">
        <f>IF($A374="","","#"&amp;TRIM(SUBSTITUTE(SUBSTITUTE(SUBSTITUTE(SUBSTITUTE(SUBSTITUTE(SUBSTITUTE($A374,"-",""),"(",""),")",""),".",""),"+","")," ","")))</f>
      </c>
    </row>
    <row r="375" spans="1:11" x14ac:dyDescent="0.3">
      <c r="A375" s="28"/>
      <c r="B375" s="29"/>
      <c r="C375" s="30"/>
      <c r="D375" s="31"/>
      <c r="E375" s="33">
        <f>IF(OR($D375="",$K375=""),"",IF(COUNTIFS(Payments!$G$5:$G$2500,$K375,Payments!$C$5:$C$2500,"&lt;&gt;")=0,"",_xlfn.MAXIFS(Payments!$C$5:$C$2500,Payments!$G$5:$G$2500,$K375)))</f>
      </c>
      <c r="F375" s="34">
        <f>IF(OR($D375="",$K375=""),"",SUMIF(Payments!$G$5:$G$2500,$K375,Payments!$D$5:$D$2500))</f>
      </c>
      <c r="G375" s="36">
        <f>IF($D375="","",ROUND($D375-IF($F375="",0,$F375),2))</f>
      </c>
      <c r="H375" s="35">
        <f>IF(OR($D375="",$K375=""),"",COUNTIF(Payments!$G$5:$G$2500,$K375))</f>
      </c>
      <c r="I375" s="37">
        <f>IF($D375="","",IF(OR($F375="",$F375=0),"Pending",IF(ROUND($F375-$D375,2)&gt;0,"Overpaid",IF(ROUND($F375-$D375,2)=0,"Paid","Partial"))))</f>
      </c>
      <c r="J375" s="29"/>
      <c r="K375">
        <f>IF($A375="","","#"&amp;TRIM(SUBSTITUTE(SUBSTITUTE(SUBSTITUTE(SUBSTITUTE(SUBSTITUTE(SUBSTITUTE($A375,"-",""),"(",""),")",""),".",""),"+","")," ","")))</f>
      </c>
    </row>
    <row r="376" spans="1:11" x14ac:dyDescent="0.3">
      <c r="A376" s="28"/>
      <c r="B376" s="29"/>
      <c r="C376" s="30"/>
      <c r="D376" s="31"/>
      <c r="E376" s="33">
        <f>IF(OR($D376="",$K376=""),"",IF(COUNTIFS(Payments!$G$5:$G$2500,$K376,Payments!$C$5:$C$2500,"&lt;&gt;")=0,"",_xlfn.MAXIFS(Payments!$C$5:$C$2500,Payments!$G$5:$G$2500,$K376)))</f>
      </c>
      <c r="F376" s="34">
        <f>IF(OR($D376="",$K376=""),"",SUMIF(Payments!$G$5:$G$2500,$K376,Payments!$D$5:$D$2500))</f>
      </c>
      <c r="G376" s="36">
        <f>IF($D376="","",ROUND($D376-IF($F376="",0,$F376),2))</f>
      </c>
      <c r="H376" s="35">
        <f>IF(OR($D376="",$K376=""),"",COUNTIF(Payments!$G$5:$G$2500,$K376))</f>
      </c>
      <c r="I376" s="37">
        <f>IF($D376="","",IF(OR($F376="",$F376=0),"Pending",IF(ROUND($F376-$D376,2)&gt;0,"Overpaid",IF(ROUND($F376-$D376,2)=0,"Paid","Partial"))))</f>
      </c>
      <c r="J376" s="29"/>
      <c r="K376">
        <f>IF($A376="","","#"&amp;TRIM(SUBSTITUTE(SUBSTITUTE(SUBSTITUTE(SUBSTITUTE(SUBSTITUTE(SUBSTITUTE($A376,"-",""),"(",""),")",""),".",""),"+","")," ","")))</f>
      </c>
    </row>
    <row r="377" spans="1:11" x14ac:dyDescent="0.3">
      <c r="A377" s="28"/>
      <c r="B377" s="29"/>
      <c r="C377" s="30"/>
      <c r="D377" s="31"/>
      <c r="E377" s="33">
        <f>IF(OR($D377="",$K377=""),"",IF(COUNTIFS(Payments!$G$5:$G$2500,$K377,Payments!$C$5:$C$2500,"&lt;&gt;")=0,"",_xlfn.MAXIFS(Payments!$C$5:$C$2500,Payments!$G$5:$G$2500,$K377)))</f>
      </c>
      <c r="F377" s="34">
        <f>IF(OR($D377="",$K377=""),"",SUMIF(Payments!$G$5:$G$2500,$K377,Payments!$D$5:$D$2500))</f>
      </c>
      <c r="G377" s="36">
        <f>IF($D377="","",ROUND($D377-IF($F377="",0,$F377),2))</f>
      </c>
      <c r="H377" s="35">
        <f>IF(OR($D377="",$K377=""),"",COUNTIF(Payments!$G$5:$G$2500,$K377))</f>
      </c>
      <c r="I377" s="37">
        <f>IF($D377="","",IF(OR($F377="",$F377=0),"Pending",IF(ROUND($F377-$D377,2)&gt;0,"Overpaid",IF(ROUND($F377-$D377,2)=0,"Paid","Partial"))))</f>
      </c>
      <c r="J377" s="29"/>
      <c r="K377">
        <f>IF($A377="","","#"&amp;TRIM(SUBSTITUTE(SUBSTITUTE(SUBSTITUTE(SUBSTITUTE(SUBSTITUTE(SUBSTITUTE($A377,"-",""),"(",""),")",""),".",""),"+","")," ","")))</f>
      </c>
    </row>
    <row r="378" spans="1:11" x14ac:dyDescent="0.3">
      <c r="A378" s="28"/>
      <c r="B378" s="29"/>
      <c r="C378" s="30"/>
      <c r="D378" s="31"/>
      <c r="E378" s="33">
        <f>IF(OR($D378="",$K378=""),"",IF(COUNTIFS(Payments!$G$5:$G$2500,$K378,Payments!$C$5:$C$2500,"&lt;&gt;")=0,"",_xlfn.MAXIFS(Payments!$C$5:$C$2500,Payments!$G$5:$G$2500,$K378)))</f>
      </c>
      <c r="F378" s="34">
        <f>IF(OR($D378="",$K378=""),"",SUMIF(Payments!$G$5:$G$2500,$K378,Payments!$D$5:$D$2500))</f>
      </c>
      <c r="G378" s="36">
        <f>IF($D378="","",ROUND($D378-IF($F378="",0,$F378),2))</f>
      </c>
      <c r="H378" s="35">
        <f>IF(OR($D378="",$K378=""),"",COUNTIF(Payments!$G$5:$G$2500,$K378))</f>
      </c>
      <c r="I378" s="37">
        <f>IF($D378="","",IF(OR($F378="",$F378=0),"Pending",IF(ROUND($F378-$D378,2)&gt;0,"Overpaid",IF(ROUND($F378-$D378,2)=0,"Paid","Partial"))))</f>
      </c>
      <c r="J378" s="29"/>
      <c r="K378">
        <f>IF($A378="","","#"&amp;TRIM(SUBSTITUTE(SUBSTITUTE(SUBSTITUTE(SUBSTITUTE(SUBSTITUTE(SUBSTITUTE($A378,"-",""),"(",""),")",""),".",""),"+","")," ","")))</f>
      </c>
    </row>
    <row r="379" spans="1:11" x14ac:dyDescent="0.3">
      <c r="A379" s="28"/>
      <c r="B379" s="29"/>
      <c r="C379" s="30"/>
      <c r="D379" s="31"/>
      <c r="E379" s="33">
        <f>IF(OR($D379="",$K379=""),"",IF(COUNTIFS(Payments!$G$5:$G$2500,$K379,Payments!$C$5:$C$2500,"&lt;&gt;")=0,"",_xlfn.MAXIFS(Payments!$C$5:$C$2500,Payments!$G$5:$G$2500,$K379)))</f>
      </c>
      <c r="F379" s="34">
        <f>IF(OR($D379="",$K379=""),"",SUMIF(Payments!$G$5:$G$2500,$K379,Payments!$D$5:$D$2500))</f>
      </c>
      <c r="G379" s="36">
        <f>IF($D379="","",ROUND($D379-IF($F379="",0,$F379),2))</f>
      </c>
      <c r="H379" s="35">
        <f>IF(OR($D379="",$K379=""),"",COUNTIF(Payments!$G$5:$G$2500,$K379))</f>
      </c>
      <c r="I379" s="37">
        <f>IF($D379="","",IF(OR($F379="",$F379=0),"Pending",IF(ROUND($F379-$D379,2)&gt;0,"Overpaid",IF(ROUND($F379-$D379,2)=0,"Paid","Partial"))))</f>
      </c>
      <c r="J379" s="29"/>
      <c r="K379">
        <f>IF($A379="","","#"&amp;TRIM(SUBSTITUTE(SUBSTITUTE(SUBSTITUTE(SUBSTITUTE(SUBSTITUTE(SUBSTITUTE($A379,"-",""),"(",""),")",""),".",""),"+","")," ","")))</f>
      </c>
    </row>
    <row r="380" spans="1:11" x14ac:dyDescent="0.3">
      <c r="A380" s="28"/>
      <c r="B380" s="29"/>
      <c r="C380" s="30"/>
      <c r="D380" s="31"/>
      <c r="E380" s="33">
        <f>IF(OR($D380="",$K380=""),"",IF(COUNTIFS(Payments!$G$5:$G$2500,$K380,Payments!$C$5:$C$2500,"&lt;&gt;")=0,"",_xlfn.MAXIFS(Payments!$C$5:$C$2500,Payments!$G$5:$G$2500,$K380)))</f>
      </c>
      <c r="F380" s="34">
        <f>IF(OR($D380="",$K380=""),"",SUMIF(Payments!$G$5:$G$2500,$K380,Payments!$D$5:$D$2500))</f>
      </c>
      <c r="G380" s="36">
        <f>IF($D380="","",ROUND($D380-IF($F380="",0,$F380),2))</f>
      </c>
      <c r="H380" s="35">
        <f>IF(OR($D380="",$K380=""),"",COUNTIF(Payments!$G$5:$G$2500,$K380))</f>
      </c>
      <c r="I380" s="37">
        <f>IF($D380="","",IF(OR($F380="",$F380=0),"Pending",IF(ROUND($F380-$D380,2)&gt;0,"Overpaid",IF(ROUND($F380-$D380,2)=0,"Paid","Partial"))))</f>
      </c>
      <c r="J380" s="29"/>
      <c r="K380">
        <f>IF($A380="","","#"&amp;TRIM(SUBSTITUTE(SUBSTITUTE(SUBSTITUTE(SUBSTITUTE(SUBSTITUTE(SUBSTITUTE($A380,"-",""),"(",""),")",""),".",""),"+","")," ","")))</f>
      </c>
    </row>
    <row r="381" spans="1:11" x14ac:dyDescent="0.3">
      <c r="A381" s="28"/>
      <c r="B381" s="29"/>
      <c r="C381" s="30"/>
      <c r="D381" s="31"/>
      <c r="E381" s="33">
        <f>IF(OR($D381="",$K381=""),"",IF(COUNTIFS(Payments!$G$5:$G$2500,$K381,Payments!$C$5:$C$2500,"&lt;&gt;")=0,"",_xlfn.MAXIFS(Payments!$C$5:$C$2500,Payments!$G$5:$G$2500,$K381)))</f>
      </c>
      <c r="F381" s="34">
        <f>IF(OR($D381="",$K381=""),"",SUMIF(Payments!$G$5:$G$2500,$K381,Payments!$D$5:$D$2500))</f>
      </c>
      <c r="G381" s="36">
        <f>IF($D381="","",ROUND($D381-IF($F381="",0,$F381),2))</f>
      </c>
      <c r="H381" s="35">
        <f>IF(OR($D381="",$K381=""),"",COUNTIF(Payments!$G$5:$G$2500,$K381))</f>
      </c>
      <c r="I381" s="37">
        <f>IF($D381="","",IF(OR($F381="",$F381=0),"Pending",IF(ROUND($F381-$D381,2)&gt;0,"Overpaid",IF(ROUND($F381-$D381,2)=0,"Paid","Partial"))))</f>
      </c>
      <c r="J381" s="29"/>
      <c r="K381">
        <f>IF($A381="","","#"&amp;TRIM(SUBSTITUTE(SUBSTITUTE(SUBSTITUTE(SUBSTITUTE(SUBSTITUTE(SUBSTITUTE($A381,"-",""),"(",""),")",""),".",""),"+","")," ","")))</f>
      </c>
    </row>
    <row r="382" spans="1:11" x14ac:dyDescent="0.3">
      <c r="A382" s="28"/>
      <c r="B382" s="29"/>
      <c r="C382" s="30"/>
      <c r="D382" s="31"/>
      <c r="E382" s="33">
        <f>IF(OR($D382="",$K382=""),"",IF(COUNTIFS(Payments!$G$5:$G$2500,$K382,Payments!$C$5:$C$2500,"&lt;&gt;")=0,"",_xlfn.MAXIFS(Payments!$C$5:$C$2500,Payments!$G$5:$G$2500,$K382)))</f>
      </c>
      <c r="F382" s="34">
        <f>IF(OR($D382="",$K382=""),"",SUMIF(Payments!$G$5:$G$2500,$K382,Payments!$D$5:$D$2500))</f>
      </c>
      <c r="G382" s="36">
        <f>IF($D382="","",ROUND($D382-IF($F382="",0,$F382),2))</f>
      </c>
      <c r="H382" s="35">
        <f>IF(OR($D382="",$K382=""),"",COUNTIF(Payments!$G$5:$G$2500,$K382))</f>
      </c>
      <c r="I382" s="37">
        <f>IF($D382="","",IF(OR($F382="",$F382=0),"Pending",IF(ROUND($F382-$D382,2)&gt;0,"Overpaid",IF(ROUND($F382-$D382,2)=0,"Paid","Partial"))))</f>
      </c>
      <c r="J382" s="29"/>
      <c r="K382">
        <f>IF($A382="","","#"&amp;TRIM(SUBSTITUTE(SUBSTITUTE(SUBSTITUTE(SUBSTITUTE(SUBSTITUTE(SUBSTITUTE($A382,"-",""),"(",""),")",""),".",""),"+","")," ","")))</f>
      </c>
    </row>
    <row r="383" spans="1:11" x14ac:dyDescent="0.3">
      <c r="A383" s="28"/>
      <c r="B383" s="29"/>
      <c r="C383" s="30"/>
      <c r="D383" s="31"/>
      <c r="E383" s="33">
        <f>IF(OR($D383="",$K383=""),"",IF(COUNTIFS(Payments!$G$5:$G$2500,$K383,Payments!$C$5:$C$2500,"&lt;&gt;")=0,"",_xlfn.MAXIFS(Payments!$C$5:$C$2500,Payments!$G$5:$G$2500,$K383)))</f>
      </c>
      <c r="F383" s="34">
        <f>IF(OR($D383="",$K383=""),"",SUMIF(Payments!$G$5:$G$2500,$K383,Payments!$D$5:$D$2500))</f>
      </c>
      <c r="G383" s="36">
        <f>IF($D383="","",ROUND($D383-IF($F383="",0,$F383),2))</f>
      </c>
      <c r="H383" s="35">
        <f>IF(OR($D383="",$K383=""),"",COUNTIF(Payments!$G$5:$G$2500,$K383))</f>
      </c>
      <c r="I383" s="37">
        <f>IF($D383="","",IF(OR($F383="",$F383=0),"Pending",IF(ROUND($F383-$D383,2)&gt;0,"Overpaid",IF(ROUND($F383-$D383,2)=0,"Paid","Partial"))))</f>
      </c>
      <c r="J383" s="29"/>
      <c r="K383">
        <f>IF($A383="","","#"&amp;TRIM(SUBSTITUTE(SUBSTITUTE(SUBSTITUTE(SUBSTITUTE(SUBSTITUTE(SUBSTITUTE($A383,"-",""),"(",""),")",""),".",""),"+","")," ","")))</f>
      </c>
    </row>
    <row r="384" spans="1:11" x14ac:dyDescent="0.3">
      <c r="A384" s="28"/>
      <c r="B384" s="29"/>
      <c r="C384" s="30"/>
      <c r="D384" s="31"/>
      <c r="E384" s="33">
        <f>IF(OR($D384="",$K384=""),"",IF(COUNTIFS(Payments!$G$5:$G$2500,$K384,Payments!$C$5:$C$2500,"&lt;&gt;")=0,"",_xlfn.MAXIFS(Payments!$C$5:$C$2500,Payments!$G$5:$G$2500,$K384)))</f>
      </c>
      <c r="F384" s="34">
        <f>IF(OR($D384="",$K384=""),"",SUMIF(Payments!$G$5:$G$2500,$K384,Payments!$D$5:$D$2500))</f>
      </c>
      <c r="G384" s="36">
        <f>IF($D384="","",ROUND($D384-IF($F384="",0,$F384),2))</f>
      </c>
      <c r="H384" s="35">
        <f>IF(OR($D384="",$K384=""),"",COUNTIF(Payments!$G$5:$G$2500,$K384))</f>
      </c>
      <c r="I384" s="37">
        <f>IF($D384="","",IF(OR($F384="",$F384=0),"Pending",IF(ROUND($F384-$D384,2)&gt;0,"Overpaid",IF(ROUND($F384-$D384,2)=0,"Paid","Partial"))))</f>
      </c>
      <c r="J384" s="29"/>
      <c r="K384">
        <f>IF($A384="","","#"&amp;TRIM(SUBSTITUTE(SUBSTITUTE(SUBSTITUTE(SUBSTITUTE(SUBSTITUTE(SUBSTITUTE($A384,"-",""),"(",""),")",""),".",""),"+","")," ","")))</f>
      </c>
    </row>
    <row r="385" spans="1:11" x14ac:dyDescent="0.3">
      <c r="A385" s="28"/>
      <c r="B385" s="29"/>
      <c r="C385" s="30"/>
      <c r="D385" s="31"/>
      <c r="E385" s="33">
        <f>IF(OR($D385="",$K385=""),"",IF(COUNTIFS(Payments!$G$5:$G$2500,$K385,Payments!$C$5:$C$2500,"&lt;&gt;")=0,"",_xlfn.MAXIFS(Payments!$C$5:$C$2500,Payments!$G$5:$G$2500,$K385)))</f>
      </c>
      <c r="F385" s="34">
        <f>IF(OR($D385="",$K385=""),"",SUMIF(Payments!$G$5:$G$2500,$K385,Payments!$D$5:$D$2500))</f>
      </c>
      <c r="G385" s="36">
        <f>IF($D385="","",ROUND($D385-IF($F385="",0,$F385),2))</f>
      </c>
      <c r="H385" s="35">
        <f>IF(OR($D385="",$K385=""),"",COUNTIF(Payments!$G$5:$G$2500,$K385))</f>
      </c>
      <c r="I385" s="37">
        <f>IF($D385="","",IF(OR($F385="",$F385=0),"Pending",IF(ROUND($F385-$D385,2)&gt;0,"Overpaid",IF(ROUND($F385-$D385,2)=0,"Paid","Partial"))))</f>
      </c>
      <c r="J385" s="29"/>
      <c r="K385">
        <f>IF($A385="","","#"&amp;TRIM(SUBSTITUTE(SUBSTITUTE(SUBSTITUTE(SUBSTITUTE(SUBSTITUTE(SUBSTITUTE($A385,"-",""),"(",""),")",""),".",""),"+","")," ","")))</f>
      </c>
    </row>
    <row r="386" spans="1:11" x14ac:dyDescent="0.3">
      <c r="A386" s="28"/>
      <c r="B386" s="29"/>
      <c r="C386" s="30"/>
      <c r="D386" s="31"/>
      <c r="E386" s="33">
        <f>IF(OR($D386="",$K386=""),"",IF(COUNTIFS(Payments!$G$5:$G$2500,$K386,Payments!$C$5:$C$2500,"&lt;&gt;")=0,"",_xlfn.MAXIFS(Payments!$C$5:$C$2500,Payments!$G$5:$G$2500,$K386)))</f>
      </c>
      <c r="F386" s="34">
        <f>IF(OR($D386="",$K386=""),"",SUMIF(Payments!$G$5:$G$2500,$K386,Payments!$D$5:$D$2500))</f>
      </c>
      <c r="G386" s="36">
        <f>IF($D386="","",ROUND($D386-IF($F386="",0,$F386),2))</f>
      </c>
      <c r="H386" s="35">
        <f>IF(OR($D386="",$K386=""),"",COUNTIF(Payments!$G$5:$G$2500,$K386))</f>
      </c>
      <c r="I386" s="37">
        <f>IF($D386="","",IF(OR($F386="",$F386=0),"Pending",IF(ROUND($F386-$D386,2)&gt;0,"Overpaid",IF(ROUND($F386-$D386,2)=0,"Paid","Partial"))))</f>
      </c>
      <c r="J386" s="29"/>
      <c r="K386">
        <f>IF($A386="","","#"&amp;TRIM(SUBSTITUTE(SUBSTITUTE(SUBSTITUTE(SUBSTITUTE(SUBSTITUTE(SUBSTITUTE($A386,"-",""),"(",""),")",""),".",""),"+","")," ","")))</f>
      </c>
    </row>
    <row r="387" spans="1:11" x14ac:dyDescent="0.3">
      <c r="A387" s="28"/>
      <c r="B387" s="29"/>
      <c r="C387" s="30"/>
      <c r="D387" s="31"/>
      <c r="E387" s="33">
        <f>IF(OR($D387="",$K387=""),"",IF(COUNTIFS(Payments!$G$5:$G$2500,$K387,Payments!$C$5:$C$2500,"&lt;&gt;")=0,"",_xlfn.MAXIFS(Payments!$C$5:$C$2500,Payments!$G$5:$G$2500,$K387)))</f>
      </c>
      <c r="F387" s="34">
        <f>IF(OR($D387="",$K387=""),"",SUMIF(Payments!$G$5:$G$2500,$K387,Payments!$D$5:$D$2500))</f>
      </c>
      <c r="G387" s="36">
        <f>IF($D387="","",ROUND($D387-IF($F387="",0,$F387),2))</f>
      </c>
      <c r="H387" s="35">
        <f>IF(OR($D387="",$K387=""),"",COUNTIF(Payments!$G$5:$G$2500,$K387))</f>
      </c>
      <c r="I387" s="37">
        <f>IF($D387="","",IF(OR($F387="",$F387=0),"Pending",IF(ROUND($F387-$D387,2)&gt;0,"Overpaid",IF(ROUND($F387-$D387,2)=0,"Paid","Partial"))))</f>
      </c>
      <c r="J387" s="29"/>
      <c r="K387">
        <f>IF($A387="","","#"&amp;TRIM(SUBSTITUTE(SUBSTITUTE(SUBSTITUTE(SUBSTITUTE(SUBSTITUTE(SUBSTITUTE($A387,"-",""),"(",""),")",""),".",""),"+","")," ","")))</f>
      </c>
    </row>
    <row r="388" spans="1:11" x14ac:dyDescent="0.3">
      <c r="A388" s="28"/>
      <c r="B388" s="29"/>
      <c r="C388" s="30"/>
      <c r="D388" s="31"/>
      <c r="E388" s="33">
        <f>IF(OR($D388="",$K388=""),"",IF(COUNTIFS(Payments!$G$5:$G$2500,$K388,Payments!$C$5:$C$2500,"&lt;&gt;")=0,"",_xlfn.MAXIFS(Payments!$C$5:$C$2500,Payments!$G$5:$G$2500,$K388)))</f>
      </c>
      <c r="F388" s="34">
        <f>IF(OR($D388="",$K388=""),"",SUMIF(Payments!$G$5:$G$2500,$K388,Payments!$D$5:$D$2500))</f>
      </c>
      <c r="G388" s="36">
        <f>IF($D388="","",ROUND($D388-IF($F388="",0,$F388),2))</f>
      </c>
      <c r="H388" s="35">
        <f>IF(OR($D388="",$K388=""),"",COUNTIF(Payments!$G$5:$G$2500,$K388))</f>
      </c>
      <c r="I388" s="37">
        <f>IF($D388="","",IF(OR($F388="",$F388=0),"Pending",IF(ROUND($F388-$D388,2)&gt;0,"Overpaid",IF(ROUND($F388-$D388,2)=0,"Paid","Partial"))))</f>
      </c>
      <c r="J388" s="29"/>
      <c r="K388">
        <f>IF($A388="","","#"&amp;TRIM(SUBSTITUTE(SUBSTITUTE(SUBSTITUTE(SUBSTITUTE(SUBSTITUTE(SUBSTITUTE($A388,"-",""),"(",""),")",""),".",""),"+","")," ","")))</f>
      </c>
    </row>
    <row r="389" spans="1:11" x14ac:dyDescent="0.3">
      <c r="A389" s="28"/>
      <c r="B389" s="29"/>
      <c r="C389" s="30"/>
      <c r="D389" s="31"/>
      <c r="E389" s="33">
        <f>IF(OR($D389="",$K389=""),"",IF(COUNTIFS(Payments!$G$5:$G$2500,$K389,Payments!$C$5:$C$2500,"&lt;&gt;")=0,"",_xlfn.MAXIFS(Payments!$C$5:$C$2500,Payments!$G$5:$G$2500,$K389)))</f>
      </c>
      <c r="F389" s="34">
        <f>IF(OR($D389="",$K389=""),"",SUMIF(Payments!$G$5:$G$2500,$K389,Payments!$D$5:$D$2500))</f>
      </c>
      <c r="G389" s="36">
        <f>IF($D389="","",ROUND($D389-IF($F389="",0,$F389),2))</f>
      </c>
      <c r="H389" s="35">
        <f>IF(OR($D389="",$K389=""),"",COUNTIF(Payments!$G$5:$G$2500,$K389))</f>
      </c>
      <c r="I389" s="37">
        <f>IF($D389="","",IF(OR($F389="",$F389=0),"Pending",IF(ROUND($F389-$D389,2)&gt;0,"Overpaid",IF(ROUND($F389-$D389,2)=0,"Paid","Partial"))))</f>
      </c>
      <c r="J389" s="29"/>
      <c r="K389">
        <f>IF($A389="","","#"&amp;TRIM(SUBSTITUTE(SUBSTITUTE(SUBSTITUTE(SUBSTITUTE(SUBSTITUTE(SUBSTITUTE($A389,"-",""),"(",""),")",""),".",""),"+","")," ","")))</f>
      </c>
    </row>
    <row r="390" spans="1:11" x14ac:dyDescent="0.3">
      <c r="A390" s="28"/>
      <c r="B390" s="29"/>
      <c r="C390" s="30"/>
      <c r="D390" s="31"/>
      <c r="E390" s="33">
        <f>IF(OR($D390="",$K390=""),"",IF(COUNTIFS(Payments!$G$5:$G$2500,$K390,Payments!$C$5:$C$2500,"&lt;&gt;")=0,"",_xlfn.MAXIFS(Payments!$C$5:$C$2500,Payments!$G$5:$G$2500,$K390)))</f>
      </c>
      <c r="F390" s="34">
        <f>IF(OR($D390="",$K390=""),"",SUMIF(Payments!$G$5:$G$2500,$K390,Payments!$D$5:$D$2500))</f>
      </c>
      <c r="G390" s="36">
        <f>IF($D390="","",ROUND($D390-IF($F390="",0,$F390),2))</f>
      </c>
      <c r="H390" s="35">
        <f>IF(OR($D390="",$K390=""),"",COUNTIF(Payments!$G$5:$G$2500,$K390))</f>
      </c>
      <c r="I390" s="37">
        <f>IF($D390="","",IF(OR($F390="",$F390=0),"Pending",IF(ROUND($F390-$D390,2)&gt;0,"Overpaid",IF(ROUND($F390-$D390,2)=0,"Paid","Partial"))))</f>
      </c>
      <c r="J390" s="29"/>
      <c r="K390">
        <f>IF($A390="","","#"&amp;TRIM(SUBSTITUTE(SUBSTITUTE(SUBSTITUTE(SUBSTITUTE(SUBSTITUTE(SUBSTITUTE($A390,"-",""),"(",""),")",""),".",""),"+","")," ","")))</f>
      </c>
    </row>
    <row r="391" spans="1:11" x14ac:dyDescent="0.3">
      <c r="A391" s="28"/>
      <c r="B391" s="29"/>
      <c r="C391" s="30"/>
      <c r="D391" s="31"/>
      <c r="E391" s="33">
        <f>IF(OR($D391="",$K391=""),"",IF(COUNTIFS(Payments!$G$5:$G$2500,$K391,Payments!$C$5:$C$2500,"&lt;&gt;")=0,"",_xlfn.MAXIFS(Payments!$C$5:$C$2500,Payments!$G$5:$G$2500,$K391)))</f>
      </c>
      <c r="F391" s="34">
        <f>IF(OR($D391="",$K391=""),"",SUMIF(Payments!$G$5:$G$2500,$K391,Payments!$D$5:$D$2500))</f>
      </c>
      <c r="G391" s="36">
        <f>IF($D391="","",ROUND($D391-IF($F391="",0,$F391),2))</f>
      </c>
      <c r="H391" s="35">
        <f>IF(OR($D391="",$K391=""),"",COUNTIF(Payments!$G$5:$G$2500,$K391))</f>
      </c>
      <c r="I391" s="37">
        <f>IF($D391="","",IF(OR($F391="",$F391=0),"Pending",IF(ROUND($F391-$D391,2)&gt;0,"Overpaid",IF(ROUND($F391-$D391,2)=0,"Paid","Partial"))))</f>
      </c>
      <c r="J391" s="29"/>
      <c r="K391">
        <f>IF($A391="","","#"&amp;TRIM(SUBSTITUTE(SUBSTITUTE(SUBSTITUTE(SUBSTITUTE(SUBSTITUTE(SUBSTITUTE($A391,"-",""),"(",""),")",""),".",""),"+","")," ","")))</f>
      </c>
    </row>
    <row r="392" spans="1:11" x14ac:dyDescent="0.3">
      <c r="A392" s="28"/>
      <c r="B392" s="29"/>
      <c r="C392" s="30"/>
      <c r="D392" s="31"/>
      <c r="E392" s="33">
        <f>IF(OR($D392="",$K392=""),"",IF(COUNTIFS(Payments!$G$5:$G$2500,$K392,Payments!$C$5:$C$2500,"&lt;&gt;")=0,"",_xlfn.MAXIFS(Payments!$C$5:$C$2500,Payments!$G$5:$G$2500,$K392)))</f>
      </c>
      <c r="F392" s="34">
        <f>IF(OR($D392="",$K392=""),"",SUMIF(Payments!$G$5:$G$2500,$K392,Payments!$D$5:$D$2500))</f>
      </c>
      <c r="G392" s="36">
        <f>IF($D392="","",ROUND($D392-IF($F392="",0,$F392),2))</f>
      </c>
      <c r="H392" s="35">
        <f>IF(OR($D392="",$K392=""),"",COUNTIF(Payments!$G$5:$G$2500,$K392))</f>
      </c>
      <c r="I392" s="37">
        <f>IF($D392="","",IF(OR($F392="",$F392=0),"Pending",IF(ROUND($F392-$D392,2)&gt;0,"Overpaid",IF(ROUND($F392-$D392,2)=0,"Paid","Partial"))))</f>
      </c>
      <c r="J392" s="29"/>
      <c r="K392">
        <f>IF($A392="","","#"&amp;TRIM(SUBSTITUTE(SUBSTITUTE(SUBSTITUTE(SUBSTITUTE(SUBSTITUTE(SUBSTITUTE($A392,"-",""),"(",""),")",""),".",""),"+","")," ","")))</f>
      </c>
    </row>
    <row r="393" spans="1:11" x14ac:dyDescent="0.3">
      <c r="A393" s="28"/>
      <c r="B393" s="29"/>
      <c r="C393" s="30"/>
      <c r="D393" s="31"/>
      <c r="E393" s="33">
        <f>IF(OR($D393="",$K393=""),"",IF(COUNTIFS(Payments!$G$5:$G$2500,$K393,Payments!$C$5:$C$2500,"&lt;&gt;")=0,"",_xlfn.MAXIFS(Payments!$C$5:$C$2500,Payments!$G$5:$G$2500,$K393)))</f>
      </c>
      <c r="F393" s="34">
        <f>IF(OR($D393="",$K393=""),"",SUMIF(Payments!$G$5:$G$2500,$K393,Payments!$D$5:$D$2500))</f>
      </c>
      <c r="G393" s="36">
        <f>IF($D393="","",ROUND($D393-IF($F393="",0,$F393),2))</f>
      </c>
      <c r="H393" s="35">
        <f>IF(OR($D393="",$K393=""),"",COUNTIF(Payments!$G$5:$G$2500,$K393))</f>
      </c>
      <c r="I393" s="37">
        <f>IF($D393="","",IF(OR($F393="",$F393=0),"Pending",IF(ROUND($F393-$D393,2)&gt;0,"Overpaid",IF(ROUND($F393-$D393,2)=0,"Paid","Partial"))))</f>
      </c>
      <c r="J393" s="29"/>
      <c r="K393">
        <f>IF($A393="","","#"&amp;TRIM(SUBSTITUTE(SUBSTITUTE(SUBSTITUTE(SUBSTITUTE(SUBSTITUTE(SUBSTITUTE($A393,"-",""),"(",""),")",""),".",""),"+","")," ","")))</f>
      </c>
    </row>
    <row r="394" spans="1:11" x14ac:dyDescent="0.3">
      <c r="A394" s="28"/>
      <c r="B394" s="29"/>
      <c r="C394" s="30"/>
      <c r="D394" s="31"/>
      <c r="E394" s="33">
        <f>IF(OR($D394="",$K394=""),"",IF(COUNTIFS(Payments!$G$5:$G$2500,$K394,Payments!$C$5:$C$2500,"&lt;&gt;")=0,"",_xlfn.MAXIFS(Payments!$C$5:$C$2500,Payments!$G$5:$G$2500,$K394)))</f>
      </c>
      <c r="F394" s="34">
        <f>IF(OR($D394="",$K394=""),"",SUMIF(Payments!$G$5:$G$2500,$K394,Payments!$D$5:$D$2500))</f>
      </c>
      <c r="G394" s="36">
        <f>IF($D394="","",ROUND($D394-IF($F394="",0,$F394),2))</f>
      </c>
      <c r="H394" s="35">
        <f>IF(OR($D394="",$K394=""),"",COUNTIF(Payments!$G$5:$G$2500,$K394))</f>
      </c>
      <c r="I394" s="37">
        <f>IF($D394="","",IF(OR($F394="",$F394=0),"Pending",IF(ROUND($F394-$D394,2)&gt;0,"Overpaid",IF(ROUND($F394-$D394,2)=0,"Paid","Partial"))))</f>
      </c>
      <c r="J394" s="29"/>
      <c r="K394">
        <f>IF($A394="","","#"&amp;TRIM(SUBSTITUTE(SUBSTITUTE(SUBSTITUTE(SUBSTITUTE(SUBSTITUTE(SUBSTITUTE($A394,"-",""),"(",""),")",""),".",""),"+","")," ","")))</f>
      </c>
    </row>
    <row r="395" spans="1:11" x14ac:dyDescent="0.3">
      <c r="A395" s="28"/>
      <c r="B395" s="29"/>
      <c r="C395" s="30"/>
      <c r="D395" s="31"/>
      <c r="E395" s="33">
        <f>IF(OR($D395="",$K395=""),"",IF(COUNTIFS(Payments!$G$5:$G$2500,$K395,Payments!$C$5:$C$2500,"&lt;&gt;")=0,"",_xlfn.MAXIFS(Payments!$C$5:$C$2500,Payments!$G$5:$G$2500,$K395)))</f>
      </c>
      <c r="F395" s="34">
        <f>IF(OR($D395="",$K395=""),"",SUMIF(Payments!$G$5:$G$2500,$K395,Payments!$D$5:$D$2500))</f>
      </c>
      <c r="G395" s="36">
        <f>IF($D395="","",ROUND($D395-IF($F395="",0,$F395),2))</f>
      </c>
      <c r="H395" s="35">
        <f>IF(OR($D395="",$K395=""),"",COUNTIF(Payments!$G$5:$G$2500,$K395))</f>
      </c>
      <c r="I395" s="37">
        <f>IF($D395="","",IF(OR($F395="",$F395=0),"Pending",IF(ROUND($F395-$D395,2)&gt;0,"Overpaid",IF(ROUND($F395-$D395,2)=0,"Paid","Partial"))))</f>
      </c>
      <c r="J395" s="29"/>
      <c r="K395">
        <f>IF($A395="","","#"&amp;TRIM(SUBSTITUTE(SUBSTITUTE(SUBSTITUTE(SUBSTITUTE(SUBSTITUTE(SUBSTITUTE($A395,"-",""),"(",""),")",""),".",""),"+","")," ","")))</f>
      </c>
    </row>
    <row r="396" spans="1:11" x14ac:dyDescent="0.3">
      <c r="A396" s="28"/>
      <c r="B396" s="29"/>
      <c r="C396" s="30"/>
      <c r="D396" s="31"/>
      <c r="E396" s="33">
        <f>IF(OR($D396="",$K396=""),"",IF(COUNTIFS(Payments!$G$5:$G$2500,$K396,Payments!$C$5:$C$2500,"&lt;&gt;")=0,"",_xlfn.MAXIFS(Payments!$C$5:$C$2500,Payments!$G$5:$G$2500,$K396)))</f>
      </c>
      <c r="F396" s="34">
        <f>IF(OR($D396="",$K396=""),"",SUMIF(Payments!$G$5:$G$2500,$K396,Payments!$D$5:$D$2500))</f>
      </c>
      <c r="G396" s="36">
        <f>IF($D396="","",ROUND($D396-IF($F396="",0,$F396),2))</f>
      </c>
      <c r="H396" s="35">
        <f>IF(OR($D396="",$K396=""),"",COUNTIF(Payments!$G$5:$G$2500,$K396))</f>
      </c>
      <c r="I396" s="37">
        <f>IF($D396="","",IF(OR($F396="",$F396=0),"Pending",IF(ROUND($F396-$D396,2)&gt;0,"Overpaid",IF(ROUND($F396-$D396,2)=0,"Paid","Partial"))))</f>
      </c>
      <c r="J396" s="29"/>
      <c r="K396">
        <f>IF($A396="","","#"&amp;TRIM(SUBSTITUTE(SUBSTITUTE(SUBSTITUTE(SUBSTITUTE(SUBSTITUTE(SUBSTITUTE($A396,"-",""),"(",""),")",""),".",""),"+","")," ","")))</f>
      </c>
    </row>
    <row r="397" spans="1:11" x14ac:dyDescent="0.3">
      <c r="A397" s="28"/>
      <c r="B397" s="29"/>
      <c r="C397" s="30"/>
      <c r="D397" s="31"/>
      <c r="E397" s="33">
        <f>IF(OR($D397="",$K397=""),"",IF(COUNTIFS(Payments!$G$5:$G$2500,$K397,Payments!$C$5:$C$2500,"&lt;&gt;")=0,"",_xlfn.MAXIFS(Payments!$C$5:$C$2500,Payments!$G$5:$G$2500,$K397)))</f>
      </c>
      <c r="F397" s="34">
        <f>IF(OR($D397="",$K397=""),"",SUMIF(Payments!$G$5:$G$2500,$K397,Payments!$D$5:$D$2500))</f>
      </c>
      <c r="G397" s="36">
        <f>IF($D397="","",ROUND($D397-IF($F397="",0,$F397),2))</f>
      </c>
      <c r="H397" s="35">
        <f>IF(OR($D397="",$K397=""),"",COUNTIF(Payments!$G$5:$G$2500,$K397))</f>
      </c>
      <c r="I397" s="37">
        <f>IF($D397="","",IF(OR($F397="",$F397=0),"Pending",IF(ROUND($F397-$D397,2)&gt;0,"Overpaid",IF(ROUND($F397-$D397,2)=0,"Paid","Partial"))))</f>
      </c>
      <c r="J397" s="29"/>
      <c r="K397">
        <f>IF($A397="","","#"&amp;TRIM(SUBSTITUTE(SUBSTITUTE(SUBSTITUTE(SUBSTITUTE(SUBSTITUTE(SUBSTITUTE($A397,"-",""),"(",""),")",""),".",""),"+","")," ","")))</f>
      </c>
    </row>
    <row r="398" spans="1:11" x14ac:dyDescent="0.3">
      <c r="A398" s="28"/>
      <c r="B398" s="29"/>
      <c r="C398" s="30"/>
      <c r="D398" s="31"/>
      <c r="E398" s="33">
        <f>IF(OR($D398="",$K398=""),"",IF(COUNTIFS(Payments!$G$5:$G$2500,$K398,Payments!$C$5:$C$2500,"&lt;&gt;")=0,"",_xlfn.MAXIFS(Payments!$C$5:$C$2500,Payments!$G$5:$G$2500,$K398)))</f>
      </c>
      <c r="F398" s="34">
        <f>IF(OR($D398="",$K398=""),"",SUMIF(Payments!$G$5:$G$2500,$K398,Payments!$D$5:$D$2500))</f>
      </c>
      <c r="G398" s="36">
        <f>IF($D398="","",ROUND($D398-IF($F398="",0,$F398),2))</f>
      </c>
      <c r="H398" s="35">
        <f>IF(OR($D398="",$K398=""),"",COUNTIF(Payments!$G$5:$G$2500,$K398))</f>
      </c>
      <c r="I398" s="37">
        <f>IF($D398="","",IF(OR($F398="",$F398=0),"Pending",IF(ROUND($F398-$D398,2)&gt;0,"Overpaid",IF(ROUND($F398-$D398,2)=0,"Paid","Partial"))))</f>
      </c>
      <c r="J398" s="29"/>
      <c r="K398">
        <f>IF($A398="","","#"&amp;TRIM(SUBSTITUTE(SUBSTITUTE(SUBSTITUTE(SUBSTITUTE(SUBSTITUTE(SUBSTITUTE($A398,"-",""),"(",""),")",""),".",""),"+","")," ","")))</f>
      </c>
    </row>
    <row r="399" spans="1:11" x14ac:dyDescent="0.3">
      <c r="A399" s="28"/>
      <c r="B399" s="29"/>
      <c r="C399" s="30"/>
      <c r="D399" s="31"/>
      <c r="E399" s="33">
        <f>IF(OR($D399="",$K399=""),"",IF(COUNTIFS(Payments!$G$5:$G$2500,$K399,Payments!$C$5:$C$2500,"&lt;&gt;")=0,"",_xlfn.MAXIFS(Payments!$C$5:$C$2500,Payments!$G$5:$G$2500,$K399)))</f>
      </c>
      <c r="F399" s="34">
        <f>IF(OR($D399="",$K399=""),"",SUMIF(Payments!$G$5:$G$2500,$K399,Payments!$D$5:$D$2500))</f>
      </c>
      <c r="G399" s="36">
        <f>IF($D399="","",ROUND($D399-IF($F399="",0,$F399),2))</f>
      </c>
      <c r="H399" s="35">
        <f>IF(OR($D399="",$K399=""),"",COUNTIF(Payments!$G$5:$G$2500,$K399))</f>
      </c>
      <c r="I399" s="37">
        <f>IF($D399="","",IF(OR($F399="",$F399=0),"Pending",IF(ROUND($F399-$D399,2)&gt;0,"Overpaid",IF(ROUND($F399-$D399,2)=0,"Paid","Partial"))))</f>
      </c>
      <c r="J399" s="29"/>
      <c r="K399">
        <f>IF($A399="","","#"&amp;TRIM(SUBSTITUTE(SUBSTITUTE(SUBSTITUTE(SUBSTITUTE(SUBSTITUTE(SUBSTITUTE($A399,"-",""),"(",""),")",""),".",""),"+","")," ","")))</f>
      </c>
    </row>
    <row r="400" spans="1:11" x14ac:dyDescent="0.3">
      <c r="A400" s="28"/>
      <c r="B400" s="29"/>
      <c r="C400" s="30"/>
      <c r="D400" s="31"/>
      <c r="E400" s="33">
        <f>IF(OR($D400="",$K400=""),"",IF(COUNTIFS(Payments!$G$5:$G$2500,$K400,Payments!$C$5:$C$2500,"&lt;&gt;")=0,"",_xlfn.MAXIFS(Payments!$C$5:$C$2500,Payments!$G$5:$G$2500,$K400)))</f>
      </c>
      <c r="F400" s="34">
        <f>IF(OR($D400="",$K400=""),"",SUMIF(Payments!$G$5:$G$2500,$K400,Payments!$D$5:$D$2500))</f>
      </c>
      <c r="G400" s="36">
        <f>IF($D400="","",ROUND($D400-IF($F400="",0,$F400),2))</f>
      </c>
      <c r="H400" s="35">
        <f>IF(OR($D400="",$K400=""),"",COUNTIF(Payments!$G$5:$G$2500,$K400))</f>
      </c>
      <c r="I400" s="37">
        <f>IF($D400="","",IF(OR($F400="",$F400=0),"Pending",IF(ROUND($F400-$D400,2)&gt;0,"Overpaid",IF(ROUND($F400-$D400,2)=0,"Paid","Partial"))))</f>
      </c>
      <c r="J400" s="29"/>
      <c r="K400">
        <f>IF($A400="","","#"&amp;TRIM(SUBSTITUTE(SUBSTITUTE(SUBSTITUTE(SUBSTITUTE(SUBSTITUTE(SUBSTITUTE($A400,"-",""),"(",""),")",""),".",""),"+","")," ","")))</f>
      </c>
    </row>
    <row r="401" spans="1:11" x14ac:dyDescent="0.3">
      <c r="A401" s="28"/>
      <c r="B401" s="29"/>
      <c r="C401" s="30"/>
      <c r="D401" s="31"/>
      <c r="E401" s="33">
        <f>IF(OR($D401="",$K401=""),"",IF(COUNTIFS(Payments!$G$5:$G$2500,$K401,Payments!$C$5:$C$2500,"&lt;&gt;")=0,"",_xlfn.MAXIFS(Payments!$C$5:$C$2500,Payments!$G$5:$G$2500,$K401)))</f>
      </c>
      <c r="F401" s="34">
        <f>IF(OR($D401="",$K401=""),"",SUMIF(Payments!$G$5:$G$2500,$K401,Payments!$D$5:$D$2500))</f>
      </c>
      <c r="G401" s="36">
        <f>IF($D401="","",ROUND($D401-IF($F401="",0,$F401),2))</f>
      </c>
      <c r="H401" s="35">
        <f>IF(OR($D401="",$K401=""),"",COUNTIF(Payments!$G$5:$G$2500,$K401))</f>
      </c>
      <c r="I401" s="37">
        <f>IF($D401="","",IF(OR($F401="",$F401=0),"Pending",IF(ROUND($F401-$D401,2)&gt;0,"Overpaid",IF(ROUND($F401-$D401,2)=0,"Paid","Partial"))))</f>
      </c>
      <c r="J401" s="29"/>
      <c r="K401">
        <f>IF($A401="","","#"&amp;TRIM(SUBSTITUTE(SUBSTITUTE(SUBSTITUTE(SUBSTITUTE(SUBSTITUTE(SUBSTITUTE($A401,"-",""),"(",""),")",""),".",""),"+","")," ","")))</f>
      </c>
    </row>
    <row r="402" spans="1:11" x14ac:dyDescent="0.3">
      <c r="A402" s="28"/>
      <c r="B402" s="29"/>
      <c r="C402" s="30"/>
      <c r="D402" s="31"/>
      <c r="E402" s="33">
        <f>IF(OR($D402="",$K402=""),"",IF(COUNTIFS(Payments!$G$5:$G$2500,$K402,Payments!$C$5:$C$2500,"&lt;&gt;")=0,"",_xlfn.MAXIFS(Payments!$C$5:$C$2500,Payments!$G$5:$G$2500,$K402)))</f>
      </c>
      <c r="F402" s="34">
        <f>IF(OR($D402="",$K402=""),"",SUMIF(Payments!$G$5:$G$2500,$K402,Payments!$D$5:$D$2500))</f>
      </c>
      <c r="G402" s="36">
        <f>IF($D402="","",ROUND($D402-IF($F402="",0,$F402),2))</f>
      </c>
      <c r="H402" s="35">
        <f>IF(OR($D402="",$K402=""),"",COUNTIF(Payments!$G$5:$G$2500,$K402))</f>
      </c>
      <c r="I402" s="37">
        <f>IF($D402="","",IF(OR($F402="",$F402=0),"Pending",IF(ROUND($F402-$D402,2)&gt;0,"Overpaid",IF(ROUND($F402-$D402,2)=0,"Paid","Partial"))))</f>
      </c>
      <c r="J402" s="29"/>
      <c r="K402">
        <f>IF($A402="","","#"&amp;TRIM(SUBSTITUTE(SUBSTITUTE(SUBSTITUTE(SUBSTITUTE(SUBSTITUTE(SUBSTITUTE($A402,"-",""),"(",""),")",""),".",""),"+","")," ","")))</f>
      </c>
    </row>
    <row r="403" spans="1:11" x14ac:dyDescent="0.3">
      <c r="A403" s="28"/>
      <c r="B403" s="29"/>
      <c r="C403" s="30"/>
      <c r="D403" s="31"/>
      <c r="E403" s="33">
        <f>IF(OR($D403="",$K403=""),"",IF(COUNTIFS(Payments!$G$5:$G$2500,$K403,Payments!$C$5:$C$2500,"&lt;&gt;")=0,"",_xlfn.MAXIFS(Payments!$C$5:$C$2500,Payments!$G$5:$G$2500,$K403)))</f>
      </c>
      <c r="F403" s="34">
        <f>IF(OR($D403="",$K403=""),"",SUMIF(Payments!$G$5:$G$2500,$K403,Payments!$D$5:$D$2500))</f>
      </c>
      <c r="G403" s="36">
        <f>IF($D403="","",ROUND($D403-IF($F403="",0,$F403),2))</f>
      </c>
      <c r="H403" s="35">
        <f>IF(OR($D403="",$K403=""),"",COUNTIF(Payments!$G$5:$G$2500,$K403))</f>
      </c>
      <c r="I403" s="37">
        <f>IF($D403="","",IF(OR($F403="",$F403=0),"Pending",IF(ROUND($F403-$D403,2)&gt;0,"Overpaid",IF(ROUND($F403-$D403,2)=0,"Paid","Partial"))))</f>
      </c>
      <c r="J403" s="29"/>
      <c r="K403">
        <f>IF($A403="","","#"&amp;TRIM(SUBSTITUTE(SUBSTITUTE(SUBSTITUTE(SUBSTITUTE(SUBSTITUTE(SUBSTITUTE($A403,"-",""),"(",""),")",""),".",""),"+","")," ","")))</f>
      </c>
    </row>
    <row r="404" spans="1:11" x14ac:dyDescent="0.3">
      <c r="A404" s="28"/>
      <c r="B404" s="29"/>
      <c r="C404" s="30"/>
      <c r="D404" s="31"/>
      <c r="E404" s="33">
        <f>IF(OR($D404="",$K404=""),"",IF(COUNTIFS(Payments!$G$5:$G$2500,$K404,Payments!$C$5:$C$2500,"&lt;&gt;")=0,"",_xlfn.MAXIFS(Payments!$C$5:$C$2500,Payments!$G$5:$G$2500,$K404)))</f>
      </c>
      <c r="F404" s="34">
        <f>IF(OR($D404="",$K404=""),"",SUMIF(Payments!$G$5:$G$2500,$K404,Payments!$D$5:$D$2500))</f>
      </c>
      <c r="G404" s="36">
        <f>IF($D404="","",ROUND($D404-IF($F404="",0,$F404),2))</f>
      </c>
      <c r="H404" s="35">
        <f>IF(OR($D404="",$K404=""),"",COUNTIF(Payments!$G$5:$G$2500,$K404))</f>
      </c>
      <c r="I404" s="37">
        <f>IF($D404="","",IF(OR($F404="",$F404=0),"Pending",IF(ROUND($F404-$D404,2)&gt;0,"Overpaid",IF(ROUND($F404-$D404,2)=0,"Paid","Partial"))))</f>
      </c>
      <c r="J404" s="29"/>
      <c r="K404">
        <f>IF($A404="","","#"&amp;TRIM(SUBSTITUTE(SUBSTITUTE(SUBSTITUTE(SUBSTITUTE(SUBSTITUTE(SUBSTITUTE($A404,"-",""),"(",""),")",""),".",""),"+","")," ","")))</f>
      </c>
    </row>
    <row r="405" spans="1:11" x14ac:dyDescent="0.3">
      <c r="A405" s="28"/>
      <c r="B405" s="29"/>
      <c r="C405" s="30"/>
      <c r="D405" s="31"/>
      <c r="E405" s="33">
        <f>IF(OR($D405="",$K405=""),"",IF(COUNTIFS(Payments!$G$5:$G$2500,$K405,Payments!$C$5:$C$2500,"&lt;&gt;")=0,"",_xlfn.MAXIFS(Payments!$C$5:$C$2500,Payments!$G$5:$G$2500,$K405)))</f>
      </c>
      <c r="F405" s="34">
        <f>IF(OR($D405="",$K405=""),"",SUMIF(Payments!$G$5:$G$2500,$K405,Payments!$D$5:$D$2500))</f>
      </c>
      <c r="G405" s="36">
        <f>IF($D405="","",ROUND($D405-IF($F405="",0,$F405),2))</f>
      </c>
      <c r="H405" s="35">
        <f>IF(OR($D405="",$K405=""),"",COUNTIF(Payments!$G$5:$G$2500,$K405))</f>
      </c>
      <c r="I405" s="37">
        <f>IF($D405="","",IF(OR($F405="",$F405=0),"Pending",IF(ROUND($F405-$D405,2)&gt;0,"Overpaid",IF(ROUND($F405-$D405,2)=0,"Paid","Partial"))))</f>
      </c>
      <c r="J405" s="29"/>
      <c r="K405">
        <f>IF($A405="","","#"&amp;TRIM(SUBSTITUTE(SUBSTITUTE(SUBSTITUTE(SUBSTITUTE(SUBSTITUTE(SUBSTITUTE($A405,"-",""),"(",""),")",""),".",""),"+","")," ","")))</f>
      </c>
    </row>
    <row r="406" spans="1:11" x14ac:dyDescent="0.3">
      <c r="A406" s="28"/>
      <c r="B406" s="29"/>
      <c r="C406" s="30"/>
      <c r="D406" s="31"/>
      <c r="E406" s="33">
        <f>IF(OR($D406="",$K406=""),"",IF(COUNTIFS(Payments!$G$5:$G$2500,$K406,Payments!$C$5:$C$2500,"&lt;&gt;")=0,"",_xlfn.MAXIFS(Payments!$C$5:$C$2500,Payments!$G$5:$G$2500,$K406)))</f>
      </c>
      <c r="F406" s="34">
        <f>IF(OR($D406="",$K406=""),"",SUMIF(Payments!$G$5:$G$2500,$K406,Payments!$D$5:$D$2500))</f>
      </c>
      <c r="G406" s="36">
        <f>IF($D406="","",ROUND($D406-IF($F406="",0,$F406),2))</f>
      </c>
      <c r="H406" s="35">
        <f>IF(OR($D406="",$K406=""),"",COUNTIF(Payments!$G$5:$G$2500,$K406))</f>
      </c>
      <c r="I406" s="37">
        <f>IF($D406="","",IF(OR($F406="",$F406=0),"Pending",IF(ROUND($F406-$D406,2)&gt;0,"Overpaid",IF(ROUND($F406-$D406,2)=0,"Paid","Partial"))))</f>
      </c>
      <c r="J406" s="29"/>
      <c r="K406">
        <f>IF($A406="","","#"&amp;TRIM(SUBSTITUTE(SUBSTITUTE(SUBSTITUTE(SUBSTITUTE(SUBSTITUTE(SUBSTITUTE($A406,"-",""),"(",""),")",""),".",""),"+","")," ","")))</f>
      </c>
    </row>
    <row r="407" spans="1:11" x14ac:dyDescent="0.3">
      <c r="A407" s="28"/>
      <c r="B407" s="29"/>
      <c r="C407" s="30"/>
      <c r="D407" s="31"/>
      <c r="E407" s="33">
        <f>IF(OR($D407="",$K407=""),"",IF(COUNTIFS(Payments!$G$5:$G$2500,$K407,Payments!$C$5:$C$2500,"&lt;&gt;")=0,"",_xlfn.MAXIFS(Payments!$C$5:$C$2500,Payments!$G$5:$G$2500,$K407)))</f>
      </c>
      <c r="F407" s="34">
        <f>IF(OR($D407="",$K407=""),"",SUMIF(Payments!$G$5:$G$2500,$K407,Payments!$D$5:$D$2500))</f>
      </c>
      <c r="G407" s="36">
        <f>IF($D407="","",ROUND($D407-IF($F407="",0,$F407),2))</f>
      </c>
      <c r="H407" s="35">
        <f>IF(OR($D407="",$K407=""),"",COUNTIF(Payments!$G$5:$G$2500,$K407))</f>
      </c>
      <c r="I407" s="37">
        <f>IF($D407="","",IF(OR($F407="",$F407=0),"Pending",IF(ROUND($F407-$D407,2)&gt;0,"Overpaid",IF(ROUND($F407-$D407,2)=0,"Paid","Partial"))))</f>
      </c>
      <c r="J407" s="29"/>
      <c r="K407">
        <f>IF($A407="","","#"&amp;TRIM(SUBSTITUTE(SUBSTITUTE(SUBSTITUTE(SUBSTITUTE(SUBSTITUTE(SUBSTITUTE($A407,"-",""),"(",""),")",""),".",""),"+","")," ","")))</f>
      </c>
    </row>
    <row r="408" spans="1:11" x14ac:dyDescent="0.3">
      <c r="A408" s="28"/>
      <c r="B408" s="29"/>
      <c r="C408" s="30"/>
      <c r="D408" s="31"/>
      <c r="E408" s="33">
        <f>IF(OR($D408="",$K408=""),"",IF(COUNTIFS(Payments!$G$5:$G$2500,$K408,Payments!$C$5:$C$2500,"&lt;&gt;")=0,"",_xlfn.MAXIFS(Payments!$C$5:$C$2500,Payments!$G$5:$G$2500,$K408)))</f>
      </c>
      <c r="F408" s="34">
        <f>IF(OR($D408="",$K408=""),"",SUMIF(Payments!$G$5:$G$2500,$K408,Payments!$D$5:$D$2500))</f>
      </c>
      <c r="G408" s="36">
        <f>IF($D408="","",ROUND($D408-IF($F408="",0,$F408),2))</f>
      </c>
      <c r="H408" s="35">
        <f>IF(OR($D408="",$K408=""),"",COUNTIF(Payments!$G$5:$G$2500,$K408))</f>
      </c>
      <c r="I408" s="37">
        <f>IF($D408="","",IF(OR($F408="",$F408=0),"Pending",IF(ROUND($F408-$D408,2)&gt;0,"Overpaid",IF(ROUND($F408-$D408,2)=0,"Paid","Partial"))))</f>
      </c>
      <c r="J408" s="29"/>
      <c r="K408">
        <f>IF($A408="","","#"&amp;TRIM(SUBSTITUTE(SUBSTITUTE(SUBSTITUTE(SUBSTITUTE(SUBSTITUTE(SUBSTITUTE($A408,"-",""),"(",""),")",""),".",""),"+","")," ","")))</f>
      </c>
    </row>
    <row r="409" spans="1:11" x14ac:dyDescent="0.3">
      <c r="A409" s="28"/>
      <c r="B409" s="29"/>
      <c r="C409" s="30"/>
      <c r="D409" s="31"/>
      <c r="E409" s="33">
        <f>IF(OR($D409="",$K409=""),"",IF(COUNTIFS(Payments!$G$5:$G$2500,$K409,Payments!$C$5:$C$2500,"&lt;&gt;")=0,"",_xlfn.MAXIFS(Payments!$C$5:$C$2500,Payments!$G$5:$G$2500,$K409)))</f>
      </c>
      <c r="F409" s="34">
        <f>IF(OR($D409="",$K409=""),"",SUMIF(Payments!$G$5:$G$2500,$K409,Payments!$D$5:$D$2500))</f>
      </c>
      <c r="G409" s="36">
        <f>IF($D409="","",ROUND($D409-IF($F409="",0,$F409),2))</f>
      </c>
      <c r="H409" s="35">
        <f>IF(OR($D409="",$K409=""),"",COUNTIF(Payments!$G$5:$G$2500,$K409))</f>
      </c>
      <c r="I409" s="37">
        <f>IF($D409="","",IF(OR($F409="",$F409=0),"Pending",IF(ROUND($F409-$D409,2)&gt;0,"Overpaid",IF(ROUND($F409-$D409,2)=0,"Paid","Partial"))))</f>
      </c>
      <c r="J409" s="29"/>
      <c r="K409">
        <f>IF($A409="","","#"&amp;TRIM(SUBSTITUTE(SUBSTITUTE(SUBSTITUTE(SUBSTITUTE(SUBSTITUTE(SUBSTITUTE($A409,"-",""),"(",""),")",""),".",""),"+","")," ","")))</f>
      </c>
    </row>
    <row r="410" spans="1:11" x14ac:dyDescent="0.3">
      <c r="A410" s="28"/>
      <c r="B410" s="29"/>
      <c r="C410" s="30"/>
      <c r="D410" s="31"/>
      <c r="E410" s="33">
        <f>IF(OR($D410="",$K410=""),"",IF(COUNTIFS(Payments!$G$5:$G$2500,$K410,Payments!$C$5:$C$2500,"&lt;&gt;")=0,"",_xlfn.MAXIFS(Payments!$C$5:$C$2500,Payments!$G$5:$G$2500,$K410)))</f>
      </c>
      <c r="F410" s="34">
        <f>IF(OR($D410="",$K410=""),"",SUMIF(Payments!$G$5:$G$2500,$K410,Payments!$D$5:$D$2500))</f>
      </c>
      <c r="G410" s="36">
        <f>IF($D410="","",ROUND($D410-IF($F410="",0,$F410),2))</f>
      </c>
      <c r="H410" s="35">
        <f>IF(OR($D410="",$K410=""),"",COUNTIF(Payments!$G$5:$G$2500,$K410))</f>
      </c>
      <c r="I410" s="37">
        <f>IF($D410="","",IF(OR($F410="",$F410=0),"Pending",IF(ROUND($F410-$D410,2)&gt;0,"Overpaid",IF(ROUND($F410-$D410,2)=0,"Paid","Partial"))))</f>
      </c>
      <c r="J410" s="29"/>
      <c r="K410">
        <f>IF($A410="","","#"&amp;TRIM(SUBSTITUTE(SUBSTITUTE(SUBSTITUTE(SUBSTITUTE(SUBSTITUTE(SUBSTITUTE($A410,"-",""),"(",""),")",""),".",""),"+","")," ","")))</f>
      </c>
    </row>
    <row r="411" spans="1:11" x14ac:dyDescent="0.3">
      <c r="A411" s="28"/>
      <c r="B411" s="29"/>
      <c r="C411" s="30"/>
      <c r="D411" s="31"/>
      <c r="E411" s="33">
        <f>IF(OR($D411="",$K411=""),"",IF(COUNTIFS(Payments!$G$5:$G$2500,$K411,Payments!$C$5:$C$2500,"&lt;&gt;")=0,"",_xlfn.MAXIFS(Payments!$C$5:$C$2500,Payments!$G$5:$G$2500,$K411)))</f>
      </c>
      <c r="F411" s="34">
        <f>IF(OR($D411="",$K411=""),"",SUMIF(Payments!$G$5:$G$2500,$K411,Payments!$D$5:$D$2500))</f>
      </c>
      <c r="G411" s="36">
        <f>IF($D411="","",ROUND($D411-IF($F411="",0,$F411),2))</f>
      </c>
      <c r="H411" s="35">
        <f>IF(OR($D411="",$K411=""),"",COUNTIF(Payments!$G$5:$G$2500,$K411))</f>
      </c>
      <c r="I411" s="37">
        <f>IF($D411="","",IF(OR($F411="",$F411=0),"Pending",IF(ROUND($F411-$D411,2)&gt;0,"Overpaid",IF(ROUND($F411-$D411,2)=0,"Paid","Partial"))))</f>
      </c>
      <c r="J411" s="29"/>
      <c r="K411">
        <f>IF($A411="","","#"&amp;TRIM(SUBSTITUTE(SUBSTITUTE(SUBSTITUTE(SUBSTITUTE(SUBSTITUTE(SUBSTITUTE($A411,"-",""),"(",""),")",""),".",""),"+","")," ","")))</f>
      </c>
    </row>
    <row r="412" spans="1:11" x14ac:dyDescent="0.3">
      <c r="A412" s="28"/>
      <c r="B412" s="29"/>
      <c r="C412" s="30"/>
      <c r="D412" s="31"/>
      <c r="E412" s="33">
        <f>IF(OR($D412="",$K412=""),"",IF(COUNTIFS(Payments!$G$5:$G$2500,$K412,Payments!$C$5:$C$2500,"&lt;&gt;")=0,"",_xlfn.MAXIFS(Payments!$C$5:$C$2500,Payments!$G$5:$G$2500,$K412)))</f>
      </c>
      <c r="F412" s="34">
        <f>IF(OR($D412="",$K412=""),"",SUMIF(Payments!$G$5:$G$2500,$K412,Payments!$D$5:$D$2500))</f>
      </c>
      <c r="G412" s="36">
        <f>IF($D412="","",ROUND($D412-IF($F412="",0,$F412),2))</f>
      </c>
      <c r="H412" s="35">
        <f>IF(OR($D412="",$K412=""),"",COUNTIF(Payments!$G$5:$G$2500,$K412))</f>
      </c>
      <c r="I412" s="37">
        <f>IF($D412="","",IF(OR($F412="",$F412=0),"Pending",IF(ROUND($F412-$D412,2)&gt;0,"Overpaid",IF(ROUND($F412-$D412,2)=0,"Paid","Partial"))))</f>
      </c>
      <c r="J412" s="29"/>
      <c r="K412">
        <f>IF($A412="","","#"&amp;TRIM(SUBSTITUTE(SUBSTITUTE(SUBSTITUTE(SUBSTITUTE(SUBSTITUTE(SUBSTITUTE($A412,"-",""),"(",""),")",""),".",""),"+","")," ","")))</f>
      </c>
    </row>
    <row r="413" spans="1:11" x14ac:dyDescent="0.3">
      <c r="A413" s="28"/>
      <c r="B413" s="29"/>
      <c r="C413" s="30"/>
      <c r="D413" s="31"/>
      <c r="E413" s="33">
        <f>IF(OR($D413="",$K413=""),"",IF(COUNTIFS(Payments!$G$5:$G$2500,$K413,Payments!$C$5:$C$2500,"&lt;&gt;")=0,"",_xlfn.MAXIFS(Payments!$C$5:$C$2500,Payments!$G$5:$G$2500,$K413)))</f>
      </c>
      <c r="F413" s="34">
        <f>IF(OR($D413="",$K413=""),"",SUMIF(Payments!$G$5:$G$2500,$K413,Payments!$D$5:$D$2500))</f>
      </c>
      <c r="G413" s="36">
        <f>IF($D413="","",ROUND($D413-IF($F413="",0,$F413),2))</f>
      </c>
      <c r="H413" s="35">
        <f>IF(OR($D413="",$K413=""),"",COUNTIF(Payments!$G$5:$G$2500,$K413))</f>
      </c>
      <c r="I413" s="37">
        <f>IF($D413="","",IF(OR($F413="",$F413=0),"Pending",IF(ROUND($F413-$D413,2)&gt;0,"Overpaid",IF(ROUND($F413-$D413,2)=0,"Paid","Partial"))))</f>
      </c>
      <c r="J413" s="29"/>
      <c r="K413">
        <f>IF($A413="","","#"&amp;TRIM(SUBSTITUTE(SUBSTITUTE(SUBSTITUTE(SUBSTITUTE(SUBSTITUTE(SUBSTITUTE($A413,"-",""),"(",""),")",""),".",""),"+","")," ","")))</f>
      </c>
    </row>
    <row r="414" spans="1:11" x14ac:dyDescent="0.3">
      <c r="A414" s="28"/>
      <c r="B414" s="29"/>
      <c r="C414" s="30"/>
      <c r="D414" s="31"/>
      <c r="E414" s="33">
        <f>IF(OR($D414="",$K414=""),"",IF(COUNTIFS(Payments!$G$5:$G$2500,$K414,Payments!$C$5:$C$2500,"&lt;&gt;")=0,"",_xlfn.MAXIFS(Payments!$C$5:$C$2500,Payments!$G$5:$G$2500,$K414)))</f>
      </c>
      <c r="F414" s="34">
        <f>IF(OR($D414="",$K414=""),"",SUMIF(Payments!$G$5:$G$2500,$K414,Payments!$D$5:$D$2500))</f>
      </c>
      <c r="G414" s="36">
        <f>IF($D414="","",ROUND($D414-IF($F414="",0,$F414),2))</f>
      </c>
      <c r="H414" s="35">
        <f>IF(OR($D414="",$K414=""),"",COUNTIF(Payments!$G$5:$G$2500,$K414))</f>
      </c>
      <c r="I414" s="37">
        <f>IF($D414="","",IF(OR($F414="",$F414=0),"Pending",IF(ROUND($F414-$D414,2)&gt;0,"Overpaid",IF(ROUND($F414-$D414,2)=0,"Paid","Partial"))))</f>
      </c>
      <c r="J414" s="29"/>
      <c r="K414">
        <f>IF($A414="","","#"&amp;TRIM(SUBSTITUTE(SUBSTITUTE(SUBSTITUTE(SUBSTITUTE(SUBSTITUTE(SUBSTITUTE($A414,"-",""),"(",""),")",""),".",""),"+","")," ","")))</f>
      </c>
    </row>
    <row r="415" spans="1:11" x14ac:dyDescent="0.3">
      <c r="A415" s="28"/>
      <c r="B415" s="29"/>
      <c r="C415" s="30"/>
      <c r="D415" s="31"/>
      <c r="E415" s="33">
        <f>IF(OR($D415="",$K415=""),"",IF(COUNTIFS(Payments!$G$5:$G$2500,$K415,Payments!$C$5:$C$2500,"&lt;&gt;")=0,"",_xlfn.MAXIFS(Payments!$C$5:$C$2500,Payments!$G$5:$G$2500,$K415)))</f>
      </c>
      <c r="F415" s="34">
        <f>IF(OR($D415="",$K415=""),"",SUMIF(Payments!$G$5:$G$2500,$K415,Payments!$D$5:$D$2500))</f>
      </c>
      <c r="G415" s="36">
        <f>IF($D415="","",ROUND($D415-IF($F415="",0,$F415),2))</f>
      </c>
      <c r="H415" s="35">
        <f>IF(OR($D415="",$K415=""),"",COUNTIF(Payments!$G$5:$G$2500,$K415))</f>
      </c>
      <c r="I415" s="37">
        <f>IF($D415="","",IF(OR($F415="",$F415=0),"Pending",IF(ROUND($F415-$D415,2)&gt;0,"Overpaid",IF(ROUND($F415-$D415,2)=0,"Paid","Partial"))))</f>
      </c>
      <c r="J415" s="29"/>
      <c r="K415">
        <f>IF($A415="","","#"&amp;TRIM(SUBSTITUTE(SUBSTITUTE(SUBSTITUTE(SUBSTITUTE(SUBSTITUTE(SUBSTITUTE($A415,"-",""),"(",""),")",""),".",""),"+","")," ","")))</f>
      </c>
    </row>
    <row r="416" spans="1:11" x14ac:dyDescent="0.3">
      <c r="A416" s="28"/>
      <c r="B416" s="29"/>
      <c r="C416" s="30"/>
      <c r="D416" s="31"/>
      <c r="E416" s="33">
        <f>IF(OR($D416="",$K416=""),"",IF(COUNTIFS(Payments!$G$5:$G$2500,$K416,Payments!$C$5:$C$2500,"&lt;&gt;")=0,"",_xlfn.MAXIFS(Payments!$C$5:$C$2500,Payments!$G$5:$G$2500,$K416)))</f>
      </c>
      <c r="F416" s="34">
        <f>IF(OR($D416="",$K416=""),"",SUMIF(Payments!$G$5:$G$2500,$K416,Payments!$D$5:$D$2500))</f>
      </c>
      <c r="G416" s="36">
        <f>IF($D416="","",ROUND($D416-IF($F416="",0,$F416),2))</f>
      </c>
      <c r="H416" s="35">
        <f>IF(OR($D416="",$K416=""),"",COUNTIF(Payments!$G$5:$G$2500,$K416))</f>
      </c>
      <c r="I416" s="37">
        <f>IF($D416="","",IF(OR($F416="",$F416=0),"Pending",IF(ROUND($F416-$D416,2)&gt;0,"Overpaid",IF(ROUND($F416-$D416,2)=0,"Paid","Partial"))))</f>
      </c>
      <c r="J416" s="29"/>
      <c r="K416">
        <f>IF($A416="","","#"&amp;TRIM(SUBSTITUTE(SUBSTITUTE(SUBSTITUTE(SUBSTITUTE(SUBSTITUTE(SUBSTITUTE($A416,"-",""),"(",""),")",""),".",""),"+","")," ","")))</f>
      </c>
    </row>
    <row r="417" spans="1:11" x14ac:dyDescent="0.3">
      <c r="A417" s="28"/>
      <c r="B417" s="29"/>
      <c r="C417" s="30"/>
      <c r="D417" s="31"/>
      <c r="E417" s="33">
        <f>IF(OR($D417="",$K417=""),"",IF(COUNTIFS(Payments!$G$5:$G$2500,$K417,Payments!$C$5:$C$2500,"&lt;&gt;")=0,"",_xlfn.MAXIFS(Payments!$C$5:$C$2500,Payments!$G$5:$G$2500,$K417)))</f>
      </c>
      <c r="F417" s="34">
        <f>IF(OR($D417="",$K417=""),"",SUMIF(Payments!$G$5:$G$2500,$K417,Payments!$D$5:$D$2500))</f>
      </c>
      <c r="G417" s="36">
        <f>IF($D417="","",ROUND($D417-IF($F417="",0,$F417),2))</f>
      </c>
      <c r="H417" s="35">
        <f>IF(OR($D417="",$K417=""),"",COUNTIF(Payments!$G$5:$G$2500,$K417))</f>
      </c>
      <c r="I417" s="37">
        <f>IF($D417="","",IF(OR($F417="",$F417=0),"Pending",IF(ROUND($F417-$D417,2)&gt;0,"Overpaid",IF(ROUND($F417-$D417,2)=0,"Paid","Partial"))))</f>
      </c>
      <c r="J417" s="29"/>
      <c r="K417">
        <f>IF($A417="","","#"&amp;TRIM(SUBSTITUTE(SUBSTITUTE(SUBSTITUTE(SUBSTITUTE(SUBSTITUTE(SUBSTITUTE($A417,"-",""),"(",""),")",""),".",""),"+","")," ","")))</f>
      </c>
    </row>
    <row r="418" spans="1:11" x14ac:dyDescent="0.3">
      <c r="A418" s="28"/>
      <c r="B418" s="29"/>
      <c r="C418" s="30"/>
      <c r="D418" s="31"/>
      <c r="E418" s="33">
        <f>IF(OR($D418="",$K418=""),"",IF(COUNTIFS(Payments!$G$5:$G$2500,$K418,Payments!$C$5:$C$2500,"&lt;&gt;")=0,"",_xlfn.MAXIFS(Payments!$C$5:$C$2500,Payments!$G$5:$G$2500,$K418)))</f>
      </c>
      <c r="F418" s="34">
        <f>IF(OR($D418="",$K418=""),"",SUMIF(Payments!$G$5:$G$2500,$K418,Payments!$D$5:$D$2500))</f>
      </c>
      <c r="G418" s="36">
        <f>IF($D418="","",ROUND($D418-IF($F418="",0,$F418),2))</f>
      </c>
      <c r="H418" s="35">
        <f>IF(OR($D418="",$K418=""),"",COUNTIF(Payments!$G$5:$G$2500,$K418))</f>
      </c>
      <c r="I418" s="37">
        <f>IF($D418="","",IF(OR($F418="",$F418=0),"Pending",IF(ROUND($F418-$D418,2)&gt;0,"Overpaid",IF(ROUND($F418-$D418,2)=0,"Paid","Partial"))))</f>
      </c>
      <c r="J418" s="29"/>
      <c r="K418">
        <f>IF($A418="","","#"&amp;TRIM(SUBSTITUTE(SUBSTITUTE(SUBSTITUTE(SUBSTITUTE(SUBSTITUTE(SUBSTITUTE($A418,"-",""),"(",""),")",""),".",""),"+","")," ","")))</f>
      </c>
    </row>
    <row r="419" spans="1:11" x14ac:dyDescent="0.3">
      <c r="A419" s="28"/>
      <c r="B419" s="29"/>
      <c r="C419" s="30"/>
      <c r="D419" s="31"/>
      <c r="E419" s="33">
        <f>IF(OR($D419="",$K419=""),"",IF(COUNTIFS(Payments!$G$5:$G$2500,$K419,Payments!$C$5:$C$2500,"&lt;&gt;")=0,"",_xlfn.MAXIFS(Payments!$C$5:$C$2500,Payments!$G$5:$G$2500,$K419)))</f>
      </c>
      <c r="F419" s="34">
        <f>IF(OR($D419="",$K419=""),"",SUMIF(Payments!$G$5:$G$2500,$K419,Payments!$D$5:$D$2500))</f>
      </c>
      <c r="G419" s="36">
        <f>IF($D419="","",ROUND($D419-IF($F419="",0,$F419),2))</f>
      </c>
      <c r="H419" s="35">
        <f>IF(OR($D419="",$K419=""),"",COUNTIF(Payments!$G$5:$G$2500,$K419))</f>
      </c>
      <c r="I419" s="37">
        <f>IF($D419="","",IF(OR($F419="",$F419=0),"Pending",IF(ROUND($F419-$D419,2)&gt;0,"Overpaid",IF(ROUND($F419-$D419,2)=0,"Paid","Partial"))))</f>
      </c>
      <c r="J419" s="29"/>
      <c r="K419">
        <f>IF($A419="","","#"&amp;TRIM(SUBSTITUTE(SUBSTITUTE(SUBSTITUTE(SUBSTITUTE(SUBSTITUTE(SUBSTITUTE($A419,"-",""),"(",""),")",""),".",""),"+","")," ","")))</f>
      </c>
    </row>
    <row r="420" spans="1:11" x14ac:dyDescent="0.3">
      <c r="A420" s="28"/>
      <c r="B420" s="29"/>
      <c r="C420" s="30"/>
      <c r="D420" s="31"/>
      <c r="E420" s="33">
        <f>IF(OR($D420="",$K420=""),"",IF(COUNTIFS(Payments!$G$5:$G$2500,$K420,Payments!$C$5:$C$2500,"&lt;&gt;")=0,"",_xlfn.MAXIFS(Payments!$C$5:$C$2500,Payments!$G$5:$G$2500,$K420)))</f>
      </c>
      <c r="F420" s="34">
        <f>IF(OR($D420="",$K420=""),"",SUMIF(Payments!$G$5:$G$2500,$K420,Payments!$D$5:$D$2500))</f>
      </c>
      <c r="G420" s="36">
        <f>IF($D420="","",ROUND($D420-IF($F420="",0,$F420),2))</f>
      </c>
      <c r="H420" s="35">
        <f>IF(OR($D420="",$K420=""),"",COUNTIF(Payments!$G$5:$G$2500,$K420))</f>
      </c>
      <c r="I420" s="37">
        <f>IF($D420="","",IF(OR($F420="",$F420=0),"Pending",IF(ROUND($F420-$D420,2)&gt;0,"Overpaid",IF(ROUND($F420-$D420,2)=0,"Paid","Partial"))))</f>
      </c>
      <c r="J420" s="29"/>
      <c r="K420">
        <f>IF($A420="","","#"&amp;TRIM(SUBSTITUTE(SUBSTITUTE(SUBSTITUTE(SUBSTITUTE(SUBSTITUTE(SUBSTITUTE($A420,"-",""),"(",""),")",""),".",""),"+","")," ","")))</f>
      </c>
    </row>
    <row r="421" spans="1:11" x14ac:dyDescent="0.3">
      <c r="A421" s="28"/>
      <c r="B421" s="29"/>
      <c r="C421" s="30"/>
      <c r="D421" s="31"/>
      <c r="E421" s="33">
        <f>IF(OR($D421="",$K421=""),"",IF(COUNTIFS(Payments!$G$5:$G$2500,$K421,Payments!$C$5:$C$2500,"&lt;&gt;")=0,"",_xlfn.MAXIFS(Payments!$C$5:$C$2500,Payments!$G$5:$G$2500,$K421)))</f>
      </c>
      <c r="F421" s="34">
        <f>IF(OR($D421="",$K421=""),"",SUMIF(Payments!$G$5:$G$2500,$K421,Payments!$D$5:$D$2500))</f>
      </c>
      <c r="G421" s="36">
        <f>IF($D421="","",ROUND($D421-IF($F421="",0,$F421),2))</f>
      </c>
      <c r="H421" s="35">
        <f>IF(OR($D421="",$K421=""),"",COUNTIF(Payments!$G$5:$G$2500,$K421))</f>
      </c>
      <c r="I421" s="37">
        <f>IF($D421="","",IF(OR($F421="",$F421=0),"Pending",IF(ROUND($F421-$D421,2)&gt;0,"Overpaid",IF(ROUND($F421-$D421,2)=0,"Paid","Partial"))))</f>
      </c>
      <c r="J421" s="29"/>
      <c r="K421">
        <f>IF($A421="","","#"&amp;TRIM(SUBSTITUTE(SUBSTITUTE(SUBSTITUTE(SUBSTITUTE(SUBSTITUTE(SUBSTITUTE($A421,"-",""),"(",""),")",""),".",""),"+","")," ","")))</f>
      </c>
    </row>
    <row r="422" spans="1:11" x14ac:dyDescent="0.3">
      <c r="A422" s="28"/>
      <c r="B422" s="29"/>
      <c r="C422" s="30"/>
      <c r="D422" s="31"/>
      <c r="E422" s="33">
        <f>IF(OR($D422="",$K422=""),"",IF(COUNTIFS(Payments!$G$5:$G$2500,$K422,Payments!$C$5:$C$2500,"&lt;&gt;")=0,"",_xlfn.MAXIFS(Payments!$C$5:$C$2500,Payments!$G$5:$G$2500,$K422)))</f>
      </c>
      <c r="F422" s="34">
        <f>IF(OR($D422="",$K422=""),"",SUMIF(Payments!$G$5:$G$2500,$K422,Payments!$D$5:$D$2500))</f>
      </c>
      <c r="G422" s="36">
        <f>IF($D422="","",ROUND($D422-IF($F422="",0,$F422),2))</f>
      </c>
      <c r="H422" s="35">
        <f>IF(OR($D422="",$K422=""),"",COUNTIF(Payments!$G$5:$G$2500,$K422))</f>
      </c>
      <c r="I422" s="37">
        <f>IF($D422="","",IF(OR($F422="",$F422=0),"Pending",IF(ROUND($F422-$D422,2)&gt;0,"Overpaid",IF(ROUND($F422-$D422,2)=0,"Paid","Partial"))))</f>
      </c>
      <c r="J422" s="29"/>
      <c r="K422">
        <f>IF($A422="","","#"&amp;TRIM(SUBSTITUTE(SUBSTITUTE(SUBSTITUTE(SUBSTITUTE(SUBSTITUTE(SUBSTITUTE($A422,"-",""),"(",""),")",""),".",""),"+","")," ","")))</f>
      </c>
    </row>
    <row r="423" spans="1:11" x14ac:dyDescent="0.3">
      <c r="A423" s="28"/>
      <c r="B423" s="29"/>
      <c r="C423" s="30"/>
      <c r="D423" s="31"/>
      <c r="E423" s="33">
        <f>IF(OR($D423="",$K423=""),"",IF(COUNTIFS(Payments!$G$5:$G$2500,$K423,Payments!$C$5:$C$2500,"&lt;&gt;")=0,"",_xlfn.MAXIFS(Payments!$C$5:$C$2500,Payments!$G$5:$G$2500,$K423)))</f>
      </c>
      <c r="F423" s="34">
        <f>IF(OR($D423="",$K423=""),"",SUMIF(Payments!$G$5:$G$2500,$K423,Payments!$D$5:$D$2500))</f>
      </c>
      <c r="G423" s="36">
        <f>IF($D423="","",ROUND($D423-IF($F423="",0,$F423),2))</f>
      </c>
      <c r="H423" s="35">
        <f>IF(OR($D423="",$K423=""),"",COUNTIF(Payments!$G$5:$G$2500,$K423))</f>
      </c>
      <c r="I423" s="37">
        <f>IF($D423="","",IF(OR($F423="",$F423=0),"Pending",IF(ROUND($F423-$D423,2)&gt;0,"Overpaid",IF(ROUND($F423-$D423,2)=0,"Paid","Partial"))))</f>
      </c>
      <c r="J423" s="29"/>
      <c r="K423">
        <f>IF($A423="","","#"&amp;TRIM(SUBSTITUTE(SUBSTITUTE(SUBSTITUTE(SUBSTITUTE(SUBSTITUTE(SUBSTITUTE($A423,"-",""),"(",""),")",""),".",""),"+","")," ","")))</f>
      </c>
    </row>
    <row r="424" spans="1:11" x14ac:dyDescent="0.3">
      <c r="A424" s="28"/>
      <c r="B424" s="29"/>
      <c r="C424" s="30"/>
      <c r="D424" s="31"/>
      <c r="E424" s="33">
        <f>IF(OR($D424="",$K424=""),"",IF(COUNTIFS(Payments!$G$5:$G$2500,$K424,Payments!$C$5:$C$2500,"&lt;&gt;")=0,"",_xlfn.MAXIFS(Payments!$C$5:$C$2500,Payments!$G$5:$G$2500,$K424)))</f>
      </c>
      <c r="F424" s="34">
        <f>IF(OR($D424="",$K424=""),"",SUMIF(Payments!$G$5:$G$2500,$K424,Payments!$D$5:$D$2500))</f>
      </c>
      <c r="G424" s="36">
        <f>IF($D424="","",ROUND($D424-IF($F424="",0,$F424),2))</f>
      </c>
      <c r="H424" s="35">
        <f>IF(OR($D424="",$K424=""),"",COUNTIF(Payments!$G$5:$G$2500,$K424))</f>
      </c>
      <c r="I424" s="37">
        <f>IF($D424="","",IF(OR($F424="",$F424=0),"Pending",IF(ROUND($F424-$D424,2)&gt;0,"Overpaid",IF(ROUND($F424-$D424,2)=0,"Paid","Partial"))))</f>
      </c>
      <c r="J424" s="29"/>
      <c r="K424">
        <f>IF($A424="","","#"&amp;TRIM(SUBSTITUTE(SUBSTITUTE(SUBSTITUTE(SUBSTITUTE(SUBSTITUTE(SUBSTITUTE($A424,"-",""),"(",""),")",""),".",""),"+","")," ","")))</f>
      </c>
    </row>
    <row r="425" spans="1:11" x14ac:dyDescent="0.3">
      <c r="A425" s="28"/>
      <c r="B425" s="29"/>
      <c r="C425" s="30"/>
      <c r="D425" s="31"/>
      <c r="E425" s="33">
        <f>IF(OR($D425="",$K425=""),"",IF(COUNTIFS(Payments!$G$5:$G$2500,$K425,Payments!$C$5:$C$2500,"&lt;&gt;")=0,"",_xlfn.MAXIFS(Payments!$C$5:$C$2500,Payments!$G$5:$G$2500,$K425)))</f>
      </c>
      <c r="F425" s="34">
        <f>IF(OR($D425="",$K425=""),"",SUMIF(Payments!$G$5:$G$2500,$K425,Payments!$D$5:$D$2500))</f>
      </c>
      <c r="G425" s="36">
        <f>IF($D425="","",ROUND($D425-IF($F425="",0,$F425),2))</f>
      </c>
      <c r="H425" s="35">
        <f>IF(OR($D425="",$K425=""),"",COUNTIF(Payments!$G$5:$G$2500,$K425))</f>
      </c>
      <c r="I425" s="37">
        <f>IF($D425="","",IF(OR($F425="",$F425=0),"Pending",IF(ROUND($F425-$D425,2)&gt;0,"Overpaid",IF(ROUND($F425-$D425,2)=0,"Paid","Partial"))))</f>
      </c>
      <c r="J425" s="29"/>
      <c r="K425">
        <f>IF($A425="","","#"&amp;TRIM(SUBSTITUTE(SUBSTITUTE(SUBSTITUTE(SUBSTITUTE(SUBSTITUTE(SUBSTITUTE($A425,"-",""),"(",""),")",""),".",""),"+","")," ","")))</f>
      </c>
    </row>
    <row r="426" spans="1:11" x14ac:dyDescent="0.3">
      <c r="A426" s="28"/>
      <c r="B426" s="29"/>
      <c r="C426" s="30"/>
      <c r="D426" s="31"/>
      <c r="E426" s="33">
        <f>IF(OR($D426="",$K426=""),"",IF(COUNTIFS(Payments!$G$5:$G$2500,$K426,Payments!$C$5:$C$2500,"&lt;&gt;")=0,"",_xlfn.MAXIFS(Payments!$C$5:$C$2500,Payments!$G$5:$G$2500,$K426)))</f>
      </c>
      <c r="F426" s="34">
        <f>IF(OR($D426="",$K426=""),"",SUMIF(Payments!$G$5:$G$2500,$K426,Payments!$D$5:$D$2500))</f>
      </c>
      <c r="G426" s="36">
        <f>IF($D426="","",ROUND($D426-IF($F426="",0,$F426),2))</f>
      </c>
      <c r="H426" s="35">
        <f>IF(OR($D426="",$K426=""),"",COUNTIF(Payments!$G$5:$G$2500,$K426))</f>
      </c>
      <c r="I426" s="37">
        <f>IF($D426="","",IF(OR($F426="",$F426=0),"Pending",IF(ROUND($F426-$D426,2)&gt;0,"Overpaid",IF(ROUND($F426-$D426,2)=0,"Paid","Partial"))))</f>
      </c>
      <c r="J426" s="29"/>
      <c r="K426">
        <f>IF($A426="","","#"&amp;TRIM(SUBSTITUTE(SUBSTITUTE(SUBSTITUTE(SUBSTITUTE(SUBSTITUTE(SUBSTITUTE($A426,"-",""),"(",""),")",""),".",""),"+","")," ","")))</f>
      </c>
    </row>
    <row r="427" spans="1:11" x14ac:dyDescent="0.3">
      <c r="A427" s="28"/>
      <c r="B427" s="29"/>
      <c r="C427" s="30"/>
      <c r="D427" s="31"/>
      <c r="E427" s="33">
        <f>IF(OR($D427="",$K427=""),"",IF(COUNTIFS(Payments!$G$5:$G$2500,$K427,Payments!$C$5:$C$2500,"&lt;&gt;")=0,"",_xlfn.MAXIFS(Payments!$C$5:$C$2500,Payments!$G$5:$G$2500,$K427)))</f>
      </c>
      <c r="F427" s="34">
        <f>IF(OR($D427="",$K427=""),"",SUMIF(Payments!$G$5:$G$2500,$K427,Payments!$D$5:$D$2500))</f>
      </c>
      <c r="G427" s="36">
        <f>IF($D427="","",ROUND($D427-IF($F427="",0,$F427),2))</f>
      </c>
      <c r="H427" s="35">
        <f>IF(OR($D427="",$K427=""),"",COUNTIF(Payments!$G$5:$G$2500,$K427))</f>
      </c>
      <c r="I427" s="37">
        <f>IF($D427="","",IF(OR($F427="",$F427=0),"Pending",IF(ROUND($F427-$D427,2)&gt;0,"Overpaid",IF(ROUND($F427-$D427,2)=0,"Paid","Partial"))))</f>
      </c>
      <c r="J427" s="29"/>
      <c r="K427">
        <f>IF($A427="","","#"&amp;TRIM(SUBSTITUTE(SUBSTITUTE(SUBSTITUTE(SUBSTITUTE(SUBSTITUTE(SUBSTITUTE($A427,"-",""),"(",""),")",""),".",""),"+","")," ","")))</f>
      </c>
    </row>
    <row r="428" spans="1:11" x14ac:dyDescent="0.3">
      <c r="A428" s="28"/>
      <c r="B428" s="29"/>
      <c r="C428" s="30"/>
      <c r="D428" s="31"/>
      <c r="E428" s="33">
        <f>IF(OR($D428="",$K428=""),"",IF(COUNTIFS(Payments!$G$5:$G$2500,$K428,Payments!$C$5:$C$2500,"&lt;&gt;")=0,"",_xlfn.MAXIFS(Payments!$C$5:$C$2500,Payments!$G$5:$G$2500,$K428)))</f>
      </c>
      <c r="F428" s="34">
        <f>IF(OR($D428="",$K428=""),"",SUMIF(Payments!$G$5:$G$2500,$K428,Payments!$D$5:$D$2500))</f>
      </c>
      <c r="G428" s="36">
        <f>IF($D428="","",ROUND($D428-IF($F428="",0,$F428),2))</f>
      </c>
      <c r="H428" s="35">
        <f>IF(OR($D428="",$K428=""),"",COUNTIF(Payments!$G$5:$G$2500,$K428))</f>
      </c>
      <c r="I428" s="37">
        <f>IF($D428="","",IF(OR($F428="",$F428=0),"Pending",IF(ROUND($F428-$D428,2)&gt;0,"Overpaid",IF(ROUND($F428-$D428,2)=0,"Paid","Partial"))))</f>
      </c>
      <c r="J428" s="29"/>
      <c r="K428">
        <f>IF($A428="","","#"&amp;TRIM(SUBSTITUTE(SUBSTITUTE(SUBSTITUTE(SUBSTITUTE(SUBSTITUTE(SUBSTITUTE($A428,"-",""),"(",""),")",""),".",""),"+","")," ","")))</f>
      </c>
    </row>
    <row r="429" spans="1:11" x14ac:dyDescent="0.3">
      <c r="A429" s="28"/>
      <c r="B429" s="29"/>
      <c r="C429" s="30"/>
      <c r="D429" s="31"/>
      <c r="E429" s="33">
        <f>IF(OR($D429="",$K429=""),"",IF(COUNTIFS(Payments!$G$5:$G$2500,$K429,Payments!$C$5:$C$2500,"&lt;&gt;")=0,"",_xlfn.MAXIFS(Payments!$C$5:$C$2500,Payments!$G$5:$G$2500,$K429)))</f>
      </c>
      <c r="F429" s="34">
        <f>IF(OR($D429="",$K429=""),"",SUMIF(Payments!$G$5:$G$2500,$K429,Payments!$D$5:$D$2500))</f>
      </c>
      <c r="G429" s="36">
        <f>IF($D429="","",ROUND($D429-IF($F429="",0,$F429),2))</f>
      </c>
      <c r="H429" s="35">
        <f>IF(OR($D429="",$K429=""),"",COUNTIF(Payments!$G$5:$G$2500,$K429))</f>
      </c>
      <c r="I429" s="37">
        <f>IF($D429="","",IF(OR($F429="",$F429=0),"Pending",IF(ROUND($F429-$D429,2)&gt;0,"Overpaid",IF(ROUND($F429-$D429,2)=0,"Paid","Partial"))))</f>
      </c>
      <c r="J429" s="29"/>
      <c r="K429">
        <f>IF($A429="","","#"&amp;TRIM(SUBSTITUTE(SUBSTITUTE(SUBSTITUTE(SUBSTITUTE(SUBSTITUTE(SUBSTITUTE($A429,"-",""),"(",""),")",""),".",""),"+","")," ","")))</f>
      </c>
    </row>
    <row r="430" spans="1:11" x14ac:dyDescent="0.3">
      <c r="A430" s="28"/>
      <c r="B430" s="29"/>
      <c r="C430" s="30"/>
      <c r="D430" s="31"/>
      <c r="E430" s="33">
        <f>IF(OR($D430="",$K430=""),"",IF(COUNTIFS(Payments!$G$5:$G$2500,$K430,Payments!$C$5:$C$2500,"&lt;&gt;")=0,"",_xlfn.MAXIFS(Payments!$C$5:$C$2500,Payments!$G$5:$G$2500,$K430)))</f>
      </c>
      <c r="F430" s="34">
        <f>IF(OR($D430="",$K430=""),"",SUMIF(Payments!$G$5:$G$2500,$K430,Payments!$D$5:$D$2500))</f>
      </c>
      <c r="G430" s="36">
        <f>IF($D430="","",ROUND($D430-IF($F430="",0,$F430),2))</f>
      </c>
      <c r="H430" s="35">
        <f>IF(OR($D430="",$K430=""),"",COUNTIF(Payments!$G$5:$G$2500,$K430))</f>
      </c>
      <c r="I430" s="37">
        <f>IF($D430="","",IF(OR($F430="",$F430=0),"Pending",IF(ROUND($F430-$D430,2)&gt;0,"Overpaid",IF(ROUND($F430-$D430,2)=0,"Paid","Partial"))))</f>
      </c>
      <c r="J430" s="29"/>
      <c r="K430">
        <f>IF($A430="","","#"&amp;TRIM(SUBSTITUTE(SUBSTITUTE(SUBSTITUTE(SUBSTITUTE(SUBSTITUTE(SUBSTITUTE($A430,"-",""),"(",""),")",""),".",""),"+","")," ","")))</f>
      </c>
    </row>
    <row r="431" spans="1:11" x14ac:dyDescent="0.3">
      <c r="A431" s="28"/>
      <c r="B431" s="29"/>
      <c r="C431" s="30"/>
      <c r="D431" s="31"/>
      <c r="E431" s="33">
        <f>IF(OR($D431="",$K431=""),"",IF(COUNTIFS(Payments!$G$5:$G$2500,$K431,Payments!$C$5:$C$2500,"&lt;&gt;")=0,"",_xlfn.MAXIFS(Payments!$C$5:$C$2500,Payments!$G$5:$G$2500,$K431)))</f>
      </c>
      <c r="F431" s="34">
        <f>IF(OR($D431="",$K431=""),"",SUMIF(Payments!$G$5:$G$2500,$K431,Payments!$D$5:$D$2500))</f>
      </c>
      <c r="G431" s="36">
        <f>IF($D431="","",ROUND($D431-IF($F431="",0,$F431),2))</f>
      </c>
      <c r="H431" s="35">
        <f>IF(OR($D431="",$K431=""),"",COUNTIF(Payments!$G$5:$G$2500,$K431))</f>
      </c>
      <c r="I431" s="37">
        <f>IF($D431="","",IF(OR($F431="",$F431=0),"Pending",IF(ROUND($F431-$D431,2)&gt;0,"Overpaid",IF(ROUND($F431-$D431,2)=0,"Paid","Partial"))))</f>
      </c>
      <c r="J431" s="29"/>
      <c r="K431">
        <f>IF($A431="","","#"&amp;TRIM(SUBSTITUTE(SUBSTITUTE(SUBSTITUTE(SUBSTITUTE(SUBSTITUTE(SUBSTITUTE($A431,"-",""),"(",""),")",""),".",""),"+","")," ","")))</f>
      </c>
    </row>
    <row r="432" spans="1:11" x14ac:dyDescent="0.3">
      <c r="A432" s="28"/>
      <c r="B432" s="29"/>
      <c r="C432" s="30"/>
      <c r="D432" s="31"/>
      <c r="E432" s="33">
        <f>IF(OR($D432="",$K432=""),"",IF(COUNTIFS(Payments!$G$5:$G$2500,$K432,Payments!$C$5:$C$2500,"&lt;&gt;")=0,"",_xlfn.MAXIFS(Payments!$C$5:$C$2500,Payments!$G$5:$G$2500,$K432)))</f>
      </c>
      <c r="F432" s="34">
        <f>IF(OR($D432="",$K432=""),"",SUMIF(Payments!$G$5:$G$2500,$K432,Payments!$D$5:$D$2500))</f>
      </c>
      <c r="G432" s="36">
        <f>IF($D432="","",ROUND($D432-IF($F432="",0,$F432),2))</f>
      </c>
      <c r="H432" s="35">
        <f>IF(OR($D432="",$K432=""),"",COUNTIF(Payments!$G$5:$G$2500,$K432))</f>
      </c>
      <c r="I432" s="37">
        <f>IF($D432="","",IF(OR($F432="",$F432=0),"Pending",IF(ROUND($F432-$D432,2)&gt;0,"Overpaid",IF(ROUND($F432-$D432,2)=0,"Paid","Partial"))))</f>
      </c>
      <c r="J432" s="29"/>
      <c r="K432">
        <f>IF($A432="","","#"&amp;TRIM(SUBSTITUTE(SUBSTITUTE(SUBSTITUTE(SUBSTITUTE(SUBSTITUTE(SUBSTITUTE($A432,"-",""),"(",""),")",""),".",""),"+","")," ","")))</f>
      </c>
    </row>
    <row r="433" spans="1:11" x14ac:dyDescent="0.3">
      <c r="A433" s="28"/>
      <c r="B433" s="29"/>
      <c r="C433" s="30"/>
      <c r="D433" s="31"/>
      <c r="E433" s="33">
        <f>IF(OR($D433="",$K433=""),"",IF(COUNTIFS(Payments!$G$5:$G$2500,$K433,Payments!$C$5:$C$2500,"&lt;&gt;")=0,"",_xlfn.MAXIFS(Payments!$C$5:$C$2500,Payments!$G$5:$G$2500,$K433)))</f>
      </c>
      <c r="F433" s="34">
        <f>IF(OR($D433="",$K433=""),"",SUMIF(Payments!$G$5:$G$2500,$K433,Payments!$D$5:$D$2500))</f>
      </c>
      <c r="G433" s="36">
        <f>IF($D433="","",ROUND($D433-IF($F433="",0,$F433),2))</f>
      </c>
      <c r="H433" s="35">
        <f>IF(OR($D433="",$K433=""),"",COUNTIF(Payments!$G$5:$G$2500,$K433))</f>
      </c>
      <c r="I433" s="37">
        <f>IF($D433="","",IF(OR($F433="",$F433=0),"Pending",IF(ROUND($F433-$D433,2)&gt;0,"Overpaid",IF(ROUND($F433-$D433,2)=0,"Paid","Partial"))))</f>
      </c>
      <c r="J433" s="29"/>
      <c r="K433">
        <f>IF($A433="","","#"&amp;TRIM(SUBSTITUTE(SUBSTITUTE(SUBSTITUTE(SUBSTITUTE(SUBSTITUTE(SUBSTITUTE($A433,"-",""),"(",""),")",""),".",""),"+","")," ","")))</f>
      </c>
    </row>
    <row r="434" spans="1:11" x14ac:dyDescent="0.3">
      <c r="A434" s="28"/>
      <c r="B434" s="29"/>
      <c r="C434" s="30"/>
      <c r="D434" s="31"/>
      <c r="E434" s="33">
        <f>IF(OR($D434="",$K434=""),"",IF(COUNTIFS(Payments!$G$5:$G$2500,$K434,Payments!$C$5:$C$2500,"&lt;&gt;")=0,"",_xlfn.MAXIFS(Payments!$C$5:$C$2500,Payments!$G$5:$G$2500,$K434)))</f>
      </c>
      <c r="F434" s="34">
        <f>IF(OR($D434="",$K434=""),"",SUMIF(Payments!$G$5:$G$2500,$K434,Payments!$D$5:$D$2500))</f>
      </c>
      <c r="G434" s="36">
        <f>IF($D434="","",ROUND($D434-IF($F434="",0,$F434),2))</f>
      </c>
      <c r="H434" s="35">
        <f>IF(OR($D434="",$K434=""),"",COUNTIF(Payments!$G$5:$G$2500,$K434))</f>
      </c>
      <c r="I434" s="37">
        <f>IF($D434="","",IF(OR($F434="",$F434=0),"Pending",IF(ROUND($F434-$D434,2)&gt;0,"Overpaid",IF(ROUND($F434-$D434,2)=0,"Paid","Partial"))))</f>
      </c>
      <c r="J434" s="29"/>
      <c r="K434">
        <f>IF($A434="","","#"&amp;TRIM(SUBSTITUTE(SUBSTITUTE(SUBSTITUTE(SUBSTITUTE(SUBSTITUTE(SUBSTITUTE($A434,"-",""),"(",""),")",""),".",""),"+","")," ","")))</f>
      </c>
    </row>
    <row r="435" spans="1:11" x14ac:dyDescent="0.3">
      <c r="A435" s="28"/>
      <c r="B435" s="29"/>
      <c r="C435" s="30"/>
      <c r="D435" s="31"/>
      <c r="E435" s="33">
        <f>IF(OR($D435="",$K435=""),"",IF(COUNTIFS(Payments!$G$5:$G$2500,$K435,Payments!$C$5:$C$2500,"&lt;&gt;")=0,"",_xlfn.MAXIFS(Payments!$C$5:$C$2500,Payments!$G$5:$G$2500,$K435)))</f>
      </c>
      <c r="F435" s="34">
        <f>IF(OR($D435="",$K435=""),"",SUMIF(Payments!$G$5:$G$2500,$K435,Payments!$D$5:$D$2500))</f>
      </c>
      <c r="G435" s="36">
        <f>IF($D435="","",ROUND($D435-IF($F435="",0,$F435),2))</f>
      </c>
      <c r="H435" s="35">
        <f>IF(OR($D435="",$K435=""),"",COUNTIF(Payments!$G$5:$G$2500,$K435))</f>
      </c>
      <c r="I435" s="37">
        <f>IF($D435="","",IF(OR($F435="",$F435=0),"Pending",IF(ROUND($F435-$D435,2)&gt;0,"Overpaid",IF(ROUND($F435-$D435,2)=0,"Paid","Partial"))))</f>
      </c>
      <c r="J435" s="29"/>
      <c r="K435">
        <f>IF($A435="","","#"&amp;TRIM(SUBSTITUTE(SUBSTITUTE(SUBSTITUTE(SUBSTITUTE(SUBSTITUTE(SUBSTITUTE($A435,"-",""),"(",""),")",""),".",""),"+","")," ","")))</f>
      </c>
    </row>
    <row r="436" spans="1:11" x14ac:dyDescent="0.3">
      <c r="A436" s="28"/>
      <c r="B436" s="29"/>
      <c r="C436" s="30"/>
      <c r="D436" s="31"/>
      <c r="E436" s="33">
        <f>IF(OR($D436="",$K436=""),"",IF(COUNTIFS(Payments!$G$5:$G$2500,$K436,Payments!$C$5:$C$2500,"&lt;&gt;")=0,"",_xlfn.MAXIFS(Payments!$C$5:$C$2500,Payments!$G$5:$G$2500,$K436)))</f>
      </c>
      <c r="F436" s="34">
        <f>IF(OR($D436="",$K436=""),"",SUMIF(Payments!$G$5:$G$2500,$K436,Payments!$D$5:$D$2500))</f>
      </c>
      <c r="G436" s="36">
        <f>IF($D436="","",ROUND($D436-IF($F436="",0,$F436),2))</f>
      </c>
      <c r="H436" s="35">
        <f>IF(OR($D436="",$K436=""),"",COUNTIF(Payments!$G$5:$G$2500,$K436))</f>
      </c>
      <c r="I436" s="37">
        <f>IF($D436="","",IF(OR($F436="",$F436=0),"Pending",IF(ROUND($F436-$D436,2)&gt;0,"Overpaid",IF(ROUND($F436-$D436,2)=0,"Paid","Partial"))))</f>
      </c>
      <c r="J436" s="29"/>
      <c r="K436">
        <f>IF($A436="","","#"&amp;TRIM(SUBSTITUTE(SUBSTITUTE(SUBSTITUTE(SUBSTITUTE(SUBSTITUTE(SUBSTITUTE($A436,"-",""),"(",""),")",""),".",""),"+","")," ","")))</f>
      </c>
    </row>
    <row r="437" spans="1:11" x14ac:dyDescent="0.3">
      <c r="A437" s="28"/>
      <c r="B437" s="29"/>
      <c r="C437" s="30"/>
      <c r="D437" s="31"/>
      <c r="E437" s="33">
        <f>IF(OR($D437="",$K437=""),"",IF(COUNTIFS(Payments!$G$5:$G$2500,$K437,Payments!$C$5:$C$2500,"&lt;&gt;")=0,"",_xlfn.MAXIFS(Payments!$C$5:$C$2500,Payments!$G$5:$G$2500,$K437)))</f>
      </c>
      <c r="F437" s="34">
        <f>IF(OR($D437="",$K437=""),"",SUMIF(Payments!$G$5:$G$2500,$K437,Payments!$D$5:$D$2500))</f>
      </c>
      <c r="G437" s="36">
        <f>IF($D437="","",ROUND($D437-IF($F437="",0,$F437),2))</f>
      </c>
      <c r="H437" s="35">
        <f>IF(OR($D437="",$K437=""),"",COUNTIF(Payments!$G$5:$G$2500,$K437))</f>
      </c>
      <c r="I437" s="37">
        <f>IF($D437="","",IF(OR($F437="",$F437=0),"Pending",IF(ROUND($F437-$D437,2)&gt;0,"Overpaid",IF(ROUND($F437-$D437,2)=0,"Paid","Partial"))))</f>
      </c>
      <c r="J437" s="29"/>
      <c r="K437">
        <f>IF($A437="","","#"&amp;TRIM(SUBSTITUTE(SUBSTITUTE(SUBSTITUTE(SUBSTITUTE(SUBSTITUTE(SUBSTITUTE($A437,"-",""),"(",""),")",""),".",""),"+","")," ","")))</f>
      </c>
    </row>
    <row r="438" spans="1:11" x14ac:dyDescent="0.3">
      <c r="A438" s="28"/>
      <c r="B438" s="29"/>
      <c r="C438" s="30"/>
      <c r="D438" s="31"/>
      <c r="E438" s="33">
        <f>IF(OR($D438="",$K438=""),"",IF(COUNTIFS(Payments!$G$5:$G$2500,$K438,Payments!$C$5:$C$2500,"&lt;&gt;")=0,"",_xlfn.MAXIFS(Payments!$C$5:$C$2500,Payments!$G$5:$G$2500,$K438)))</f>
      </c>
      <c r="F438" s="34">
        <f>IF(OR($D438="",$K438=""),"",SUMIF(Payments!$G$5:$G$2500,$K438,Payments!$D$5:$D$2500))</f>
      </c>
      <c r="G438" s="36">
        <f>IF($D438="","",ROUND($D438-IF($F438="",0,$F438),2))</f>
      </c>
      <c r="H438" s="35">
        <f>IF(OR($D438="",$K438=""),"",COUNTIF(Payments!$G$5:$G$2500,$K438))</f>
      </c>
      <c r="I438" s="37">
        <f>IF($D438="","",IF(OR($F438="",$F438=0),"Pending",IF(ROUND($F438-$D438,2)&gt;0,"Overpaid",IF(ROUND($F438-$D438,2)=0,"Paid","Partial"))))</f>
      </c>
      <c r="J438" s="29"/>
      <c r="K438">
        <f>IF($A438="","","#"&amp;TRIM(SUBSTITUTE(SUBSTITUTE(SUBSTITUTE(SUBSTITUTE(SUBSTITUTE(SUBSTITUTE($A438,"-",""),"(",""),")",""),".",""),"+","")," ","")))</f>
      </c>
    </row>
    <row r="439" spans="1:11" x14ac:dyDescent="0.3">
      <c r="A439" s="28"/>
      <c r="B439" s="29"/>
      <c r="C439" s="30"/>
      <c r="D439" s="31"/>
      <c r="E439" s="33">
        <f>IF(OR($D439="",$K439=""),"",IF(COUNTIFS(Payments!$G$5:$G$2500,$K439,Payments!$C$5:$C$2500,"&lt;&gt;")=0,"",_xlfn.MAXIFS(Payments!$C$5:$C$2500,Payments!$G$5:$G$2500,$K439)))</f>
      </c>
      <c r="F439" s="34">
        <f>IF(OR($D439="",$K439=""),"",SUMIF(Payments!$G$5:$G$2500,$K439,Payments!$D$5:$D$2500))</f>
      </c>
      <c r="G439" s="36">
        <f>IF($D439="","",ROUND($D439-IF($F439="",0,$F439),2))</f>
      </c>
      <c r="H439" s="35">
        <f>IF(OR($D439="",$K439=""),"",COUNTIF(Payments!$G$5:$G$2500,$K439))</f>
      </c>
      <c r="I439" s="37">
        <f>IF($D439="","",IF(OR($F439="",$F439=0),"Pending",IF(ROUND($F439-$D439,2)&gt;0,"Overpaid",IF(ROUND($F439-$D439,2)=0,"Paid","Partial"))))</f>
      </c>
      <c r="J439" s="29"/>
      <c r="K439">
        <f>IF($A439="","","#"&amp;TRIM(SUBSTITUTE(SUBSTITUTE(SUBSTITUTE(SUBSTITUTE(SUBSTITUTE(SUBSTITUTE($A439,"-",""),"(",""),")",""),".",""),"+","")," ","")))</f>
      </c>
    </row>
    <row r="440" spans="1:11" x14ac:dyDescent="0.3">
      <c r="A440" s="28"/>
      <c r="B440" s="29"/>
      <c r="C440" s="30"/>
      <c r="D440" s="31"/>
      <c r="E440" s="33">
        <f>IF(OR($D440="",$K440=""),"",IF(COUNTIFS(Payments!$G$5:$G$2500,$K440,Payments!$C$5:$C$2500,"&lt;&gt;")=0,"",_xlfn.MAXIFS(Payments!$C$5:$C$2500,Payments!$G$5:$G$2500,$K440)))</f>
      </c>
      <c r="F440" s="34">
        <f>IF(OR($D440="",$K440=""),"",SUMIF(Payments!$G$5:$G$2500,$K440,Payments!$D$5:$D$2500))</f>
      </c>
      <c r="G440" s="36">
        <f>IF($D440="","",ROUND($D440-IF($F440="",0,$F440),2))</f>
      </c>
      <c r="H440" s="35">
        <f>IF(OR($D440="",$K440=""),"",COUNTIF(Payments!$G$5:$G$2500,$K440))</f>
      </c>
      <c r="I440" s="37">
        <f>IF($D440="","",IF(OR($F440="",$F440=0),"Pending",IF(ROUND($F440-$D440,2)&gt;0,"Overpaid",IF(ROUND($F440-$D440,2)=0,"Paid","Partial"))))</f>
      </c>
      <c r="J440" s="29"/>
      <c r="K440">
        <f>IF($A440="","","#"&amp;TRIM(SUBSTITUTE(SUBSTITUTE(SUBSTITUTE(SUBSTITUTE(SUBSTITUTE(SUBSTITUTE($A440,"-",""),"(",""),")",""),".",""),"+","")," ","")))</f>
      </c>
    </row>
    <row r="441" spans="1:11" x14ac:dyDescent="0.3">
      <c r="A441" s="28"/>
      <c r="B441" s="29"/>
      <c r="C441" s="30"/>
      <c r="D441" s="31"/>
      <c r="E441" s="33">
        <f>IF(OR($D441="",$K441=""),"",IF(COUNTIFS(Payments!$G$5:$G$2500,$K441,Payments!$C$5:$C$2500,"&lt;&gt;")=0,"",_xlfn.MAXIFS(Payments!$C$5:$C$2500,Payments!$G$5:$G$2500,$K441)))</f>
      </c>
      <c r="F441" s="34">
        <f>IF(OR($D441="",$K441=""),"",SUMIF(Payments!$G$5:$G$2500,$K441,Payments!$D$5:$D$2500))</f>
      </c>
      <c r="G441" s="36">
        <f>IF($D441="","",ROUND($D441-IF($F441="",0,$F441),2))</f>
      </c>
      <c r="H441" s="35">
        <f>IF(OR($D441="",$K441=""),"",COUNTIF(Payments!$G$5:$G$2500,$K441))</f>
      </c>
      <c r="I441" s="37">
        <f>IF($D441="","",IF(OR($F441="",$F441=0),"Pending",IF(ROUND($F441-$D441,2)&gt;0,"Overpaid",IF(ROUND($F441-$D441,2)=0,"Paid","Partial"))))</f>
      </c>
      <c r="J441" s="29"/>
      <c r="K441">
        <f>IF($A441="","","#"&amp;TRIM(SUBSTITUTE(SUBSTITUTE(SUBSTITUTE(SUBSTITUTE(SUBSTITUTE(SUBSTITUTE($A441,"-",""),"(",""),")",""),".",""),"+","")," ","")))</f>
      </c>
    </row>
    <row r="442" spans="1:11" x14ac:dyDescent="0.3">
      <c r="A442" s="28"/>
      <c r="B442" s="29"/>
      <c r="C442" s="30"/>
      <c r="D442" s="31"/>
      <c r="E442" s="33">
        <f>IF(OR($D442="",$K442=""),"",IF(COUNTIFS(Payments!$G$5:$G$2500,$K442,Payments!$C$5:$C$2500,"&lt;&gt;")=0,"",_xlfn.MAXIFS(Payments!$C$5:$C$2500,Payments!$G$5:$G$2500,$K442)))</f>
      </c>
      <c r="F442" s="34">
        <f>IF(OR($D442="",$K442=""),"",SUMIF(Payments!$G$5:$G$2500,$K442,Payments!$D$5:$D$2500))</f>
      </c>
      <c r="G442" s="36">
        <f>IF($D442="","",ROUND($D442-IF($F442="",0,$F442),2))</f>
      </c>
      <c r="H442" s="35">
        <f>IF(OR($D442="",$K442=""),"",COUNTIF(Payments!$G$5:$G$2500,$K442))</f>
      </c>
      <c r="I442" s="37">
        <f>IF($D442="","",IF(OR($F442="",$F442=0),"Pending",IF(ROUND($F442-$D442,2)&gt;0,"Overpaid",IF(ROUND($F442-$D442,2)=0,"Paid","Partial"))))</f>
      </c>
      <c r="J442" s="29"/>
      <c r="K442">
        <f>IF($A442="","","#"&amp;TRIM(SUBSTITUTE(SUBSTITUTE(SUBSTITUTE(SUBSTITUTE(SUBSTITUTE(SUBSTITUTE($A442,"-",""),"(",""),")",""),".",""),"+","")," ","")))</f>
      </c>
    </row>
    <row r="443" spans="1:11" x14ac:dyDescent="0.3">
      <c r="A443" s="28"/>
      <c r="B443" s="29"/>
      <c r="C443" s="30"/>
      <c r="D443" s="31"/>
      <c r="E443" s="33">
        <f>IF(OR($D443="",$K443=""),"",IF(COUNTIFS(Payments!$G$5:$G$2500,$K443,Payments!$C$5:$C$2500,"&lt;&gt;")=0,"",_xlfn.MAXIFS(Payments!$C$5:$C$2500,Payments!$G$5:$G$2500,$K443)))</f>
      </c>
      <c r="F443" s="34">
        <f>IF(OR($D443="",$K443=""),"",SUMIF(Payments!$G$5:$G$2500,$K443,Payments!$D$5:$D$2500))</f>
      </c>
      <c r="G443" s="36">
        <f>IF($D443="","",ROUND($D443-IF($F443="",0,$F443),2))</f>
      </c>
      <c r="H443" s="35">
        <f>IF(OR($D443="",$K443=""),"",COUNTIF(Payments!$G$5:$G$2500,$K443))</f>
      </c>
      <c r="I443" s="37">
        <f>IF($D443="","",IF(OR($F443="",$F443=0),"Pending",IF(ROUND($F443-$D443,2)&gt;0,"Overpaid",IF(ROUND($F443-$D443,2)=0,"Paid","Partial"))))</f>
      </c>
      <c r="J443" s="29"/>
      <c r="K443">
        <f>IF($A443="","","#"&amp;TRIM(SUBSTITUTE(SUBSTITUTE(SUBSTITUTE(SUBSTITUTE(SUBSTITUTE(SUBSTITUTE($A443,"-",""),"(",""),")",""),".",""),"+","")," ","")))</f>
      </c>
    </row>
    <row r="444" spans="1:11" x14ac:dyDescent="0.3">
      <c r="A444" s="28"/>
      <c r="B444" s="29"/>
      <c r="C444" s="30"/>
      <c r="D444" s="31"/>
      <c r="E444" s="33">
        <f>IF(OR($D444="",$K444=""),"",IF(COUNTIFS(Payments!$G$5:$G$2500,$K444,Payments!$C$5:$C$2500,"&lt;&gt;")=0,"",_xlfn.MAXIFS(Payments!$C$5:$C$2500,Payments!$G$5:$G$2500,$K444)))</f>
      </c>
      <c r="F444" s="34">
        <f>IF(OR($D444="",$K444=""),"",SUMIF(Payments!$G$5:$G$2500,$K444,Payments!$D$5:$D$2500))</f>
      </c>
      <c r="G444" s="36">
        <f>IF($D444="","",ROUND($D444-IF($F444="",0,$F444),2))</f>
      </c>
      <c r="H444" s="35">
        <f>IF(OR($D444="",$K444=""),"",COUNTIF(Payments!$G$5:$G$2500,$K444))</f>
      </c>
      <c r="I444" s="37">
        <f>IF($D444="","",IF(OR($F444="",$F444=0),"Pending",IF(ROUND($F444-$D444,2)&gt;0,"Overpaid",IF(ROUND($F444-$D444,2)=0,"Paid","Partial"))))</f>
      </c>
      <c r="J444" s="29"/>
      <c r="K444">
        <f>IF($A444="","","#"&amp;TRIM(SUBSTITUTE(SUBSTITUTE(SUBSTITUTE(SUBSTITUTE(SUBSTITUTE(SUBSTITUTE($A444,"-",""),"(",""),")",""),".",""),"+","")," ","")))</f>
      </c>
    </row>
    <row r="445" spans="1:11" x14ac:dyDescent="0.3">
      <c r="A445" s="28"/>
      <c r="B445" s="29"/>
      <c r="C445" s="30"/>
      <c r="D445" s="31"/>
      <c r="E445" s="33">
        <f>IF(OR($D445="",$K445=""),"",IF(COUNTIFS(Payments!$G$5:$G$2500,$K445,Payments!$C$5:$C$2500,"&lt;&gt;")=0,"",_xlfn.MAXIFS(Payments!$C$5:$C$2500,Payments!$G$5:$G$2500,$K445)))</f>
      </c>
      <c r="F445" s="34">
        <f>IF(OR($D445="",$K445=""),"",SUMIF(Payments!$G$5:$G$2500,$K445,Payments!$D$5:$D$2500))</f>
      </c>
      <c r="G445" s="36">
        <f>IF($D445="","",ROUND($D445-IF($F445="",0,$F445),2))</f>
      </c>
      <c r="H445" s="35">
        <f>IF(OR($D445="",$K445=""),"",COUNTIF(Payments!$G$5:$G$2500,$K445))</f>
      </c>
      <c r="I445" s="37">
        <f>IF($D445="","",IF(OR($F445="",$F445=0),"Pending",IF(ROUND($F445-$D445,2)&gt;0,"Overpaid",IF(ROUND($F445-$D445,2)=0,"Paid","Partial"))))</f>
      </c>
      <c r="J445" s="29"/>
      <c r="K445">
        <f>IF($A445="","","#"&amp;TRIM(SUBSTITUTE(SUBSTITUTE(SUBSTITUTE(SUBSTITUTE(SUBSTITUTE(SUBSTITUTE($A445,"-",""),"(",""),")",""),".",""),"+","")," ","")))</f>
      </c>
    </row>
    <row r="446" spans="1:11" x14ac:dyDescent="0.3">
      <c r="A446" s="28"/>
      <c r="B446" s="29"/>
      <c r="C446" s="30"/>
      <c r="D446" s="31"/>
      <c r="E446" s="33">
        <f>IF(OR($D446="",$K446=""),"",IF(COUNTIFS(Payments!$G$5:$G$2500,$K446,Payments!$C$5:$C$2500,"&lt;&gt;")=0,"",_xlfn.MAXIFS(Payments!$C$5:$C$2500,Payments!$G$5:$G$2500,$K446)))</f>
      </c>
      <c r="F446" s="34">
        <f>IF(OR($D446="",$K446=""),"",SUMIF(Payments!$G$5:$G$2500,$K446,Payments!$D$5:$D$2500))</f>
      </c>
      <c r="G446" s="36">
        <f>IF($D446="","",ROUND($D446-IF($F446="",0,$F446),2))</f>
      </c>
      <c r="H446" s="35">
        <f>IF(OR($D446="",$K446=""),"",COUNTIF(Payments!$G$5:$G$2500,$K446))</f>
      </c>
      <c r="I446" s="37">
        <f>IF($D446="","",IF(OR($F446="",$F446=0),"Pending",IF(ROUND($F446-$D446,2)&gt;0,"Overpaid",IF(ROUND($F446-$D446,2)=0,"Paid","Partial"))))</f>
      </c>
      <c r="J446" s="29"/>
      <c r="K446">
        <f>IF($A446="","","#"&amp;TRIM(SUBSTITUTE(SUBSTITUTE(SUBSTITUTE(SUBSTITUTE(SUBSTITUTE(SUBSTITUTE($A446,"-",""),"(",""),")",""),".",""),"+","")," ","")))</f>
      </c>
    </row>
    <row r="447" spans="1:11" x14ac:dyDescent="0.3">
      <c r="A447" s="28"/>
      <c r="B447" s="29"/>
      <c r="C447" s="30"/>
      <c r="D447" s="31"/>
      <c r="E447" s="33">
        <f>IF(OR($D447="",$K447=""),"",IF(COUNTIFS(Payments!$G$5:$G$2500,$K447,Payments!$C$5:$C$2500,"&lt;&gt;")=0,"",_xlfn.MAXIFS(Payments!$C$5:$C$2500,Payments!$G$5:$G$2500,$K447)))</f>
      </c>
      <c r="F447" s="34">
        <f>IF(OR($D447="",$K447=""),"",SUMIF(Payments!$G$5:$G$2500,$K447,Payments!$D$5:$D$2500))</f>
      </c>
      <c r="G447" s="36">
        <f>IF($D447="","",ROUND($D447-IF($F447="",0,$F447),2))</f>
      </c>
      <c r="H447" s="35">
        <f>IF(OR($D447="",$K447=""),"",COUNTIF(Payments!$G$5:$G$2500,$K447))</f>
      </c>
      <c r="I447" s="37">
        <f>IF($D447="","",IF(OR($F447="",$F447=0),"Pending",IF(ROUND($F447-$D447,2)&gt;0,"Overpaid",IF(ROUND($F447-$D447,2)=0,"Paid","Partial"))))</f>
      </c>
      <c r="J447" s="29"/>
      <c r="K447">
        <f>IF($A447="","","#"&amp;TRIM(SUBSTITUTE(SUBSTITUTE(SUBSTITUTE(SUBSTITUTE(SUBSTITUTE(SUBSTITUTE($A447,"-",""),"(",""),")",""),".",""),"+","")," ","")))</f>
      </c>
    </row>
    <row r="448" spans="1:11" x14ac:dyDescent="0.3">
      <c r="A448" s="28"/>
      <c r="B448" s="29"/>
      <c r="C448" s="30"/>
      <c r="D448" s="31"/>
      <c r="E448" s="33">
        <f>IF(OR($D448="",$K448=""),"",IF(COUNTIFS(Payments!$G$5:$G$2500,$K448,Payments!$C$5:$C$2500,"&lt;&gt;")=0,"",_xlfn.MAXIFS(Payments!$C$5:$C$2500,Payments!$G$5:$G$2500,$K448)))</f>
      </c>
      <c r="F448" s="34">
        <f>IF(OR($D448="",$K448=""),"",SUMIF(Payments!$G$5:$G$2500,$K448,Payments!$D$5:$D$2500))</f>
      </c>
      <c r="G448" s="36">
        <f>IF($D448="","",ROUND($D448-IF($F448="",0,$F448),2))</f>
      </c>
      <c r="H448" s="35">
        <f>IF(OR($D448="",$K448=""),"",COUNTIF(Payments!$G$5:$G$2500,$K448))</f>
      </c>
      <c r="I448" s="37">
        <f>IF($D448="","",IF(OR($F448="",$F448=0),"Pending",IF(ROUND($F448-$D448,2)&gt;0,"Overpaid",IF(ROUND($F448-$D448,2)=0,"Paid","Partial"))))</f>
      </c>
      <c r="J448" s="29"/>
      <c r="K448">
        <f>IF($A448="","","#"&amp;TRIM(SUBSTITUTE(SUBSTITUTE(SUBSTITUTE(SUBSTITUTE(SUBSTITUTE(SUBSTITUTE($A448,"-",""),"(",""),")",""),".",""),"+","")," ","")))</f>
      </c>
    </row>
    <row r="449" spans="1:11" x14ac:dyDescent="0.3">
      <c r="A449" s="28"/>
      <c r="B449" s="29"/>
      <c r="C449" s="30"/>
      <c r="D449" s="31"/>
      <c r="E449" s="33">
        <f>IF(OR($D449="",$K449=""),"",IF(COUNTIFS(Payments!$G$5:$G$2500,$K449,Payments!$C$5:$C$2500,"&lt;&gt;")=0,"",_xlfn.MAXIFS(Payments!$C$5:$C$2500,Payments!$G$5:$G$2500,$K449)))</f>
      </c>
      <c r="F449" s="34">
        <f>IF(OR($D449="",$K449=""),"",SUMIF(Payments!$G$5:$G$2500,$K449,Payments!$D$5:$D$2500))</f>
      </c>
      <c r="G449" s="36">
        <f>IF($D449="","",ROUND($D449-IF($F449="",0,$F449),2))</f>
      </c>
      <c r="H449" s="35">
        <f>IF(OR($D449="",$K449=""),"",COUNTIF(Payments!$G$5:$G$2500,$K449))</f>
      </c>
      <c r="I449" s="37">
        <f>IF($D449="","",IF(OR($F449="",$F449=0),"Pending",IF(ROUND($F449-$D449,2)&gt;0,"Overpaid",IF(ROUND($F449-$D449,2)=0,"Paid","Partial"))))</f>
      </c>
      <c r="J449" s="29"/>
      <c r="K449">
        <f>IF($A449="","","#"&amp;TRIM(SUBSTITUTE(SUBSTITUTE(SUBSTITUTE(SUBSTITUTE(SUBSTITUTE(SUBSTITUTE($A449,"-",""),"(",""),")",""),".",""),"+","")," ","")))</f>
      </c>
    </row>
    <row r="450" spans="1:11" x14ac:dyDescent="0.3">
      <c r="A450" s="28"/>
      <c r="B450" s="29"/>
      <c r="C450" s="30"/>
      <c r="D450" s="31"/>
      <c r="E450" s="33">
        <f>IF(OR($D450="",$K450=""),"",IF(COUNTIFS(Payments!$G$5:$G$2500,$K450,Payments!$C$5:$C$2500,"&lt;&gt;")=0,"",_xlfn.MAXIFS(Payments!$C$5:$C$2500,Payments!$G$5:$G$2500,$K450)))</f>
      </c>
      <c r="F450" s="34">
        <f>IF(OR($D450="",$K450=""),"",SUMIF(Payments!$G$5:$G$2500,$K450,Payments!$D$5:$D$2500))</f>
      </c>
      <c r="G450" s="36">
        <f>IF($D450="","",ROUND($D450-IF($F450="",0,$F450),2))</f>
      </c>
      <c r="H450" s="35">
        <f>IF(OR($D450="",$K450=""),"",COUNTIF(Payments!$G$5:$G$2500,$K450))</f>
      </c>
      <c r="I450" s="37">
        <f>IF($D450="","",IF(OR($F450="",$F450=0),"Pending",IF(ROUND($F450-$D450,2)&gt;0,"Overpaid",IF(ROUND($F450-$D450,2)=0,"Paid","Partial"))))</f>
      </c>
      <c r="J450" s="29"/>
      <c r="K450">
        <f>IF($A450="","","#"&amp;TRIM(SUBSTITUTE(SUBSTITUTE(SUBSTITUTE(SUBSTITUTE(SUBSTITUTE(SUBSTITUTE($A450,"-",""),"(",""),")",""),".",""),"+","")," ","")))</f>
      </c>
    </row>
    <row r="451" spans="1:11" x14ac:dyDescent="0.3">
      <c r="A451" s="28"/>
      <c r="B451" s="29"/>
      <c r="C451" s="30"/>
      <c r="D451" s="31"/>
      <c r="E451" s="33">
        <f>IF(OR($D451="",$K451=""),"",IF(COUNTIFS(Payments!$G$5:$G$2500,$K451,Payments!$C$5:$C$2500,"&lt;&gt;")=0,"",_xlfn.MAXIFS(Payments!$C$5:$C$2500,Payments!$G$5:$G$2500,$K451)))</f>
      </c>
      <c r="F451" s="34">
        <f>IF(OR($D451="",$K451=""),"",SUMIF(Payments!$G$5:$G$2500,$K451,Payments!$D$5:$D$2500))</f>
      </c>
      <c r="G451" s="36">
        <f>IF($D451="","",ROUND($D451-IF($F451="",0,$F451),2))</f>
      </c>
      <c r="H451" s="35">
        <f>IF(OR($D451="",$K451=""),"",COUNTIF(Payments!$G$5:$G$2500,$K451))</f>
      </c>
      <c r="I451" s="37">
        <f>IF($D451="","",IF(OR($F451="",$F451=0),"Pending",IF(ROUND($F451-$D451,2)&gt;0,"Overpaid",IF(ROUND($F451-$D451,2)=0,"Paid","Partial"))))</f>
      </c>
      <c r="J451" s="29"/>
      <c r="K451">
        <f>IF($A451="","","#"&amp;TRIM(SUBSTITUTE(SUBSTITUTE(SUBSTITUTE(SUBSTITUTE(SUBSTITUTE(SUBSTITUTE($A451,"-",""),"(",""),")",""),".",""),"+","")," ","")))</f>
      </c>
    </row>
    <row r="452" spans="1:11" x14ac:dyDescent="0.3">
      <c r="A452" s="28"/>
      <c r="B452" s="29"/>
      <c r="C452" s="30"/>
      <c r="D452" s="31"/>
      <c r="E452" s="33">
        <f>IF(OR($D452="",$K452=""),"",IF(COUNTIFS(Payments!$G$5:$G$2500,$K452,Payments!$C$5:$C$2500,"&lt;&gt;")=0,"",_xlfn.MAXIFS(Payments!$C$5:$C$2500,Payments!$G$5:$G$2500,$K452)))</f>
      </c>
      <c r="F452" s="34">
        <f>IF(OR($D452="",$K452=""),"",SUMIF(Payments!$G$5:$G$2500,$K452,Payments!$D$5:$D$2500))</f>
      </c>
      <c r="G452" s="36">
        <f>IF($D452="","",ROUND($D452-IF($F452="",0,$F452),2))</f>
      </c>
      <c r="H452" s="35">
        <f>IF(OR($D452="",$K452=""),"",COUNTIF(Payments!$G$5:$G$2500,$K452))</f>
      </c>
      <c r="I452" s="37">
        <f>IF($D452="","",IF(OR($F452="",$F452=0),"Pending",IF(ROUND($F452-$D452,2)&gt;0,"Overpaid",IF(ROUND($F452-$D452,2)=0,"Paid","Partial"))))</f>
      </c>
      <c r="J452" s="29"/>
      <c r="K452">
        <f>IF($A452="","","#"&amp;TRIM(SUBSTITUTE(SUBSTITUTE(SUBSTITUTE(SUBSTITUTE(SUBSTITUTE(SUBSTITUTE($A452,"-",""),"(",""),")",""),".",""),"+","")," ","")))</f>
      </c>
    </row>
    <row r="453" spans="1:11" x14ac:dyDescent="0.3">
      <c r="A453" s="28"/>
      <c r="B453" s="29"/>
      <c r="C453" s="30"/>
      <c r="D453" s="31"/>
      <c r="E453" s="33">
        <f>IF(OR($D453="",$K453=""),"",IF(COUNTIFS(Payments!$G$5:$G$2500,$K453,Payments!$C$5:$C$2500,"&lt;&gt;")=0,"",_xlfn.MAXIFS(Payments!$C$5:$C$2500,Payments!$G$5:$G$2500,$K453)))</f>
      </c>
      <c r="F453" s="34">
        <f>IF(OR($D453="",$K453=""),"",SUMIF(Payments!$G$5:$G$2500,$K453,Payments!$D$5:$D$2500))</f>
      </c>
      <c r="G453" s="36">
        <f>IF($D453="","",ROUND($D453-IF($F453="",0,$F453),2))</f>
      </c>
      <c r="H453" s="35">
        <f>IF(OR($D453="",$K453=""),"",COUNTIF(Payments!$G$5:$G$2500,$K453))</f>
      </c>
      <c r="I453" s="37">
        <f>IF($D453="","",IF(OR($F453="",$F453=0),"Pending",IF(ROUND($F453-$D453,2)&gt;0,"Overpaid",IF(ROUND($F453-$D453,2)=0,"Paid","Partial"))))</f>
      </c>
      <c r="J453" s="29"/>
      <c r="K453">
        <f>IF($A453="","","#"&amp;TRIM(SUBSTITUTE(SUBSTITUTE(SUBSTITUTE(SUBSTITUTE(SUBSTITUTE(SUBSTITUTE($A453,"-",""),"(",""),")",""),".",""),"+","")," ","")))</f>
      </c>
    </row>
    <row r="454" spans="1:11" x14ac:dyDescent="0.3">
      <c r="A454" s="28"/>
      <c r="B454" s="29"/>
      <c r="C454" s="30"/>
      <c r="D454" s="31"/>
      <c r="E454" s="33">
        <f>IF(OR($D454="",$K454=""),"",IF(COUNTIFS(Payments!$G$5:$G$2500,$K454,Payments!$C$5:$C$2500,"&lt;&gt;")=0,"",_xlfn.MAXIFS(Payments!$C$5:$C$2500,Payments!$G$5:$G$2500,$K454)))</f>
      </c>
      <c r="F454" s="34">
        <f>IF(OR($D454="",$K454=""),"",SUMIF(Payments!$G$5:$G$2500,$K454,Payments!$D$5:$D$2500))</f>
      </c>
      <c r="G454" s="36">
        <f>IF($D454="","",ROUND($D454-IF($F454="",0,$F454),2))</f>
      </c>
      <c r="H454" s="35">
        <f>IF(OR($D454="",$K454=""),"",COUNTIF(Payments!$G$5:$G$2500,$K454))</f>
      </c>
      <c r="I454" s="37">
        <f>IF($D454="","",IF(OR($F454="",$F454=0),"Pending",IF(ROUND($F454-$D454,2)&gt;0,"Overpaid",IF(ROUND($F454-$D454,2)=0,"Paid","Partial"))))</f>
      </c>
      <c r="J454" s="29"/>
      <c r="K454">
        <f>IF($A454="","","#"&amp;TRIM(SUBSTITUTE(SUBSTITUTE(SUBSTITUTE(SUBSTITUTE(SUBSTITUTE(SUBSTITUTE($A454,"-",""),"(",""),")",""),".",""),"+","")," ","")))</f>
      </c>
    </row>
    <row r="455" spans="1:11" x14ac:dyDescent="0.3">
      <c r="A455" s="28"/>
      <c r="B455" s="29"/>
      <c r="C455" s="30"/>
      <c r="D455" s="31"/>
      <c r="E455" s="33">
        <f>IF(OR($D455="",$K455=""),"",IF(COUNTIFS(Payments!$G$5:$G$2500,$K455,Payments!$C$5:$C$2500,"&lt;&gt;")=0,"",_xlfn.MAXIFS(Payments!$C$5:$C$2500,Payments!$G$5:$G$2500,$K455)))</f>
      </c>
      <c r="F455" s="34">
        <f>IF(OR($D455="",$K455=""),"",SUMIF(Payments!$G$5:$G$2500,$K455,Payments!$D$5:$D$2500))</f>
      </c>
      <c r="G455" s="36">
        <f>IF($D455="","",ROUND($D455-IF($F455="",0,$F455),2))</f>
      </c>
      <c r="H455" s="35">
        <f>IF(OR($D455="",$K455=""),"",COUNTIF(Payments!$G$5:$G$2500,$K455))</f>
      </c>
      <c r="I455" s="37">
        <f>IF($D455="","",IF(OR($F455="",$F455=0),"Pending",IF(ROUND($F455-$D455,2)&gt;0,"Overpaid",IF(ROUND($F455-$D455,2)=0,"Paid","Partial"))))</f>
      </c>
      <c r="J455" s="29"/>
      <c r="K455">
        <f>IF($A455="","","#"&amp;TRIM(SUBSTITUTE(SUBSTITUTE(SUBSTITUTE(SUBSTITUTE(SUBSTITUTE(SUBSTITUTE($A455,"-",""),"(",""),")",""),".",""),"+","")," ","")))</f>
      </c>
    </row>
    <row r="456" spans="1:11" x14ac:dyDescent="0.3">
      <c r="A456" s="28"/>
      <c r="B456" s="29"/>
      <c r="C456" s="30"/>
      <c r="D456" s="31"/>
      <c r="E456" s="33">
        <f>IF(OR($D456="",$K456=""),"",IF(COUNTIFS(Payments!$G$5:$G$2500,$K456,Payments!$C$5:$C$2500,"&lt;&gt;")=0,"",_xlfn.MAXIFS(Payments!$C$5:$C$2500,Payments!$G$5:$G$2500,$K456)))</f>
      </c>
      <c r="F456" s="34">
        <f>IF(OR($D456="",$K456=""),"",SUMIF(Payments!$G$5:$G$2500,$K456,Payments!$D$5:$D$2500))</f>
      </c>
      <c r="G456" s="36">
        <f>IF($D456="","",ROUND($D456-IF($F456="",0,$F456),2))</f>
      </c>
      <c r="H456" s="35">
        <f>IF(OR($D456="",$K456=""),"",COUNTIF(Payments!$G$5:$G$2500,$K456))</f>
      </c>
      <c r="I456" s="37">
        <f>IF($D456="","",IF(OR($F456="",$F456=0),"Pending",IF(ROUND($F456-$D456,2)&gt;0,"Overpaid",IF(ROUND($F456-$D456,2)=0,"Paid","Partial"))))</f>
      </c>
      <c r="J456" s="29"/>
      <c r="K456">
        <f>IF($A456="","","#"&amp;TRIM(SUBSTITUTE(SUBSTITUTE(SUBSTITUTE(SUBSTITUTE(SUBSTITUTE(SUBSTITUTE($A456,"-",""),"(",""),")",""),".",""),"+","")," ","")))</f>
      </c>
    </row>
    <row r="457" spans="1:11" x14ac:dyDescent="0.3">
      <c r="A457" s="28"/>
      <c r="B457" s="29"/>
      <c r="C457" s="30"/>
      <c r="D457" s="31"/>
      <c r="E457" s="33">
        <f>IF(OR($D457="",$K457=""),"",IF(COUNTIFS(Payments!$G$5:$G$2500,$K457,Payments!$C$5:$C$2500,"&lt;&gt;")=0,"",_xlfn.MAXIFS(Payments!$C$5:$C$2500,Payments!$G$5:$G$2500,$K457)))</f>
      </c>
      <c r="F457" s="34">
        <f>IF(OR($D457="",$K457=""),"",SUMIF(Payments!$G$5:$G$2500,$K457,Payments!$D$5:$D$2500))</f>
      </c>
      <c r="G457" s="36">
        <f>IF($D457="","",ROUND($D457-IF($F457="",0,$F457),2))</f>
      </c>
      <c r="H457" s="35">
        <f>IF(OR($D457="",$K457=""),"",COUNTIF(Payments!$G$5:$G$2500,$K457))</f>
      </c>
      <c r="I457" s="37">
        <f>IF($D457="","",IF(OR($F457="",$F457=0),"Pending",IF(ROUND($F457-$D457,2)&gt;0,"Overpaid",IF(ROUND($F457-$D457,2)=0,"Paid","Partial"))))</f>
      </c>
      <c r="J457" s="29"/>
      <c r="K457">
        <f>IF($A457="","","#"&amp;TRIM(SUBSTITUTE(SUBSTITUTE(SUBSTITUTE(SUBSTITUTE(SUBSTITUTE(SUBSTITUTE($A457,"-",""),"(",""),")",""),".",""),"+","")," ","")))</f>
      </c>
    </row>
    <row r="458" spans="1:11" x14ac:dyDescent="0.3">
      <c r="A458" s="28"/>
      <c r="B458" s="29"/>
      <c r="C458" s="30"/>
      <c r="D458" s="31"/>
      <c r="E458" s="33">
        <f>IF(OR($D458="",$K458=""),"",IF(COUNTIFS(Payments!$G$5:$G$2500,$K458,Payments!$C$5:$C$2500,"&lt;&gt;")=0,"",_xlfn.MAXIFS(Payments!$C$5:$C$2500,Payments!$G$5:$G$2500,$K458)))</f>
      </c>
      <c r="F458" s="34">
        <f>IF(OR($D458="",$K458=""),"",SUMIF(Payments!$G$5:$G$2500,$K458,Payments!$D$5:$D$2500))</f>
      </c>
      <c r="G458" s="36">
        <f>IF($D458="","",ROUND($D458-IF($F458="",0,$F458),2))</f>
      </c>
      <c r="H458" s="35">
        <f>IF(OR($D458="",$K458=""),"",COUNTIF(Payments!$G$5:$G$2500,$K458))</f>
      </c>
      <c r="I458" s="37">
        <f>IF($D458="","",IF(OR($F458="",$F458=0),"Pending",IF(ROUND($F458-$D458,2)&gt;0,"Overpaid",IF(ROUND($F458-$D458,2)=0,"Paid","Partial"))))</f>
      </c>
      <c r="J458" s="29"/>
      <c r="K458">
        <f>IF($A458="","","#"&amp;TRIM(SUBSTITUTE(SUBSTITUTE(SUBSTITUTE(SUBSTITUTE(SUBSTITUTE(SUBSTITUTE($A458,"-",""),"(",""),")",""),".",""),"+","")," ","")))</f>
      </c>
    </row>
    <row r="459" spans="1:11" x14ac:dyDescent="0.3">
      <c r="A459" s="28"/>
      <c r="B459" s="29"/>
      <c r="C459" s="30"/>
      <c r="D459" s="31"/>
      <c r="E459" s="33">
        <f>IF(OR($D459="",$K459=""),"",IF(COUNTIFS(Payments!$G$5:$G$2500,$K459,Payments!$C$5:$C$2500,"&lt;&gt;")=0,"",_xlfn.MAXIFS(Payments!$C$5:$C$2500,Payments!$G$5:$G$2500,$K459)))</f>
      </c>
      <c r="F459" s="34">
        <f>IF(OR($D459="",$K459=""),"",SUMIF(Payments!$G$5:$G$2500,$K459,Payments!$D$5:$D$2500))</f>
      </c>
      <c r="G459" s="36">
        <f>IF($D459="","",ROUND($D459-IF($F459="",0,$F459),2))</f>
      </c>
      <c r="H459" s="35">
        <f>IF(OR($D459="",$K459=""),"",COUNTIF(Payments!$G$5:$G$2500,$K459))</f>
      </c>
      <c r="I459" s="37">
        <f>IF($D459="","",IF(OR($F459="",$F459=0),"Pending",IF(ROUND($F459-$D459,2)&gt;0,"Overpaid",IF(ROUND($F459-$D459,2)=0,"Paid","Partial"))))</f>
      </c>
      <c r="J459" s="29"/>
      <c r="K459">
        <f>IF($A459="","","#"&amp;TRIM(SUBSTITUTE(SUBSTITUTE(SUBSTITUTE(SUBSTITUTE(SUBSTITUTE(SUBSTITUTE($A459,"-",""),"(",""),")",""),".",""),"+","")," ","")))</f>
      </c>
    </row>
    <row r="460" spans="1:11" x14ac:dyDescent="0.3">
      <c r="A460" s="28"/>
      <c r="B460" s="29"/>
      <c r="C460" s="30"/>
      <c r="D460" s="31"/>
      <c r="E460" s="33">
        <f>IF(OR($D460="",$K460=""),"",IF(COUNTIFS(Payments!$G$5:$G$2500,$K460,Payments!$C$5:$C$2500,"&lt;&gt;")=0,"",_xlfn.MAXIFS(Payments!$C$5:$C$2500,Payments!$G$5:$G$2500,$K460)))</f>
      </c>
      <c r="F460" s="34">
        <f>IF(OR($D460="",$K460=""),"",SUMIF(Payments!$G$5:$G$2500,$K460,Payments!$D$5:$D$2500))</f>
      </c>
      <c r="G460" s="36">
        <f>IF($D460="","",ROUND($D460-IF($F460="",0,$F460),2))</f>
      </c>
      <c r="H460" s="35">
        <f>IF(OR($D460="",$K460=""),"",COUNTIF(Payments!$G$5:$G$2500,$K460))</f>
      </c>
      <c r="I460" s="37">
        <f>IF($D460="","",IF(OR($F460="",$F460=0),"Pending",IF(ROUND($F460-$D460,2)&gt;0,"Overpaid",IF(ROUND($F460-$D460,2)=0,"Paid","Partial"))))</f>
      </c>
      <c r="J460" s="29"/>
      <c r="K460">
        <f>IF($A460="","","#"&amp;TRIM(SUBSTITUTE(SUBSTITUTE(SUBSTITUTE(SUBSTITUTE(SUBSTITUTE(SUBSTITUTE($A460,"-",""),"(",""),")",""),".",""),"+","")," ","")))</f>
      </c>
    </row>
    <row r="461" spans="1:11" x14ac:dyDescent="0.3">
      <c r="A461" s="28"/>
      <c r="B461" s="29"/>
      <c r="C461" s="30"/>
      <c r="D461" s="31"/>
      <c r="E461" s="33">
        <f>IF(OR($D461="",$K461=""),"",IF(COUNTIFS(Payments!$G$5:$G$2500,$K461,Payments!$C$5:$C$2500,"&lt;&gt;")=0,"",_xlfn.MAXIFS(Payments!$C$5:$C$2500,Payments!$G$5:$G$2500,$K461)))</f>
      </c>
      <c r="F461" s="34">
        <f>IF(OR($D461="",$K461=""),"",SUMIF(Payments!$G$5:$G$2500,$K461,Payments!$D$5:$D$2500))</f>
      </c>
      <c r="G461" s="36">
        <f>IF($D461="","",ROUND($D461-IF($F461="",0,$F461),2))</f>
      </c>
      <c r="H461" s="35">
        <f>IF(OR($D461="",$K461=""),"",COUNTIF(Payments!$G$5:$G$2500,$K461))</f>
      </c>
      <c r="I461" s="37">
        <f>IF($D461="","",IF(OR($F461="",$F461=0),"Pending",IF(ROUND($F461-$D461,2)&gt;0,"Overpaid",IF(ROUND($F461-$D461,2)=0,"Paid","Partial"))))</f>
      </c>
      <c r="J461" s="29"/>
      <c r="K461">
        <f>IF($A461="","","#"&amp;TRIM(SUBSTITUTE(SUBSTITUTE(SUBSTITUTE(SUBSTITUTE(SUBSTITUTE(SUBSTITUTE($A461,"-",""),"(",""),")",""),".",""),"+","")," ","")))</f>
      </c>
    </row>
    <row r="462" spans="1:11" x14ac:dyDescent="0.3">
      <c r="A462" s="28"/>
      <c r="B462" s="29"/>
      <c r="C462" s="30"/>
      <c r="D462" s="31"/>
      <c r="E462" s="33">
        <f>IF(OR($D462="",$K462=""),"",IF(COUNTIFS(Payments!$G$5:$G$2500,$K462,Payments!$C$5:$C$2500,"&lt;&gt;")=0,"",_xlfn.MAXIFS(Payments!$C$5:$C$2500,Payments!$G$5:$G$2500,$K462)))</f>
      </c>
      <c r="F462" s="34">
        <f>IF(OR($D462="",$K462=""),"",SUMIF(Payments!$G$5:$G$2500,$K462,Payments!$D$5:$D$2500))</f>
      </c>
      <c r="G462" s="36">
        <f>IF($D462="","",ROUND($D462-IF($F462="",0,$F462),2))</f>
      </c>
      <c r="H462" s="35">
        <f>IF(OR($D462="",$K462=""),"",COUNTIF(Payments!$G$5:$G$2500,$K462))</f>
      </c>
      <c r="I462" s="37">
        <f>IF($D462="","",IF(OR($F462="",$F462=0),"Pending",IF(ROUND($F462-$D462,2)&gt;0,"Overpaid",IF(ROUND($F462-$D462,2)=0,"Paid","Partial"))))</f>
      </c>
      <c r="J462" s="29"/>
      <c r="K462">
        <f>IF($A462="","","#"&amp;TRIM(SUBSTITUTE(SUBSTITUTE(SUBSTITUTE(SUBSTITUTE(SUBSTITUTE(SUBSTITUTE($A462,"-",""),"(",""),")",""),".",""),"+","")," ","")))</f>
      </c>
    </row>
    <row r="463" spans="1:11" x14ac:dyDescent="0.3">
      <c r="A463" s="28"/>
      <c r="B463" s="29"/>
      <c r="C463" s="30"/>
      <c r="D463" s="31"/>
      <c r="E463" s="33">
        <f>IF(OR($D463="",$K463=""),"",IF(COUNTIFS(Payments!$G$5:$G$2500,$K463,Payments!$C$5:$C$2500,"&lt;&gt;")=0,"",_xlfn.MAXIFS(Payments!$C$5:$C$2500,Payments!$G$5:$G$2500,$K463)))</f>
      </c>
      <c r="F463" s="34">
        <f>IF(OR($D463="",$K463=""),"",SUMIF(Payments!$G$5:$G$2500,$K463,Payments!$D$5:$D$2500))</f>
      </c>
      <c r="G463" s="36">
        <f>IF($D463="","",ROUND($D463-IF($F463="",0,$F463),2))</f>
      </c>
      <c r="H463" s="35">
        <f>IF(OR($D463="",$K463=""),"",COUNTIF(Payments!$G$5:$G$2500,$K463))</f>
      </c>
      <c r="I463" s="37">
        <f>IF($D463="","",IF(OR($F463="",$F463=0),"Pending",IF(ROUND($F463-$D463,2)&gt;0,"Overpaid",IF(ROUND($F463-$D463,2)=0,"Paid","Partial"))))</f>
      </c>
      <c r="J463" s="29"/>
      <c r="K463">
        <f>IF($A463="","","#"&amp;TRIM(SUBSTITUTE(SUBSTITUTE(SUBSTITUTE(SUBSTITUTE(SUBSTITUTE(SUBSTITUTE($A463,"-",""),"(",""),")",""),".",""),"+","")," ","")))</f>
      </c>
    </row>
    <row r="464" spans="1:11" x14ac:dyDescent="0.3">
      <c r="A464" s="28"/>
      <c r="B464" s="29"/>
      <c r="C464" s="30"/>
      <c r="D464" s="31"/>
      <c r="E464" s="33">
        <f>IF(OR($D464="",$K464=""),"",IF(COUNTIFS(Payments!$G$5:$G$2500,$K464,Payments!$C$5:$C$2500,"&lt;&gt;")=0,"",_xlfn.MAXIFS(Payments!$C$5:$C$2500,Payments!$G$5:$G$2500,$K464)))</f>
      </c>
      <c r="F464" s="34">
        <f>IF(OR($D464="",$K464=""),"",SUMIF(Payments!$G$5:$G$2500,$K464,Payments!$D$5:$D$2500))</f>
      </c>
      <c r="G464" s="36">
        <f>IF($D464="","",ROUND($D464-IF($F464="",0,$F464),2))</f>
      </c>
      <c r="H464" s="35">
        <f>IF(OR($D464="",$K464=""),"",COUNTIF(Payments!$G$5:$G$2500,$K464))</f>
      </c>
      <c r="I464" s="37">
        <f>IF($D464="","",IF(OR($F464="",$F464=0),"Pending",IF(ROUND($F464-$D464,2)&gt;0,"Overpaid",IF(ROUND($F464-$D464,2)=0,"Paid","Partial"))))</f>
      </c>
      <c r="J464" s="29"/>
      <c r="K464">
        <f>IF($A464="","","#"&amp;TRIM(SUBSTITUTE(SUBSTITUTE(SUBSTITUTE(SUBSTITUTE(SUBSTITUTE(SUBSTITUTE($A464,"-",""),"(",""),")",""),".",""),"+","")," ","")))</f>
      </c>
    </row>
    <row r="465" spans="1:11" x14ac:dyDescent="0.3">
      <c r="A465" s="28"/>
      <c r="B465" s="29"/>
      <c r="C465" s="30"/>
      <c r="D465" s="31"/>
      <c r="E465" s="33">
        <f>IF(OR($D465="",$K465=""),"",IF(COUNTIFS(Payments!$G$5:$G$2500,$K465,Payments!$C$5:$C$2500,"&lt;&gt;")=0,"",_xlfn.MAXIFS(Payments!$C$5:$C$2500,Payments!$G$5:$G$2500,$K465)))</f>
      </c>
      <c r="F465" s="34">
        <f>IF(OR($D465="",$K465=""),"",SUMIF(Payments!$G$5:$G$2500,$K465,Payments!$D$5:$D$2500))</f>
      </c>
      <c r="G465" s="36">
        <f>IF($D465="","",ROUND($D465-IF($F465="",0,$F465),2))</f>
      </c>
      <c r="H465" s="35">
        <f>IF(OR($D465="",$K465=""),"",COUNTIF(Payments!$G$5:$G$2500,$K465))</f>
      </c>
      <c r="I465" s="37">
        <f>IF($D465="","",IF(OR($F465="",$F465=0),"Pending",IF(ROUND($F465-$D465,2)&gt;0,"Overpaid",IF(ROUND($F465-$D465,2)=0,"Paid","Partial"))))</f>
      </c>
      <c r="J465" s="29"/>
      <c r="K465">
        <f>IF($A465="","","#"&amp;TRIM(SUBSTITUTE(SUBSTITUTE(SUBSTITUTE(SUBSTITUTE(SUBSTITUTE(SUBSTITUTE($A465,"-",""),"(",""),")",""),".",""),"+","")," ","")))</f>
      </c>
    </row>
    <row r="466" spans="1:11" x14ac:dyDescent="0.3">
      <c r="A466" s="28"/>
      <c r="B466" s="29"/>
      <c r="C466" s="30"/>
      <c r="D466" s="31"/>
      <c r="E466" s="33">
        <f>IF(OR($D466="",$K466=""),"",IF(COUNTIFS(Payments!$G$5:$G$2500,$K466,Payments!$C$5:$C$2500,"&lt;&gt;")=0,"",_xlfn.MAXIFS(Payments!$C$5:$C$2500,Payments!$G$5:$G$2500,$K466)))</f>
      </c>
      <c r="F466" s="34">
        <f>IF(OR($D466="",$K466=""),"",SUMIF(Payments!$G$5:$G$2500,$K466,Payments!$D$5:$D$2500))</f>
      </c>
      <c r="G466" s="36">
        <f>IF($D466="","",ROUND($D466-IF($F466="",0,$F466),2))</f>
      </c>
      <c r="H466" s="35">
        <f>IF(OR($D466="",$K466=""),"",COUNTIF(Payments!$G$5:$G$2500,$K466))</f>
      </c>
      <c r="I466" s="37">
        <f>IF($D466="","",IF(OR($F466="",$F466=0),"Pending",IF(ROUND($F466-$D466,2)&gt;0,"Overpaid",IF(ROUND($F466-$D466,2)=0,"Paid","Partial"))))</f>
      </c>
      <c r="J466" s="29"/>
      <c r="K466">
        <f>IF($A466="","","#"&amp;TRIM(SUBSTITUTE(SUBSTITUTE(SUBSTITUTE(SUBSTITUTE(SUBSTITUTE(SUBSTITUTE($A466,"-",""),"(",""),")",""),".",""),"+","")," ","")))</f>
      </c>
    </row>
    <row r="467" spans="1:11" x14ac:dyDescent="0.3">
      <c r="A467" s="28"/>
      <c r="B467" s="29"/>
      <c r="C467" s="30"/>
      <c r="D467" s="31"/>
      <c r="E467" s="33">
        <f>IF(OR($D467="",$K467=""),"",IF(COUNTIFS(Payments!$G$5:$G$2500,$K467,Payments!$C$5:$C$2500,"&lt;&gt;")=0,"",_xlfn.MAXIFS(Payments!$C$5:$C$2500,Payments!$G$5:$G$2500,$K467)))</f>
      </c>
      <c r="F467" s="34">
        <f>IF(OR($D467="",$K467=""),"",SUMIF(Payments!$G$5:$G$2500,$K467,Payments!$D$5:$D$2500))</f>
      </c>
      <c r="G467" s="36">
        <f>IF($D467="","",ROUND($D467-IF($F467="",0,$F467),2))</f>
      </c>
      <c r="H467" s="35">
        <f>IF(OR($D467="",$K467=""),"",COUNTIF(Payments!$G$5:$G$2500,$K467))</f>
      </c>
      <c r="I467" s="37">
        <f>IF($D467="","",IF(OR($F467="",$F467=0),"Pending",IF(ROUND($F467-$D467,2)&gt;0,"Overpaid",IF(ROUND($F467-$D467,2)=0,"Paid","Partial"))))</f>
      </c>
      <c r="J467" s="29"/>
      <c r="K467">
        <f>IF($A467="","","#"&amp;TRIM(SUBSTITUTE(SUBSTITUTE(SUBSTITUTE(SUBSTITUTE(SUBSTITUTE(SUBSTITUTE($A467,"-",""),"(",""),")",""),".",""),"+","")," ","")))</f>
      </c>
    </row>
    <row r="468" spans="1:11" x14ac:dyDescent="0.3">
      <c r="A468" s="28"/>
      <c r="B468" s="29"/>
      <c r="C468" s="30"/>
      <c r="D468" s="31"/>
      <c r="E468" s="33">
        <f>IF(OR($D468="",$K468=""),"",IF(COUNTIFS(Payments!$G$5:$G$2500,$K468,Payments!$C$5:$C$2500,"&lt;&gt;")=0,"",_xlfn.MAXIFS(Payments!$C$5:$C$2500,Payments!$G$5:$G$2500,$K468)))</f>
      </c>
      <c r="F468" s="34">
        <f>IF(OR($D468="",$K468=""),"",SUMIF(Payments!$G$5:$G$2500,$K468,Payments!$D$5:$D$2500))</f>
      </c>
      <c r="G468" s="36">
        <f>IF($D468="","",ROUND($D468-IF($F468="",0,$F468),2))</f>
      </c>
      <c r="H468" s="35">
        <f>IF(OR($D468="",$K468=""),"",COUNTIF(Payments!$G$5:$G$2500,$K468))</f>
      </c>
      <c r="I468" s="37">
        <f>IF($D468="","",IF(OR($F468="",$F468=0),"Pending",IF(ROUND($F468-$D468,2)&gt;0,"Overpaid",IF(ROUND($F468-$D468,2)=0,"Paid","Partial"))))</f>
      </c>
      <c r="J468" s="29"/>
      <c r="K468">
        <f>IF($A468="","","#"&amp;TRIM(SUBSTITUTE(SUBSTITUTE(SUBSTITUTE(SUBSTITUTE(SUBSTITUTE(SUBSTITUTE($A468,"-",""),"(",""),")",""),".",""),"+","")," ","")))</f>
      </c>
    </row>
    <row r="469" spans="1:11" x14ac:dyDescent="0.3">
      <c r="A469" s="28"/>
      <c r="B469" s="29"/>
      <c r="C469" s="30"/>
      <c r="D469" s="31"/>
      <c r="E469" s="33">
        <f>IF(OR($D469="",$K469=""),"",IF(COUNTIFS(Payments!$G$5:$G$2500,$K469,Payments!$C$5:$C$2500,"&lt;&gt;")=0,"",_xlfn.MAXIFS(Payments!$C$5:$C$2500,Payments!$G$5:$G$2500,$K469)))</f>
      </c>
      <c r="F469" s="34">
        <f>IF(OR($D469="",$K469=""),"",SUMIF(Payments!$G$5:$G$2500,$K469,Payments!$D$5:$D$2500))</f>
      </c>
      <c r="G469" s="36">
        <f>IF($D469="","",ROUND($D469-IF($F469="",0,$F469),2))</f>
      </c>
      <c r="H469" s="35">
        <f>IF(OR($D469="",$K469=""),"",COUNTIF(Payments!$G$5:$G$2500,$K469))</f>
      </c>
      <c r="I469" s="37">
        <f>IF($D469="","",IF(OR($F469="",$F469=0),"Pending",IF(ROUND($F469-$D469,2)&gt;0,"Overpaid",IF(ROUND($F469-$D469,2)=0,"Paid","Partial"))))</f>
      </c>
      <c r="J469" s="29"/>
      <c r="K469">
        <f>IF($A469="","","#"&amp;TRIM(SUBSTITUTE(SUBSTITUTE(SUBSTITUTE(SUBSTITUTE(SUBSTITUTE(SUBSTITUTE($A469,"-",""),"(",""),")",""),".",""),"+","")," ","")))</f>
      </c>
    </row>
    <row r="470" spans="1:11" x14ac:dyDescent="0.3">
      <c r="A470" s="28"/>
      <c r="B470" s="29"/>
      <c r="C470" s="30"/>
      <c r="D470" s="31"/>
      <c r="E470" s="33">
        <f>IF(OR($D470="",$K470=""),"",IF(COUNTIFS(Payments!$G$5:$G$2500,$K470,Payments!$C$5:$C$2500,"&lt;&gt;")=0,"",_xlfn.MAXIFS(Payments!$C$5:$C$2500,Payments!$G$5:$G$2500,$K470)))</f>
      </c>
      <c r="F470" s="34">
        <f>IF(OR($D470="",$K470=""),"",SUMIF(Payments!$G$5:$G$2500,$K470,Payments!$D$5:$D$2500))</f>
      </c>
      <c r="G470" s="36">
        <f>IF($D470="","",ROUND($D470-IF($F470="",0,$F470),2))</f>
      </c>
      <c r="H470" s="35">
        <f>IF(OR($D470="",$K470=""),"",COUNTIF(Payments!$G$5:$G$2500,$K470))</f>
      </c>
      <c r="I470" s="37">
        <f>IF($D470="","",IF(OR($F470="",$F470=0),"Pending",IF(ROUND($F470-$D470,2)&gt;0,"Overpaid",IF(ROUND($F470-$D470,2)=0,"Paid","Partial"))))</f>
      </c>
      <c r="J470" s="29"/>
      <c r="K470">
        <f>IF($A470="","","#"&amp;TRIM(SUBSTITUTE(SUBSTITUTE(SUBSTITUTE(SUBSTITUTE(SUBSTITUTE(SUBSTITUTE($A470,"-",""),"(",""),")",""),".",""),"+","")," ","")))</f>
      </c>
    </row>
    <row r="471" spans="1:11" x14ac:dyDescent="0.3">
      <c r="A471" s="28"/>
      <c r="B471" s="29"/>
      <c r="C471" s="30"/>
      <c r="D471" s="31"/>
      <c r="E471" s="33">
        <f>IF(OR($D471="",$K471=""),"",IF(COUNTIFS(Payments!$G$5:$G$2500,$K471,Payments!$C$5:$C$2500,"&lt;&gt;")=0,"",_xlfn.MAXIFS(Payments!$C$5:$C$2500,Payments!$G$5:$G$2500,$K471)))</f>
      </c>
      <c r="F471" s="34">
        <f>IF(OR($D471="",$K471=""),"",SUMIF(Payments!$G$5:$G$2500,$K471,Payments!$D$5:$D$2500))</f>
      </c>
      <c r="G471" s="36">
        <f>IF($D471="","",ROUND($D471-IF($F471="",0,$F471),2))</f>
      </c>
      <c r="H471" s="35">
        <f>IF(OR($D471="",$K471=""),"",COUNTIF(Payments!$G$5:$G$2500,$K471))</f>
      </c>
      <c r="I471" s="37">
        <f>IF($D471="","",IF(OR($F471="",$F471=0),"Pending",IF(ROUND($F471-$D471,2)&gt;0,"Overpaid",IF(ROUND($F471-$D471,2)=0,"Paid","Partial"))))</f>
      </c>
      <c r="J471" s="29"/>
      <c r="K471">
        <f>IF($A471="","","#"&amp;TRIM(SUBSTITUTE(SUBSTITUTE(SUBSTITUTE(SUBSTITUTE(SUBSTITUTE(SUBSTITUTE($A471,"-",""),"(",""),")",""),".",""),"+","")," ","")))</f>
      </c>
    </row>
    <row r="472" spans="1:11" x14ac:dyDescent="0.3">
      <c r="A472" s="28"/>
      <c r="B472" s="29"/>
      <c r="C472" s="30"/>
      <c r="D472" s="31"/>
      <c r="E472" s="33">
        <f>IF(OR($D472="",$K472=""),"",IF(COUNTIFS(Payments!$G$5:$G$2500,$K472,Payments!$C$5:$C$2500,"&lt;&gt;")=0,"",_xlfn.MAXIFS(Payments!$C$5:$C$2500,Payments!$G$5:$G$2500,$K472)))</f>
      </c>
      <c r="F472" s="34">
        <f>IF(OR($D472="",$K472=""),"",SUMIF(Payments!$G$5:$G$2500,$K472,Payments!$D$5:$D$2500))</f>
      </c>
      <c r="G472" s="36">
        <f>IF($D472="","",ROUND($D472-IF($F472="",0,$F472),2))</f>
      </c>
      <c r="H472" s="35">
        <f>IF(OR($D472="",$K472=""),"",COUNTIF(Payments!$G$5:$G$2500,$K472))</f>
      </c>
      <c r="I472" s="37">
        <f>IF($D472="","",IF(OR($F472="",$F472=0),"Pending",IF(ROUND($F472-$D472,2)&gt;0,"Overpaid",IF(ROUND($F472-$D472,2)=0,"Paid","Partial"))))</f>
      </c>
      <c r="J472" s="29"/>
      <c r="K472">
        <f>IF($A472="","","#"&amp;TRIM(SUBSTITUTE(SUBSTITUTE(SUBSTITUTE(SUBSTITUTE(SUBSTITUTE(SUBSTITUTE($A472,"-",""),"(",""),")",""),".",""),"+","")," ","")))</f>
      </c>
    </row>
    <row r="473" spans="1:11" x14ac:dyDescent="0.3">
      <c r="A473" s="28"/>
      <c r="B473" s="29"/>
      <c r="C473" s="30"/>
      <c r="D473" s="31"/>
      <c r="E473" s="33">
        <f>IF(OR($D473="",$K473=""),"",IF(COUNTIFS(Payments!$G$5:$G$2500,$K473,Payments!$C$5:$C$2500,"&lt;&gt;")=0,"",_xlfn.MAXIFS(Payments!$C$5:$C$2500,Payments!$G$5:$G$2500,$K473)))</f>
      </c>
      <c r="F473" s="34">
        <f>IF(OR($D473="",$K473=""),"",SUMIF(Payments!$G$5:$G$2500,$K473,Payments!$D$5:$D$2500))</f>
      </c>
      <c r="G473" s="36">
        <f>IF($D473="","",ROUND($D473-IF($F473="",0,$F473),2))</f>
      </c>
      <c r="H473" s="35">
        <f>IF(OR($D473="",$K473=""),"",COUNTIF(Payments!$G$5:$G$2500,$K473))</f>
      </c>
      <c r="I473" s="37">
        <f>IF($D473="","",IF(OR($F473="",$F473=0),"Pending",IF(ROUND($F473-$D473,2)&gt;0,"Overpaid",IF(ROUND($F473-$D473,2)=0,"Paid","Partial"))))</f>
      </c>
      <c r="J473" s="29"/>
      <c r="K473">
        <f>IF($A473="","","#"&amp;TRIM(SUBSTITUTE(SUBSTITUTE(SUBSTITUTE(SUBSTITUTE(SUBSTITUTE(SUBSTITUTE($A473,"-",""),"(",""),")",""),".",""),"+","")," ","")))</f>
      </c>
    </row>
    <row r="474" spans="1:11" x14ac:dyDescent="0.3">
      <c r="A474" s="28"/>
      <c r="B474" s="29"/>
      <c r="C474" s="30"/>
      <c r="D474" s="31"/>
      <c r="E474" s="33">
        <f>IF(OR($D474="",$K474=""),"",IF(COUNTIFS(Payments!$G$5:$G$2500,$K474,Payments!$C$5:$C$2500,"&lt;&gt;")=0,"",_xlfn.MAXIFS(Payments!$C$5:$C$2500,Payments!$G$5:$G$2500,$K474)))</f>
      </c>
      <c r="F474" s="34">
        <f>IF(OR($D474="",$K474=""),"",SUMIF(Payments!$G$5:$G$2500,$K474,Payments!$D$5:$D$2500))</f>
      </c>
      <c r="G474" s="36">
        <f>IF($D474="","",ROUND($D474-IF($F474="",0,$F474),2))</f>
      </c>
      <c r="H474" s="35">
        <f>IF(OR($D474="",$K474=""),"",COUNTIF(Payments!$G$5:$G$2500,$K474))</f>
      </c>
      <c r="I474" s="37">
        <f>IF($D474="","",IF(OR($F474="",$F474=0),"Pending",IF(ROUND($F474-$D474,2)&gt;0,"Overpaid",IF(ROUND($F474-$D474,2)=0,"Paid","Partial"))))</f>
      </c>
      <c r="J474" s="29"/>
      <c r="K474">
        <f>IF($A474="","","#"&amp;TRIM(SUBSTITUTE(SUBSTITUTE(SUBSTITUTE(SUBSTITUTE(SUBSTITUTE(SUBSTITUTE($A474,"-",""),"(",""),")",""),".",""),"+","")," ","")))</f>
      </c>
    </row>
    <row r="475" spans="1:11" x14ac:dyDescent="0.3">
      <c r="A475" s="28"/>
      <c r="B475" s="29"/>
      <c r="C475" s="30"/>
      <c r="D475" s="31"/>
      <c r="E475" s="33">
        <f>IF(OR($D475="",$K475=""),"",IF(COUNTIFS(Payments!$G$5:$G$2500,$K475,Payments!$C$5:$C$2500,"&lt;&gt;")=0,"",_xlfn.MAXIFS(Payments!$C$5:$C$2500,Payments!$G$5:$G$2500,$K475)))</f>
      </c>
      <c r="F475" s="34">
        <f>IF(OR($D475="",$K475=""),"",SUMIF(Payments!$G$5:$G$2500,$K475,Payments!$D$5:$D$2500))</f>
      </c>
      <c r="G475" s="36">
        <f>IF($D475="","",ROUND($D475-IF($F475="",0,$F475),2))</f>
      </c>
      <c r="H475" s="35">
        <f>IF(OR($D475="",$K475=""),"",COUNTIF(Payments!$G$5:$G$2500,$K475))</f>
      </c>
      <c r="I475" s="37">
        <f>IF($D475="","",IF(OR($F475="",$F475=0),"Pending",IF(ROUND($F475-$D475,2)&gt;0,"Overpaid",IF(ROUND($F475-$D475,2)=0,"Paid","Partial"))))</f>
      </c>
      <c r="J475" s="29"/>
      <c r="K475">
        <f>IF($A475="","","#"&amp;TRIM(SUBSTITUTE(SUBSTITUTE(SUBSTITUTE(SUBSTITUTE(SUBSTITUTE(SUBSTITUTE($A475,"-",""),"(",""),")",""),".",""),"+","")," ","")))</f>
      </c>
    </row>
    <row r="476" spans="1:11" x14ac:dyDescent="0.3">
      <c r="A476" s="28"/>
      <c r="B476" s="29"/>
      <c r="C476" s="30"/>
      <c r="D476" s="31"/>
      <c r="E476" s="33">
        <f>IF(OR($D476="",$K476=""),"",IF(COUNTIFS(Payments!$G$5:$G$2500,$K476,Payments!$C$5:$C$2500,"&lt;&gt;")=0,"",_xlfn.MAXIFS(Payments!$C$5:$C$2500,Payments!$G$5:$G$2500,$K476)))</f>
      </c>
      <c r="F476" s="34">
        <f>IF(OR($D476="",$K476=""),"",SUMIF(Payments!$G$5:$G$2500,$K476,Payments!$D$5:$D$2500))</f>
      </c>
      <c r="G476" s="36">
        <f>IF($D476="","",ROUND($D476-IF($F476="",0,$F476),2))</f>
      </c>
      <c r="H476" s="35">
        <f>IF(OR($D476="",$K476=""),"",COUNTIF(Payments!$G$5:$G$2500,$K476))</f>
      </c>
      <c r="I476" s="37">
        <f>IF($D476="","",IF(OR($F476="",$F476=0),"Pending",IF(ROUND($F476-$D476,2)&gt;0,"Overpaid",IF(ROUND($F476-$D476,2)=0,"Paid","Partial"))))</f>
      </c>
      <c r="J476" s="29"/>
      <c r="K476">
        <f>IF($A476="","","#"&amp;TRIM(SUBSTITUTE(SUBSTITUTE(SUBSTITUTE(SUBSTITUTE(SUBSTITUTE(SUBSTITUTE($A476,"-",""),"(",""),")",""),".",""),"+","")," ","")))</f>
      </c>
    </row>
    <row r="477" spans="1:11" x14ac:dyDescent="0.3">
      <c r="A477" s="28"/>
      <c r="B477" s="29"/>
      <c r="C477" s="30"/>
      <c r="D477" s="31"/>
      <c r="E477" s="33">
        <f>IF(OR($D477="",$K477=""),"",IF(COUNTIFS(Payments!$G$5:$G$2500,$K477,Payments!$C$5:$C$2500,"&lt;&gt;")=0,"",_xlfn.MAXIFS(Payments!$C$5:$C$2500,Payments!$G$5:$G$2500,$K477)))</f>
      </c>
      <c r="F477" s="34">
        <f>IF(OR($D477="",$K477=""),"",SUMIF(Payments!$G$5:$G$2500,$K477,Payments!$D$5:$D$2500))</f>
      </c>
      <c r="G477" s="36">
        <f>IF($D477="","",ROUND($D477-IF($F477="",0,$F477),2))</f>
      </c>
      <c r="H477" s="35">
        <f>IF(OR($D477="",$K477=""),"",COUNTIF(Payments!$G$5:$G$2500,$K477))</f>
      </c>
      <c r="I477" s="37">
        <f>IF($D477="","",IF(OR($F477="",$F477=0),"Pending",IF(ROUND($F477-$D477,2)&gt;0,"Overpaid",IF(ROUND($F477-$D477,2)=0,"Paid","Partial"))))</f>
      </c>
      <c r="J477" s="29"/>
      <c r="K477">
        <f>IF($A477="","","#"&amp;TRIM(SUBSTITUTE(SUBSTITUTE(SUBSTITUTE(SUBSTITUTE(SUBSTITUTE(SUBSTITUTE($A477,"-",""),"(",""),")",""),".",""),"+","")," ","")))</f>
      </c>
    </row>
    <row r="478" spans="1:11" x14ac:dyDescent="0.3">
      <c r="A478" s="28"/>
      <c r="B478" s="29"/>
      <c r="C478" s="30"/>
      <c r="D478" s="31"/>
      <c r="E478" s="33">
        <f>IF(OR($D478="",$K478=""),"",IF(COUNTIFS(Payments!$G$5:$G$2500,$K478,Payments!$C$5:$C$2500,"&lt;&gt;")=0,"",_xlfn.MAXIFS(Payments!$C$5:$C$2500,Payments!$G$5:$G$2500,$K478)))</f>
      </c>
      <c r="F478" s="34">
        <f>IF(OR($D478="",$K478=""),"",SUMIF(Payments!$G$5:$G$2500,$K478,Payments!$D$5:$D$2500))</f>
      </c>
      <c r="G478" s="36">
        <f>IF($D478="","",ROUND($D478-IF($F478="",0,$F478),2))</f>
      </c>
      <c r="H478" s="35">
        <f>IF(OR($D478="",$K478=""),"",COUNTIF(Payments!$G$5:$G$2500,$K478))</f>
      </c>
      <c r="I478" s="37">
        <f>IF($D478="","",IF(OR($F478="",$F478=0),"Pending",IF(ROUND($F478-$D478,2)&gt;0,"Overpaid",IF(ROUND($F478-$D478,2)=0,"Paid","Partial"))))</f>
      </c>
      <c r="J478" s="29"/>
      <c r="K478">
        <f>IF($A478="","","#"&amp;TRIM(SUBSTITUTE(SUBSTITUTE(SUBSTITUTE(SUBSTITUTE(SUBSTITUTE(SUBSTITUTE($A478,"-",""),"(",""),")",""),".",""),"+","")," ","")))</f>
      </c>
    </row>
    <row r="479" spans="1:11" x14ac:dyDescent="0.3">
      <c r="A479" s="28"/>
      <c r="B479" s="29"/>
      <c r="C479" s="30"/>
      <c r="D479" s="31"/>
      <c r="E479" s="33">
        <f>IF(OR($D479="",$K479=""),"",IF(COUNTIFS(Payments!$G$5:$G$2500,$K479,Payments!$C$5:$C$2500,"&lt;&gt;")=0,"",_xlfn.MAXIFS(Payments!$C$5:$C$2500,Payments!$G$5:$G$2500,$K479)))</f>
      </c>
      <c r="F479" s="34">
        <f>IF(OR($D479="",$K479=""),"",SUMIF(Payments!$G$5:$G$2500,$K479,Payments!$D$5:$D$2500))</f>
      </c>
      <c r="G479" s="36">
        <f>IF($D479="","",ROUND($D479-IF($F479="",0,$F479),2))</f>
      </c>
      <c r="H479" s="35">
        <f>IF(OR($D479="",$K479=""),"",COUNTIF(Payments!$G$5:$G$2500,$K479))</f>
      </c>
      <c r="I479" s="37">
        <f>IF($D479="","",IF(OR($F479="",$F479=0),"Pending",IF(ROUND($F479-$D479,2)&gt;0,"Overpaid",IF(ROUND($F479-$D479,2)=0,"Paid","Partial"))))</f>
      </c>
      <c r="J479" s="29"/>
      <c r="K479">
        <f>IF($A479="","","#"&amp;TRIM(SUBSTITUTE(SUBSTITUTE(SUBSTITUTE(SUBSTITUTE(SUBSTITUTE(SUBSTITUTE($A479,"-",""),"(",""),")",""),".",""),"+","")," ","")))</f>
      </c>
    </row>
    <row r="480" spans="1:11" x14ac:dyDescent="0.3">
      <c r="A480" s="28"/>
      <c r="B480" s="29"/>
      <c r="C480" s="30"/>
      <c r="D480" s="31"/>
      <c r="E480" s="33">
        <f>IF(OR($D480="",$K480=""),"",IF(COUNTIFS(Payments!$G$5:$G$2500,$K480,Payments!$C$5:$C$2500,"&lt;&gt;")=0,"",_xlfn.MAXIFS(Payments!$C$5:$C$2500,Payments!$G$5:$G$2500,$K480)))</f>
      </c>
      <c r="F480" s="34">
        <f>IF(OR($D480="",$K480=""),"",SUMIF(Payments!$G$5:$G$2500,$K480,Payments!$D$5:$D$2500))</f>
      </c>
      <c r="G480" s="36">
        <f>IF($D480="","",ROUND($D480-IF($F480="",0,$F480),2))</f>
      </c>
      <c r="H480" s="35">
        <f>IF(OR($D480="",$K480=""),"",COUNTIF(Payments!$G$5:$G$2500,$K480))</f>
      </c>
      <c r="I480" s="37">
        <f>IF($D480="","",IF(OR($F480="",$F480=0),"Pending",IF(ROUND($F480-$D480,2)&gt;0,"Overpaid",IF(ROUND($F480-$D480,2)=0,"Paid","Partial"))))</f>
      </c>
      <c r="J480" s="29"/>
      <c r="K480">
        <f>IF($A480="","","#"&amp;TRIM(SUBSTITUTE(SUBSTITUTE(SUBSTITUTE(SUBSTITUTE(SUBSTITUTE(SUBSTITUTE($A480,"-",""),"(",""),")",""),".",""),"+","")," ","")))</f>
      </c>
    </row>
    <row r="481" spans="1:11" x14ac:dyDescent="0.3">
      <c r="A481" s="28"/>
      <c r="B481" s="29"/>
      <c r="C481" s="30"/>
      <c r="D481" s="31"/>
      <c r="E481" s="33">
        <f>IF(OR($D481="",$K481=""),"",IF(COUNTIFS(Payments!$G$5:$G$2500,$K481,Payments!$C$5:$C$2500,"&lt;&gt;")=0,"",_xlfn.MAXIFS(Payments!$C$5:$C$2500,Payments!$G$5:$G$2500,$K481)))</f>
      </c>
      <c r="F481" s="34">
        <f>IF(OR($D481="",$K481=""),"",SUMIF(Payments!$G$5:$G$2500,$K481,Payments!$D$5:$D$2500))</f>
      </c>
      <c r="G481" s="36">
        <f>IF($D481="","",ROUND($D481-IF($F481="",0,$F481),2))</f>
      </c>
      <c r="H481" s="35">
        <f>IF(OR($D481="",$K481=""),"",COUNTIF(Payments!$G$5:$G$2500,$K481))</f>
      </c>
      <c r="I481" s="37">
        <f>IF($D481="","",IF(OR($F481="",$F481=0),"Pending",IF(ROUND($F481-$D481,2)&gt;0,"Overpaid",IF(ROUND($F481-$D481,2)=0,"Paid","Partial"))))</f>
      </c>
      <c r="J481" s="29"/>
      <c r="K481">
        <f>IF($A481="","","#"&amp;TRIM(SUBSTITUTE(SUBSTITUTE(SUBSTITUTE(SUBSTITUTE(SUBSTITUTE(SUBSTITUTE($A481,"-",""),"(",""),")",""),".",""),"+","")," ","")))</f>
      </c>
    </row>
    <row r="482" spans="1:11" x14ac:dyDescent="0.3">
      <c r="A482" s="28"/>
      <c r="B482" s="29"/>
      <c r="C482" s="30"/>
      <c r="D482" s="31"/>
      <c r="E482" s="33">
        <f>IF(OR($D482="",$K482=""),"",IF(COUNTIFS(Payments!$G$5:$G$2500,$K482,Payments!$C$5:$C$2500,"&lt;&gt;")=0,"",_xlfn.MAXIFS(Payments!$C$5:$C$2500,Payments!$G$5:$G$2500,$K482)))</f>
      </c>
      <c r="F482" s="34">
        <f>IF(OR($D482="",$K482=""),"",SUMIF(Payments!$G$5:$G$2500,$K482,Payments!$D$5:$D$2500))</f>
      </c>
      <c r="G482" s="36">
        <f>IF($D482="","",ROUND($D482-IF($F482="",0,$F482),2))</f>
      </c>
      <c r="H482" s="35">
        <f>IF(OR($D482="",$K482=""),"",COUNTIF(Payments!$G$5:$G$2500,$K482))</f>
      </c>
      <c r="I482" s="37">
        <f>IF($D482="","",IF(OR($F482="",$F482=0),"Pending",IF(ROUND($F482-$D482,2)&gt;0,"Overpaid",IF(ROUND($F482-$D482,2)=0,"Paid","Partial"))))</f>
      </c>
      <c r="J482" s="29"/>
      <c r="K482">
        <f>IF($A482="","","#"&amp;TRIM(SUBSTITUTE(SUBSTITUTE(SUBSTITUTE(SUBSTITUTE(SUBSTITUTE(SUBSTITUTE($A482,"-",""),"(",""),")",""),".",""),"+","")," ","")))</f>
      </c>
    </row>
    <row r="483" spans="1:11" x14ac:dyDescent="0.3">
      <c r="A483" s="28"/>
      <c r="B483" s="29"/>
      <c r="C483" s="30"/>
      <c r="D483" s="31"/>
      <c r="E483" s="33">
        <f>IF(OR($D483="",$K483=""),"",IF(COUNTIFS(Payments!$G$5:$G$2500,$K483,Payments!$C$5:$C$2500,"&lt;&gt;")=0,"",_xlfn.MAXIFS(Payments!$C$5:$C$2500,Payments!$G$5:$G$2500,$K483)))</f>
      </c>
      <c r="F483" s="34">
        <f>IF(OR($D483="",$K483=""),"",SUMIF(Payments!$G$5:$G$2500,$K483,Payments!$D$5:$D$2500))</f>
      </c>
      <c r="G483" s="36">
        <f>IF($D483="","",ROUND($D483-IF($F483="",0,$F483),2))</f>
      </c>
      <c r="H483" s="35">
        <f>IF(OR($D483="",$K483=""),"",COUNTIF(Payments!$G$5:$G$2500,$K483))</f>
      </c>
      <c r="I483" s="37">
        <f>IF($D483="","",IF(OR($F483="",$F483=0),"Pending",IF(ROUND($F483-$D483,2)&gt;0,"Overpaid",IF(ROUND($F483-$D483,2)=0,"Paid","Partial"))))</f>
      </c>
      <c r="J483" s="29"/>
      <c r="K483">
        <f>IF($A483="","","#"&amp;TRIM(SUBSTITUTE(SUBSTITUTE(SUBSTITUTE(SUBSTITUTE(SUBSTITUTE(SUBSTITUTE($A483,"-",""),"(",""),")",""),".",""),"+","")," ","")))</f>
      </c>
    </row>
    <row r="484" spans="1:11" x14ac:dyDescent="0.3">
      <c r="A484" s="28"/>
      <c r="B484" s="29"/>
      <c r="C484" s="30"/>
      <c r="D484" s="31"/>
      <c r="E484" s="33">
        <f>IF(OR($D484="",$K484=""),"",IF(COUNTIFS(Payments!$G$5:$G$2500,$K484,Payments!$C$5:$C$2500,"&lt;&gt;")=0,"",_xlfn.MAXIFS(Payments!$C$5:$C$2500,Payments!$G$5:$G$2500,$K484)))</f>
      </c>
      <c r="F484" s="34">
        <f>IF(OR($D484="",$K484=""),"",SUMIF(Payments!$G$5:$G$2500,$K484,Payments!$D$5:$D$2500))</f>
      </c>
      <c r="G484" s="36">
        <f>IF($D484="","",ROUND($D484-IF($F484="",0,$F484),2))</f>
      </c>
      <c r="H484" s="35">
        <f>IF(OR($D484="",$K484=""),"",COUNTIF(Payments!$G$5:$G$2500,$K484))</f>
      </c>
      <c r="I484" s="37">
        <f>IF($D484="","",IF(OR($F484="",$F484=0),"Pending",IF(ROUND($F484-$D484,2)&gt;0,"Overpaid",IF(ROUND($F484-$D484,2)=0,"Paid","Partial"))))</f>
      </c>
      <c r="J484" s="29"/>
      <c r="K484">
        <f>IF($A484="","","#"&amp;TRIM(SUBSTITUTE(SUBSTITUTE(SUBSTITUTE(SUBSTITUTE(SUBSTITUTE(SUBSTITUTE($A484,"-",""),"(",""),")",""),".",""),"+","")," ","")))</f>
      </c>
    </row>
    <row r="485" spans="1:11" x14ac:dyDescent="0.3">
      <c r="A485" s="28"/>
      <c r="B485" s="29"/>
      <c r="C485" s="30"/>
      <c r="D485" s="31"/>
      <c r="E485" s="33">
        <f>IF(OR($D485="",$K485=""),"",IF(COUNTIFS(Payments!$G$5:$G$2500,$K485,Payments!$C$5:$C$2500,"&lt;&gt;")=0,"",_xlfn.MAXIFS(Payments!$C$5:$C$2500,Payments!$G$5:$G$2500,$K485)))</f>
      </c>
      <c r="F485" s="34">
        <f>IF(OR($D485="",$K485=""),"",SUMIF(Payments!$G$5:$G$2500,$K485,Payments!$D$5:$D$2500))</f>
      </c>
      <c r="G485" s="36">
        <f>IF($D485="","",ROUND($D485-IF($F485="",0,$F485),2))</f>
      </c>
      <c r="H485" s="35">
        <f>IF(OR($D485="",$K485=""),"",COUNTIF(Payments!$G$5:$G$2500,$K485))</f>
      </c>
      <c r="I485" s="37">
        <f>IF($D485="","",IF(OR($F485="",$F485=0),"Pending",IF(ROUND($F485-$D485,2)&gt;0,"Overpaid",IF(ROUND($F485-$D485,2)=0,"Paid","Partial"))))</f>
      </c>
      <c r="J485" s="29"/>
      <c r="K485">
        <f>IF($A485="","","#"&amp;TRIM(SUBSTITUTE(SUBSTITUTE(SUBSTITUTE(SUBSTITUTE(SUBSTITUTE(SUBSTITUTE($A485,"-",""),"(",""),")",""),".",""),"+","")," ","")))</f>
      </c>
    </row>
    <row r="486" spans="1:11" x14ac:dyDescent="0.3">
      <c r="A486" s="28"/>
      <c r="B486" s="29"/>
      <c r="C486" s="30"/>
      <c r="D486" s="31"/>
      <c r="E486" s="33">
        <f>IF(OR($D486="",$K486=""),"",IF(COUNTIFS(Payments!$G$5:$G$2500,$K486,Payments!$C$5:$C$2500,"&lt;&gt;")=0,"",_xlfn.MAXIFS(Payments!$C$5:$C$2500,Payments!$G$5:$G$2500,$K486)))</f>
      </c>
      <c r="F486" s="34">
        <f>IF(OR($D486="",$K486=""),"",SUMIF(Payments!$G$5:$G$2500,$K486,Payments!$D$5:$D$2500))</f>
      </c>
      <c r="G486" s="36">
        <f>IF($D486="","",ROUND($D486-IF($F486="",0,$F486),2))</f>
      </c>
      <c r="H486" s="35">
        <f>IF(OR($D486="",$K486=""),"",COUNTIF(Payments!$G$5:$G$2500,$K486))</f>
      </c>
      <c r="I486" s="37">
        <f>IF($D486="","",IF(OR($F486="",$F486=0),"Pending",IF(ROUND($F486-$D486,2)&gt;0,"Overpaid",IF(ROUND($F486-$D486,2)=0,"Paid","Partial"))))</f>
      </c>
      <c r="J486" s="29"/>
      <c r="K486">
        <f>IF($A486="","","#"&amp;TRIM(SUBSTITUTE(SUBSTITUTE(SUBSTITUTE(SUBSTITUTE(SUBSTITUTE(SUBSTITUTE($A486,"-",""),"(",""),")",""),".",""),"+","")," ","")))</f>
      </c>
    </row>
    <row r="487" spans="1:11" x14ac:dyDescent="0.3">
      <c r="A487" s="28"/>
      <c r="B487" s="29"/>
      <c r="C487" s="30"/>
      <c r="D487" s="31"/>
      <c r="E487" s="33">
        <f>IF(OR($D487="",$K487=""),"",IF(COUNTIFS(Payments!$G$5:$G$2500,$K487,Payments!$C$5:$C$2500,"&lt;&gt;")=0,"",_xlfn.MAXIFS(Payments!$C$5:$C$2500,Payments!$G$5:$G$2500,$K487)))</f>
      </c>
      <c r="F487" s="34">
        <f>IF(OR($D487="",$K487=""),"",SUMIF(Payments!$G$5:$G$2500,$K487,Payments!$D$5:$D$2500))</f>
      </c>
      <c r="G487" s="36">
        <f>IF($D487="","",ROUND($D487-IF($F487="",0,$F487),2))</f>
      </c>
      <c r="H487" s="35">
        <f>IF(OR($D487="",$K487=""),"",COUNTIF(Payments!$G$5:$G$2500,$K487))</f>
      </c>
      <c r="I487" s="37">
        <f>IF($D487="","",IF(OR($F487="",$F487=0),"Pending",IF(ROUND($F487-$D487,2)&gt;0,"Overpaid",IF(ROUND($F487-$D487,2)=0,"Paid","Partial"))))</f>
      </c>
      <c r="J487" s="29"/>
      <c r="K487">
        <f>IF($A487="","","#"&amp;TRIM(SUBSTITUTE(SUBSTITUTE(SUBSTITUTE(SUBSTITUTE(SUBSTITUTE(SUBSTITUTE($A487,"-",""),"(",""),")",""),".",""),"+","")," ","")))</f>
      </c>
    </row>
    <row r="488" spans="1:11" x14ac:dyDescent="0.3">
      <c r="A488" s="28"/>
      <c r="B488" s="29"/>
      <c r="C488" s="30"/>
      <c r="D488" s="31"/>
      <c r="E488" s="33">
        <f>IF(OR($D488="",$K488=""),"",IF(COUNTIFS(Payments!$G$5:$G$2500,$K488,Payments!$C$5:$C$2500,"&lt;&gt;")=0,"",_xlfn.MAXIFS(Payments!$C$5:$C$2500,Payments!$G$5:$G$2500,$K488)))</f>
      </c>
      <c r="F488" s="34">
        <f>IF(OR($D488="",$K488=""),"",SUMIF(Payments!$G$5:$G$2500,$K488,Payments!$D$5:$D$2500))</f>
      </c>
      <c r="G488" s="36">
        <f>IF($D488="","",ROUND($D488-IF($F488="",0,$F488),2))</f>
      </c>
      <c r="H488" s="35">
        <f>IF(OR($D488="",$K488=""),"",COUNTIF(Payments!$G$5:$G$2500,$K488))</f>
      </c>
      <c r="I488" s="37">
        <f>IF($D488="","",IF(OR($F488="",$F488=0),"Pending",IF(ROUND($F488-$D488,2)&gt;0,"Overpaid",IF(ROUND($F488-$D488,2)=0,"Paid","Partial"))))</f>
      </c>
      <c r="J488" s="29"/>
      <c r="K488">
        <f>IF($A488="","","#"&amp;TRIM(SUBSTITUTE(SUBSTITUTE(SUBSTITUTE(SUBSTITUTE(SUBSTITUTE(SUBSTITUTE($A488,"-",""),"(",""),")",""),".",""),"+","")," ","")))</f>
      </c>
    </row>
    <row r="489" spans="1:11" x14ac:dyDescent="0.3">
      <c r="A489" s="28"/>
      <c r="B489" s="29"/>
      <c r="C489" s="30"/>
      <c r="D489" s="31"/>
      <c r="E489" s="33">
        <f>IF(OR($D489="",$K489=""),"",IF(COUNTIFS(Payments!$G$5:$G$2500,$K489,Payments!$C$5:$C$2500,"&lt;&gt;")=0,"",_xlfn.MAXIFS(Payments!$C$5:$C$2500,Payments!$G$5:$G$2500,$K489)))</f>
      </c>
      <c r="F489" s="34">
        <f>IF(OR($D489="",$K489=""),"",SUMIF(Payments!$G$5:$G$2500,$K489,Payments!$D$5:$D$2500))</f>
      </c>
      <c r="G489" s="36">
        <f>IF($D489="","",ROUND($D489-IF($F489="",0,$F489),2))</f>
      </c>
      <c r="H489" s="35">
        <f>IF(OR($D489="",$K489=""),"",COUNTIF(Payments!$G$5:$G$2500,$K489))</f>
      </c>
      <c r="I489" s="37">
        <f>IF($D489="","",IF(OR($F489="",$F489=0),"Pending",IF(ROUND($F489-$D489,2)&gt;0,"Overpaid",IF(ROUND($F489-$D489,2)=0,"Paid","Partial"))))</f>
      </c>
      <c r="J489" s="29"/>
      <c r="K489">
        <f>IF($A489="","","#"&amp;TRIM(SUBSTITUTE(SUBSTITUTE(SUBSTITUTE(SUBSTITUTE(SUBSTITUTE(SUBSTITUTE($A489,"-",""),"(",""),")",""),".",""),"+","")," ","")))</f>
      </c>
    </row>
    <row r="490" spans="1:11" x14ac:dyDescent="0.3">
      <c r="A490" s="28"/>
      <c r="B490" s="29"/>
      <c r="C490" s="30"/>
      <c r="D490" s="31"/>
      <c r="E490" s="33">
        <f>IF(OR($D490="",$K490=""),"",IF(COUNTIFS(Payments!$G$5:$G$2500,$K490,Payments!$C$5:$C$2500,"&lt;&gt;")=0,"",_xlfn.MAXIFS(Payments!$C$5:$C$2500,Payments!$G$5:$G$2500,$K490)))</f>
      </c>
      <c r="F490" s="34">
        <f>IF(OR($D490="",$K490=""),"",SUMIF(Payments!$G$5:$G$2500,$K490,Payments!$D$5:$D$2500))</f>
      </c>
      <c r="G490" s="36">
        <f>IF($D490="","",ROUND($D490-IF($F490="",0,$F490),2))</f>
      </c>
      <c r="H490" s="35">
        <f>IF(OR($D490="",$K490=""),"",COUNTIF(Payments!$G$5:$G$2500,$K490))</f>
      </c>
      <c r="I490" s="37">
        <f>IF($D490="","",IF(OR($F490="",$F490=0),"Pending",IF(ROUND($F490-$D490,2)&gt;0,"Overpaid",IF(ROUND($F490-$D490,2)=0,"Paid","Partial"))))</f>
      </c>
      <c r="J490" s="29"/>
      <c r="K490">
        <f>IF($A490="","","#"&amp;TRIM(SUBSTITUTE(SUBSTITUTE(SUBSTITUTE(SUBSTITUTE(SUBSTITUTE(SUBSTITUTE($A490,"-",""),"(",""),")",""),".",""),"+","")," ","")))</f>
      </c>
    </row>
    <row r="491" spans="1:11" x14ac:dyDescent="0.3">
      <c r="A491" s="28"/>
      <c r="B491" s="29"/>
      <c r="C491" s="30"/>
      <c r="D491" s="31"/>
      <c r="E491" s="33">
        <f>IF(OR($D491="",$K491=""),"",IF(COUNTIFS(Payments!$G$5:$G$2500,$K491,Payments!$C$5:$C$2500,"&lt;&gt;")=0,"",_xlfn.MAXIFS(Payments!$C$5:$C$2500,Payments!$G$5:$G$2500,$K491)))</f>
      </c>
      <c r="F491" s="34">
        <f>IF(OR($D491="",$K491=""),"",SUMIF(Payments!$G$5:$G$2500,$K491,Payments!$D$5:$D$2500))</f>
      </c>
      <c r="G491" s="36">
        <f>IF($D491="","",ROUND($D491-IF($F491="",0,$F491),2))</f>
      </c>
      <c r="H491" s="35">
        <f>IF(OR($D491="",$K491=""),"",COUNTIF(Payments!$G$5:$G$2500,$K491))</f>
      </c>
      <c r="I491" s="37">
        <f>IF($D491="","",IF(OR($F491="",$F491=0),"Pending",IF(ROUND($F491-$D491,2)&gt;0,"Overpaid",IF(ROUND($F491-$D491,2)=0,"Paid","Partial"))))</f>
      </c>
      <c r="J491" s="29"/>
      <c r="K491">
        <f>IF($A491="","","#"&amp;TRIM(SUBSTITUTE(SUBSTITUTE(SUBSTITUTE(SUBSTITUTE(SUBSTITUTE(SUBSTITUTE($A491,"-",""),"(",""),")",""),".",""),"+","")," ","")))</f>
      </c>
    </row>
    <row r="492" spans="1:11" x14ac:dyDescent="0.3">
      <c r="A492" s="28"/>
      <c r="B492" s="29"/>
      <c r="C492" s="30"/>
      <c r="D492" s="31"/>
      <c r="E492" s="33">
        <f>IF(OR($D492="",$K492=""),"",IF(COUNTIFS(Payments!$G$5:$G$2500,$K492,Payments!$C$5:$C$2500,"&lt;&gt;")=0,"",_xlfn.MAXIFS(Payments!$C$5:$C$2500,Payments!$G$5:$G$2500,$K492)))</f>
      </c>
      <c r="F492" s="34">
        <f>IF(OR($D492="",$K492=""),"",SUMIF(Payments!$G$5:$G$2500,$K492,Payments!$D$5:$D$2500))</f>
      </c>
      <c r="G492" s="36">
        <f>IF($D492="","",ROUND($D492-IF($F492="",0,$F492),2))</f>
      </c>
      <c r="H492" s="35">
        <f>IF(OR($D492="",$K492=""),"",COUNTIF(Payments!$G$5:$G$2500,$K492))</f>
      </c>
      <c r="I492" s="37">
        <f>IF($D492="","",IF(OR($F492="",$F492=0),"Pending",IF(ROUND($F492-$D492,2)&gt;0,"Overpaid",IF(ROUND($F492-$D492,2)=0,"Paid","Partial"))))</f>
      </c>
      <c r="J492" s="29"/>
      <c r="K492">
        <f>IF($A492="","","#"&amp;TRIM(SUBSTITUTE(SUBSTITUTE(SUBSTITUTE(SUBSTITUTE(SUBSTITUTE(SUBSTITUTE($A492,"-",""),"(",""),")",""),".",""),"+","")," ","")))</f>
      </c>
    </row>
    <row r="493" spans="1:11" x14ac:dyDescent="0.3">
      <c r="A493" s="28"/>
      <c r="B493" s="29"/>
      <c r="C493" s="30"/>
      <c r="D493" s="31"/>
      <c r="E493" s="33">
        <f>IF(OR($D493="",$K493=""),"",IF(COUNTIFS(Payments!$G$5:$G$2500,$K493,Payments!$C$5:$C$2500,"&lt;&gt;")=0,"",_xlfn.MAXIFS(Payments!$C$5:$C$2500,Payments!$G$5:$G$2500,$K493)))</f>
      </c>
      <c r="F493" s="34">
        <f>IF(OR($D493="",$K493=""),"",SUMIF(Payments!$G$5:$G$2500,$K493,Payments!$D$5:$D$2500))</f>
      </c>
      <c r="G493" s="36">
        <f>IF($D493="","",ROUND($D493-IF($F493="",0,$F493),2))</f>
      </c>
      <c r="H493" s="35">
        <f>IF(OR($D493="",$K493=""),"",COUNTIF(Payments!$G$5:$G$2500,$K493))</f>
      </c>
      <c r="I493" s="37">
        <f>IF($D493="","",IF(OR($F493="",$F493=0),"Pending",IF(ROUND($F493-$D493,2)&gt;0,"Overpaid",IF(ROUND($F493-$D493,2)=0,"Paid","Partial"))))</f>
      </c>
      <c r="J493" s="29"/>
      <c r="K493">
        <f>IF($A493="","","#"&amp;TRIM(SUBSTITUTE(SUBSTITUTE(SUBSTITUTE(SUBSTITUTE(SUBSTITUTE(SUBSTITUTE($A493,"-",""),"(",""),")",""),".",""),"+","")," ","")))</f>
      </c>
    </row>
    <row r="494" spans="1:11" x14ac:dyDescent="0.3">
      <c r="A494" s="28"/>
      <c r="B494" s="29"/>
      <c r="C494" s="30"/>
      <c r="D494" s="31"/>
      <c r="E494" s="33">
        <f>IF(OR($D494="",$K494=""),"",IF(COUNTIFS(Payments!$G$5:$G$2500,$K494,Payments!$C$5:$C$2500,"&lt;&gt;")=0,"",_xlfn.MAXIFS(Payments!$C$5:$C$2500,Payments!$G$5:$G$2500,$K494)))</f>
      </c>
      <c r="F494" s="34">
        <f>IF(OR($D494="",$K494=""),"",SUMIF(Payments!$G$5:$G$2500,$K494,Payments!$D$5:$D$2500))</f>
      </c>
      <c r="G494" s="36">
        <f>IF($D494="","",ROUND($D494-IF($F494="",0,$F494),2))</f>
      </c>
      <c r="H494" s="35">
        <f>IF(OR($D494="",$K494=""),"",COUNTIF(Payments!$G$5:$G$2500,$K494))</f>
      </c>
      <c r="I494" s="37">
        <f>IF($D494="","",IF(OR($F494="",$F494=0),"Pending",IF(ROUND($F494-$D494,2)&gt;0,"Overpaid",IF(ROUND($F494-$D494,2)=0,"Paid","Partial"))))</f>
      </c>
      <c r="J494" s="29"/>
      <c r="K494">
        <f>IF($A494="","","#"&amp;TRIM(SUBSTITUTE(SUBSTITUTE(SUBSTITUTE(SUBSTITUTE(SUBSTITUTE(SUBSTITUTE($A494,"-",""),"(",""),")",""),".",""),"+","")," ","")))</f>
      </c>
    </row>
    <row r="495" spans="1:11" x14ac:dyDescent="0.3">
      <c r="A495" s="28"/>
      <c r="B495" s="29"/>
      <c r="C495" s="30"/>
      <c r="D495" s="31"/>
      <c r="E495" s="33">
        <f>IF(OR($D495="",$K495=""),"",IF(COUNTIFS(Payments!$G$5:$G$2500,$K495,Payments!$C$5:$C$2500,"&lt;&gt;")=0,"",_xlfn.MAXIFS(Payments!$C$5:$C$2500,Payments!$G$5:$G$2500,$K495)))</f>
      </c>
      <c r="F495" s="34">
        <f>IF(OR($D495="",$K495=""),"",SUMIF(Payments!$G$5:$G$2500,$K495,Payments!$D$5:$D$2500))</f>
      </c>
      <c r="G495" s="36">
        <f>IF($D495="","",ROUND($D495-IF($F495="",0,$F495),2))</f>
      </c>
      <c r="H495" s="35">
        <f>IF(OR($D495="",$K495=""),"",COUNTIF(Payments!$G$5:$G$2500,$K495))</f>
      </c>
      <c r="I495" s="37">
        <f>IF($D495="","",IF(OR($F495="",$F495=0),"Pending",IF(ROUND($F495-$D495,2)&gt;0,"Overpaid",IF(ROUND($F495-$D495,2)=0,"Paid","Partial"))))</f>
      </c>
      <c r="J495" s="29"/>
      <c r="K495">
        <f>IF($A495="","","#"&amp;TRIM(SUBSTITUTE(SUBSTITUTE(SUBSTITUTE(SUBSTITUTE(SUBSTITUTE(SUBSTITUTE($A495,"-",""),"(",""),")",""),".",""),"+","")," ","")))</f>
      </c>
    </row>
    <row r="496" spans="1:11" x14ac:dyDescent="0.3">
      <c r="A496" s="28"/>
      <c r="B496" s="29"/>
      <c r="C496" s="30"/>
      <c r="D496" s="31"/>
      <c r="E496" s="33">
        <f>IF(OR($D496="",$K496=""),"",IF(COUNTIFS(Payments!$G$5:$G$2500,$K496,Payments!$C$5:$C$2500,"&lt;&gt;")=0,"",_xlfn.MAXIFS(Payments!$C$5:$C$2500,Payments!$G$5:$G$2500,$K496)))</f>
      </c>
      <c r="F496" s="34">
        <f>IF(OR($D496="",$K496=""),"",SUMIF(Payments!$G$5:$G$2500,$K496,Payments!$D$5:$D$2500))</f>
      </c>
      <c r="G496" s="36">
        <f>IF($D496="","",ROUND($D496-IF($F496="",0,$F496),2))</f>
      </c>
      <c r="H496" s="35">
        <f>IF(OR($D496="",$K496=""),"",COUNTIF(Payments!$G$5:$G$2500,$K496))</f>
      </c>
      <c r="I496" s="37">
        <f>IF($D496="","",IF(OR($F496="",$F496=0),"Pending",IF(ROUND($F496-$D496,2)&gt;0,"Overpaid",IF(ROUND($F496-$D496,2)=0,"Paid","Partial"))))</f>
      </c>
      <c r="J496" s="29"/>
      <c r="K496">
        <f>IF($A496="","","#"&amp;TRIM(SUBSTITUTE(SUBSTITUTE(SUBSTITUTE(SUBSTITUTE(SUBSTITUTE(SUBSTITUTE($A496,"-",""),"(",""),")",""),".",""),"+","")," ","")))</f>
      </c>
    </row>
    <row r="497" spans="1:11" x14ac:dyDescent="0.3">
      <c r="A497" s="28"/>
      <c r="B497" s="29"/>
      <c r="C497" s="30"/>
      <c r="D497" s="31"/>
      <c r="E497" s="33">
        <f>IF(OR($D497="",$K497=""),"",IF(COUNTIFS(Payments!$G$5:$G$2500,$K497,Payments!$C$5:$C$2500,"&lt;&gt;")=0,"",_xlfn.MAXIFS(Payments!$C$5:$C$2500,Payments!$G$5:$G$2500,$K497)))</f>
      </c>
      <c r="F497" s="34">
        <f>IF(OR($D497="",$K497=""),"",SUMIF(Payments!$G$5:$G$2500,$K497,Payments!$D$5:$D$2500))</f>
      </c>
      <c r="G497" s="36">
        <f>IF($D497="","",ROUND($D497-IF($F497="",0,$F497),2))</f>
      </c>
      <c r="H497" s="35">
        <f>IF(OR($D497="",$K497=""),"",COUNTIF(Payments!$G$5:$G$2500,$K497))</f>
      </c>
      <c r="I497" s="37">
        <f>IF($D497="","",IF(OR($F497="",$F497=0),"Pending",IF(ROUND($F497-$D497,2)&gt;0,"Overpaid",IF(ROUND($F497-$D497,2)=0,"Paid","Partial"))))</f>
      </c>
      <c r="J497" s="29"/>
      <c r="K497">
        <f>IF($A497="","","#"&amp;TRIM(SUBSTITUTE(SUBSTITUTE(SUBSTITUTE(SUBSTITUTE(SUBSTITUTE(SUBSTITUTE($A497,"-",""),"(",""),")",""),".",""),"+","")," ","")))</f>
      </c>
    </row>
    <row r="498" spans="1:11" x14ac:dyDescent="0.3">
      <c r="A498" s="28"/>
      <c r="B498" s="29"/>
      <c r="C498" s="30"/>
      <c r="D498" s="31"/>
      <c r="E498" s="33">
        <f>IF(OR($D498="",$K498=""),"",IF(COUNTIFS(Payments!$G$5:$G$2500,$K498,Payments!$C$5:$C$2500,"&lt;&gt;")=0,"",_xlfn.MAXIFS(Payments!$C$5:$C$2500,Payments!$G$5:$G$2500,$K498)))</f>
      </c>
      <c r="F498" s="34">
        <f>IF(OR($D498="",$K498=""),"",SUMIF(Payments!$G$5:$G$2500,$K498,Payments!$D$5:$D$2500))</f>
      </c>
      <c r="G498" s="36">
        <f>IF($D498="","",ROUND($D498-IF($F498="",0,$F498),2))</f>
      </c>
      <c r="H498" s="35">
        <f>IF(OR($D498="",$K498=""),"",COUNTIF(Payments!$G$5:$G$2500,$K498))</f>
      </c>
      <c r="I498" s="37">
        <f>IF($D498="","",IF(OR($F498="",$F498=0),"Pending",IF(ROUND($F498-$D498,2)&gt;0,"Overpaid",IF(ROUND($F498-$D498,2)=0,"Paid","Partial"))))</f>
      </c>
      <c r="J498" s="29"/>
      <c r="K498">
        <f>IF($A498="","","#"&amp;TRIM(SUBSTITUTE(SUBSTITUTE(SUBSTITUTE(SUBSTITUTE(SUBSTITUTE(SUBSTITUTE($A498,"-",""),"(",""),")",""),".",""),"+","")," ","")))</f>
      </c>
    </row>
    <row r="499" spans="1:11" x14ac:dyDescent="0.3">
      <c r="A499" s="28"/>
      <c r="B499" s="29"/>
      <c r="C499" s="30"/>
      <c r="D499" s="31"/>
      <c r="E499" s="33">
        <f>IF(OR($D499="",$K499=""),"",IF(COUNTIFS(Payments!$G$5:$G$2500,$K499,Payments!$C$5:$C$2500,"&lt;&gt;")=0,"",_xlfn.MAXIFS(Payments!$C$5:$C$2500,Payments!$G$5:$G$2500,$K499)))</f>
      </c>
      <c r="F499" s="34">
        <f>IF(OR($D499="",$K499=""),"",SUMIF(Payments!$G$5:$G$2500,$K499,Payments!$D$5:$D$2500))</f>
      </c>
      <c r="G499" s="36">
        <f>IF($D499="","",ROUND($D499-IF($F499="",0,$F499),2))</f>
      </c>
      <c r="H499" s="35">
        <f>IF(OR($D499="",$K499=""),"",COUNTIF(Payments!$G$5:$G$2500,$K499))</f>
      </c>
      <c r="I499" s="37">
        <f>IF($D499="","",IF(OR($F499="",$F499=0),"Pending",IF(ROUND($F499-$D499,2)&gt;0,"Overpaid",IF(ROUND($F499-$D499,2)=0,"Paid","Partial"))))</f>
      </c>
      <c r="J499" s="29"/>
      <c r="K499">
        <f>IF($A499="","","#"&amp;TRIM(SUBSTITUTE(SUBSTITUTE(SUBSTITUTE(SUBSTITUTE(SUBSTITUTE(SUBSTITUTE($A499,"-",""),"(",""),")",""),".",""),"+","")," ","")))</f>
      </c>
    </row>
    <row r="500" spans="1:11" x14ac:dyDescent="0.3">
      <c r="A500" s="28"/>
      <c r="B500" s="29"/>
      <c r="C500" s="30"/>
      <c r="D500" s="31"/>
      <c r="E500" s="33">
        <f>IF(OR($D500="",$K500=""),"",IF(COUNTIFS(Payments!$G$5:$G$2500,$K500,Payments!$C$5:$C$2500,"&lt;&gt;")=0,"",_xlfn.MAXIFS(Payments!$C$5:$C$2500,Payments!$G$5:$G$2500,$K500)))</f>
      </c>
      <c r="F500" s="34">
        <f>IF(OR($D500="",$K500=""),"",SUMIF(Payments!$G$5:$G$2500,$K500,Payments!$D$5:$D$2500))</f>
      </c>
      <c r="G500" s="36">
        <f>IF($D500="","",ROUND($D500-IF($F500="",0,$F500),2))</f>
      </c>
      <c r="H500" s="35">
        <f>IF(OR($D500="",$K500=""),"",COUNTIF(Payments!$G$5:$G$2500,$K500))</f>
      </c>
      <c r="I500" s="37">
        <f>IF($D500="","",IF(OR($F500="",$F500=0),"Pending",IF(ROUND($F500-$D500,2)&gt;0,"Overpaid",IF(ROUND($F500-$D500,2)=0,"Paid","Partial"))))</f>
      </c>
      <c r="J500" s="29"/>
      <c r="K500">
        <f>IF($A500="","","#"&amp;TRIM(SUBSTITUTE(SUBSTITUTE(SUBSTITUTE(SUBSTITUTE(SUBSTITUTE(SUBSTITUTE($A500,"-",""),"(",""),")",""),".",""),"+","")," ","")))</f>
      </c>
    </row>
    <row r="501" spans="1:11" x14ac:dyDescent="0.3">
      <c r="A501" s="28"/>
      <c r="B501" s="29"/>
      <c r="C501" s="30"/>
      <c r="D501" s="31"/>
      <c r="E501" s="33">
        <f>IF(OR($D501="",$K501=""),"",IF(COUNTIFS(Payments!$G$5:$G$2500,$K501,Payments!$C$5:$C$2500,"&lt;&gt;")=0,"",_xlfn.MAXIFS(Payments!$C$5:$C$2500,Payments!$G$5:$G$2500,$K501)))</f>
      </c>
      <c r="F501" s="34">
        <f>IF(OR($D501="",$K501=""),"",SUMIF(Payments!$G$5:$G$2500,$K501,Payments!$D$5:$D$2500))</f>
      </c>
      <c r="G501" s="36">
        <f>IF($D501="","",ROUND($D501-IF($F501="",0,$F501),2))</f>
      </c>
      <c r="H501" s="35">
        <f>IF(OR($D501="",$K501=""),"",COUNTIF(Payments!$G$5:$G$2500,$K501))</f>
      </c>
      <c r="I501" s="37">
        <f>IF($D501="","",IF(OR($F501="",$F501=0),"Pending",IF(ROUND($F501-$D501,2)&gt;0,"Overpaid",IF(ROUND($F501-$D501,2)=0,"Paid","Partial"))))</f>
      </c>
      <c r="J501" s="29"/>
      <c r="K501">
        <f>IF($A501="","","#"&amp;TRIM(SUBSTITUTE(SUBSTITUTE(SUBSTITUTE(SUBSTITUTE(SUBSTITUTE(SUBSTITUTE($A501,"-",""),"(",""),")",""),".",""),"+","")," ","")))</f>
      </c>
    </row>
    <row r="502" spans="1:11" x14ac:dyDescent="0.3">
      <c r="A502" s="28"/>
      <c r="B502" s="29"/>
      <c r="C502" s="30"/>
      <c r="D502" s="31"/>
      <c r="E502" s="33">
        <f>IF(OR($D502="",$K502=""),"",IF(COUNTIFS(Payments!$G$5:$G$2500,$K502,Payments!$C$5:$C$2500,"&lt;&gt;")=0,"",_xlfn.MAXIFS(Payments!$C$5:$C$2500,Payments!$G$5:$G$2500,$K502)))</f>
      </c>
      <c r="F502" s="34">
        <f>IF(OR($D502="",$K502=""),"",SUMIF(Payments!$G$5:$G$2500,$K502,Payments!$D$5:$D$2500))</f>
      </c>
      <c r="G502" s="36">
        <f>IF($D502="","",ROUND($D502-IF($F502="",0,$F502),2))</f>
      </c>
      <c r="H502" s="35">
        <f>IF(OR($D502="",$K502=""),"",COUNTIF(Payments!$G$5:$G$2500,$K502))</f>
      </c>
      <c r="I502" s="37">
        <f>IF($D502="","",IF(OR($F502="",$F502=0),"Pending",IF(ROUND($F502-$D502,2)&gt;0,"Overpaid",IF(ROUND($F502-$D502,2)=0,"Paid","Partial"))))</f>
      </c>
      <c r="J502" s="29"/>
      <c r="K502">
        <f>IF($A502="","","#"&amp;TRIM(SUBSTITUTE(SUBSTITUTE(SUBSTITUTE(SUBSTITUTE(SUBSTITUTE(SUBSTITUTE($A502,"-",""),"(",""),")",""),".",""),"+","")," ","")))</f>
      </c>
    </row>
    <row r="503" spans="1:11" x14ac:dyDescent="0.3">
      <c r="A503" s="28"/>
      <c r="B503" s="29"/>
      <c r="C503" s="30"/>
      <c r="D503" s="31"/>
      <c r="E503" s="33">
        <f>IF(OR($D503="",$K503=""),"",IF(COUNTIFS(Payments!$G$5:$G$2500,$K503,Payments!$C$5:$C$2500,"&lt;&gt;")=0,"",_xlfn.MAXIFS(Payments!$C$5:$C$2500,Payments!$G$5:$G$2500,$K503)))</f>
      </c>
      <c r="F503" s="34">
        <f>IF(OR($D503="",$K503=""),"",SUMIF(Payments!$G$5:$G$2500,$K503,Payments!$D$5:$D$2500))</f>
      </c>
      <c r="G503" s="36">
        <f>IF($D503="","",ROUND($D503-IF($F503="",0,$F503),2))</f>
      </c>
      <c r="H503" s="35">
        <f>IF(OR($D503="",$K503=""),"",COUNTIF(Payments!$G$5:$G$2500,$K503))</f>
      </c>
      <c r="I503" s="37">
        <f>IF($D503="","",IF(OR($F503="",$F503=0),"Pending",IF(ROUND($F503-$D503,2)&gt;0,"Overpaid",IF(ROUND($F503-$D503,2)=0,"Paid","Partial"))))</f>
      </c>
      <c r="J503" s="29"/>
      <c r="K503">
        <f>IF($A503="","","#"&amp;TRIM(SUBSTITUTE(SUBSTITUTE(SUBSTITUTE(SUBSTITUTE(SUBSTITUTE(SUBSTITUTE($A503,"-",""),"(",""),")",""),".",""),"+","")," ","")))</f>
      </c>
    </row>
    <row r="504" spans="1:11" x14ac:dyDescent="0.3">
      <c r="A504" s="28"/>
      <c r="B504" s="29"/>
      <c r="C504" s="30"/>
      <c r="D504" s="31"/>
      <c r="E504" s="33">
        <f>IF(OR($D504="",$K504=""),"",IF(COUNTIFS(Payments!$G$5:$G$2500,$K504,Payments!$C$5:$C$2500,"&lt;&gt;")=0,"",_xlfn.MAXIFS(Payments!$C$5:$C$2500,Payments!$G$5:$G$2500,$K504)))</f>
      </c>
      <c r="F504" s="34">
        <f>IF(OR($D504="",$K504=""),"",SUMIF(Payments!$G$5:$G$2500,$K504,Payments!$D$5:$D$2500))</f>
      </c>
      <c r="G504" s="36">
        <f>IF($D504="","",ROUND($D504-IF($F504="",0,$F504),2))</f>
      </c>
      <c r="H504" s="35">
        <f>IF(OR($D504="",$K504=""),"",COUNTIF(Payments!$G$5:$G$2500,$K504))</f>
      </c>
      <c r="I504" s="37">
        <f>IF($D504="","",IF(OR($F504="",$F504=0),"Pending",IF(ROUND($F504-$D504,2)&gt;0,"Overpaid",IF(ROUND($F504-$D504,2)=0,"Paid","Partial"))))</f>
      </c>
      <c r="J504" s="29"/>
      <c r="K504">
        <f>IF($A504="","","#"&amp;TRIM(SUBSTITUTE(SUBSTITUTE(SUBSTITUTE(SUBSTITUTE(SUBSTITUTE(SUBSTITUTE($A504,"-",""),"(",""),")",""),".",""),"+","")," ","")))</f>
      </c>
    </row>
    <row r="505" spans="1:11" x14ac:dyDescent="0.3">
      <c r="A505" s="28"/>
      <c r="B505" s="29"/>
      <c r="C505" s="30"/>
      <c r="D505" s="31"/>
      <c r="E505" s="33">
        <f>IF(OR($D505="",$K505=""),"",IF(COUNTIFS(Payments!$G$5:$G$2500,$K505,Payments!$C$5:$C$2500,"&lt;&gt;")=0,"",_xlfn.MAXIFS(Payments!$C$5:$C$2500,Payments!$G$5:$G$2500,$K505)))</f>
      </c>
      <c r="F505" s="34">
        <f>IF(OR($D505="",$K505=""),"",SUMIF(Payments!$G$5:$G$2500,$K505,Payments!$D$5:$D$2500))</f>
      </c>
      <c r="G505" s="36">
        <f>IF($D505="","",ROUND($D505-IF($F505="",0,$F505),2))</f>
      </c>
      <c r="H505" s="35">
        <f>IF(OR($D505="",$K505=""),"",COUNTIF(Payments!$G$5:$G$2500,$K505))</f>
      </c>
      <c r="I505" s="37">
        <f>IF($D505="","",IF(OR($F505="",$F505=0),"Pending",IF(ROUND($F505-$D505,2)&gt;0,"Overpaid",IF(ROUND($F505-$D505,2)=0,"Paid","Partial"))))</f>
      </c>
      <c r="J505" s="29"/>
      <c r="K505">
        <f>IF($A505="","","#"&amp;TRIM(SUBSTITUTE(SUBSTITUTE(SUBSTITUTE(SUBSTITUTE(SUBSTITUTE(SUBSTITUTE($A505,"-",""),"(",""),")",""),".",""),"+","")," ","")))</f>
      </c>
    </row>
    <row r="506" spans="1:11" x14ac:dyDescent="0.3">
      <c r="A506" s="28"/>
      <c r="B506" s="29"/>
      <c r="C506" s="30"/>
      <c r="D506" s="31"/>
      <c r="E506" s="33">
        <f>IF(OR($D506="",$K506=""),"",IF(COUNTIFS(Payments!$G$5:$G$2500,$K506,Payments!$C$5:$C$2500,"&lt;&gt;")=0,"",_xlfn.MAXIFS(Payments!$C$5:$C$2500,Payments!$G$5:$G$2500,$K506)))</f>
      </c>
      <c r="F506" s="34">
        <f>IF(OR($D506="",$K506=""),"",SUMIF(Payments!$G$5:$G$2500,$K506,Payments!$D$5:$D$2500))</f>
      </c>
      <c r="G506" s="36">
        <f>IF($D506="","",ROUND($D506-IF($F506="",0,$F506),2))</f>
      </c>
      <c r="H506" s="35">
        <f>IF(OR($D506="",$K506=""),"",COUNTIF(Payments!$G$5:$G$2500,$K506))</f>
      </c>
      <c r="I506" s="37">
        <f>IF($D506="","",IF(OR($F506="",$F506=0),"Pending",IF(ROUND($F506-$D506,2)&gt;0,"Overpaid",IF(ROUND($F506-$D506,2)=0,"Paid","Partial"))))</f>
      </c>
      <c r="J506" s="29"/>
      <c r="K506">
        <f>IF($A506="","","#"&amp;TRIM(SUBSTITUTE(SUBSTITUTE(SUBSTITUTE(SUBSTITUTE(SUBSTITUTE(SUBSTITUTE($A506,"-",""),"(",""),")",""),".",""),"+","")," ","")))</f>
      </c>
    </row>
    <row r="507" spans="1:11" x14ac:dyDescent="0.3">
      <c r="A507" s="28"/>
      <c r="B507" s="29"/>
      <c r="C507" s="30"/>
      <c r="D507" s="31"/>
      <c r="E507" s="33">
        <f>IF(OR($D507="",$K507=""),"",IF(COUNTIFS(Payments!$G$5:$G$2500,$K507,Payments!$C$5:$C$2500,"&lt;&gt;")=0,"",_xlfn.MAXIFS(Payments!$C$5:$C$2500,Payments!$G$5:$G$2500,$K507)))</f>
      </c>
      <c r="F507" s="34">
        <f>IF(OR($D507="",$K507=""),"",SUMIF(Payments!$G$5:$G$2500,$K507,Payments!$D$5:$D$2500))</f>
      </c>
      <c r="G507" s="36">
        <f>IF($D507="","",ROUND($D507-IF($F507="",0,$F507),2))</f>
      </c>
      <c r="H507" s="35">
        <f>IF(OR($D507="",$K507=""),"",COUNTIF(Payments!$G$5:$G$2500,$K507))</f>
      </c>
      <c r="I507" s="37">
        <f>IF($D507="","",IF(OR($F507="",$F507=0),"Pending",IF(ROUND($F507-$D507,2)&gt;0,"Overpaid",IF(ROUND($F507-$D507,2)=0,"Paid","Partial"))))</f>
      </c>
      <c r="J507" s="29"/>
      <c r="K507">
        <f>IF($A507="","","#"&amp;TRIM(SUBSTITUTE(SUBSTITUTE(SUBSTITUTE(SUBSTITUTE(SUBSTITUTE(SUBSTITUTE($A507,"-",""),"(",""),")",""),".",""),"+","")," ","")))</f>
      </c>
    </row>
    <row r="508" spans="1:11" x14ac:dyDescent="0.3">
      <c r="A508" s="28"/>
      <c r="B508" s="29"/>
      <c r="C508" s="30"/>
      <c r="D508" s="31"/>
      <c r="E508" s="33">
        <f>IF(OR($D508="",$K508=""),"",IF(COUNTIFS(Payments!$G$5:$G$2500,$K508,Payments!$C$5:$C$2500,"&lt;&gt;")=0,"",_xlfn.MAXIFS(Payments!$C$5:$C$2500,Payments!$G$5:$G$2500,$K508)))</f>
      </c>
      <c r="F508" s="34">
        <f>IF(OR($D508="",$K508=""),"",SUMIF(Payments!$G$5:$G$2500,$K508,Payments!$D$5:$D$2500))</f>
      </c>
      <c r="G508" s="36">
        <f>IF($D508="","",ROUND($D508-IF($F508="",0,$F508),2))</f>
      </c>
      <c r="H508" s="35">
        <f>IF(OR($D508="",$K508=""),"",COUNTIF(Payments!$G$5:$G$2500,$K508))</f>
      </c>
      <c r="I508" s="37">
        <f>IF($D508="","",IF(OR($F508="",$F508=0),"Pending",IF(ROUND($F508-$D508,2)&gt;0,"Overpaid",IF(ROUND($F508-$D508,2)=0,"Paid","Partial"))))</f>
      </c>
      <c r="J508" s="29"/>
      <c r="K508">
        <f>IF($A508="","","#"&amp;TRIM(SUBSTITUTE(SUBSTITUTE(SUBSTITUTE(SUBSTITUTE(SUBSTITUTE(SUBSTITUTE($A508,"-",""),"(",""),")",""),".",""),"+","")," ","")))</f>
      </c>
    </row>
    <row r="509" spans="1:11" x14ac:dyDescent="0.3">
      <c r="A509" s="28"/>
      <c r="B509" s="29"/>
      <c r="C509" s="30"/>
      <c r="D509" s="31"/>
      <c r="E509" s="33">
        <f>IF(OR($D509="",$K509=""),"",IF(COUNTIFS(Payments!$G$5:$G$2500,$K509,Payments!$C$5:$C$2500,"&lt;&gt;")=0,"",_xlfn.MAXIFS(Payments!$C$5:$C$2500,Payments!$G$5:$G$2500,$K509)))</f>
      </c>
      <c r="F509" s="34">
        <f>IF(OR($D509="",$K509=""),"",SUMIF(Payments!$G$5:$G$2500,$K509,Payments!$D$5:$D$2500))</f>
      </c>
      <c r="G509" s="36">
        <f>IF($D509="","",ROUND($D509-IF($F509="",0,$F509),2))</f>
      </c>
      <c r="H509" s="35">
        <f>IF(OR($D509="",$K509=""),"",COUNTIF(Payments!$G$5:$G$2500,$K509))</f>
      </c>
      <c r="I509" s="37">
        <f>IF($D509="","",IF(OR($F509="",$F509=0),"Pending",IF(ROUND($F509-$D509,2)&gt;0,"Overpaid",IF(ROUND($F509-$D509,2)=0,"Paid","Partial"))))</f>
      </c>
      <c r="J509" s="29"/>
      <c r="K509">
        <f>IF($A509="","","#"&amp;TRIM(SUBSTITUTE(SUBSTITUTE(SUBSTITUTE(SUBSTITUTE(SUBSTITUTE(SUBSTITUTE($A509,"-",""),"(",""),")",""),".",""),"+","")," ","")))</f>
      </c>
    </row>
    <row r="510" spans="1:11" x14ac:dyDescent="0.3">
      <c r="A510" s="28"/>
      <c r="B510" s="29"/>
      <c r="C510" s="30"/>
      <c r="D510" s="31"/>
      <c r="E510" s="33">
        <f>IF(OR($D510="",$K510=""),"",IF(COUNTIFS(Payments!$G$5:$G$2500,$K510,Payments!$C$5:$C$2500,"&lt;&gt;")=0,"",_xlfn.MAXIFS(Payments!$C$5:$C$2500,Payments!$G$5:$G$2500,$K510)))</f>
      </c>
      <c r="F510" s="34">
        <f>IF(OR($D510="",$K510=""),"",SUMIF(Payments!$G$5:$G$2500,$K510,Payments!$D$5:$D$2500))</f>
      </c>
      <c r="G510" s="36">
        <f>IF($D510="","",ROUND($D510-IF($F510="",0,$F510),2))</f>
      </c>
      <c r="H510" s="35">
        <f>IF(OR($D510="",$K510=""),"",COUNTIF(Payments!$G$5:$G$2500,$K510))</f>
      </c>
      <c r="I510" s="37">
        <f>IF($D510="","",IF(OR($F510="",$F510=0),"Pending",IF(ROUND($F510-$D510,2)&gt;0,"Overpaid",IF(ROUND($F510-$D510,2)=0,"Paid","Partial"))))</f>
      </c>
      <c r="J510" s="29"/>
      <c r="K510">
        <f>IF($A510="","","#"&amp;TRIM(SUBSTITUTE(SUBSTITUTE(SUBSTITUTE(SUBSTITUTE(SUBSTITUTE(SUBSTITUTE($A510,"-",""),"(",""),")",""),".",""),"+","")," ","")))</f>
      </c>
    </row>
    <row r="511" spans="1:11" x14ac:dyDescent="0.3">
      <c r="A511" s="28"/>
      <c r="B511" s="29"/>
      <c r="C511" s="30"/>
      <c r="D511" s="31"/>
      <c r="E511" s="33">
        <f>IF(OR($D511="",$K511=""),"",IF(COUNTIFS(Payments!$G$5:$G$2500,$K511,Payments!$C$5:$C$2500,"&lt;&gt;")=0,"",_xlfn.MAXIFS(Payments!$C$5:$C$2500,Payments!$G$5:$G$2500,$K511)))</f>
      </c>
      <c r="F511" s="34">
        <f>IF(OR($D511="",$K511=""),"",SUMIF(Payments!$G$5:$G$2500,$K511,Payments!$D$5:$D$2500))</f>
      </c>
      <c r="G511" s="36">
        <f>IF($D511="","",ROUND($D511-IF($F511="",0,$F511),2))</f>
      </c>
      <c r="H511" s="35">
        <f>IF(OR($D511="",$K511=""),"",COUNTIF(Payments!$G$5:$G$2500,$K511))</f>
      </c>
      <c r="I511" s="37">
        <f>IF($D511="","",IF(OR($F511="",$F511=0),"Pending",IF(ROUND($F511-$D511,2)&gt;0,"Overpaid",IF(ROUND($F511-$D511,2)=0,"Paid","Partial"))))</f>
      </c>
      <c r="J511" s="29"/>
      <c r="K511">
        <f>IF($A511="","","#"&amp;TRIM(SUBSTITUTE(SUBSTITUTE(SUBSTITUTE(SUBSTITUTE(SUBSTITUTE(SUBSTITUTE($A511,"-",""),"(",""),")",""),".",""),"+","")," ","")))</f>
      </c>
    </row>
    <row r="512" spans="1:11" x14ac:dyDescent="0.3">
      <c r="A512" s="28"/>
      <c r="B512" s="29"/>
      <c r="C512" s="30"/>
      <c r="D512" s="31"/>
      <c r="E512" s="33">
        <f>IF(OR($D512="",$K512=""),"",IF(COUNTIFS(Payments!$G$5:$G$2500,$K512,Payments!$C$5:$C$2500,"&lt;&gt;")=0,"",_xlfn.MAXIFS(Payments!$C$5:$C$2500,Payments!$G$5:$G$2500,$K512)))</f>
      </c>
      <c r="F512" s="34">
        <f>IF(OR($D512="",$K512=""),"",SUMIF(Payments!$G$5:$G$2500,$K512,Payments!$D$5:$D$2500))</f>
      </c>
      <c r="G512" s="36">
        <f>IF($D512="","",ROUND($D512-IF($F512="",0,$F512),2))</f>
      </c>
      <c r="H512" s="35">
        <f>IF(OR($D512="",$K512=""),"",COUNTIF(Payments!$G$5:$G$2500,$K512))</f>
      </c>
      <c r="I512" s="37">
        <f>IF($D512="","",IF(OR($F512="",$F512=0),"Pending",IF(ROUND($F512-$D512,2)&gt;0,"Overpaid",IF(ROUND($F512-$D512,2)=0,"Paid","Partial"))))</f>
      </c>
      <c r="J512" s="29"/>
      <c r="K512">
        <f>IF($A512="","","#"&amp;TRIM(SUBSTITUTE(SUBSTITUTE(SUBSTITUTE(SUBSTITUTE(SUBSTITUTE(SUBSTITUTE($A512,"-",""),"(",""),")",""),".",""),"+","")," ","")))</f>
      </c>
    </row>
    <row r="513" spans="1:11" x14ac:dyDescent="0.3">
      <c r="A513" s="28"/>
      <c r="B513" s="29"/>
      <c r="C513" s="30"/>
      <c r="D513" s="31"/>
      <c r="E513" s="33">
        <f>IF(OR($D513="",$K513=""),"",IF(COUNTIFS(Payments!$G$5:$G$2500,$K513,Payments!$C$5:$C$2500,"&lt;&gt;")=0,"",_xlfn.MAXIFS(Payments!$C$5:$C$2500,Payments!$G$5:$G$2500,$K513)))</f>
      </c>
      <c r="F513" s="34">
        <f>IF(OR($D513="",$K513=""),"",SUMIF(Payments!$G$5:$G$2500,$K513,Payments!$D$5:$D$2500))</f>
      </c>
      <c r="G513" s="36">
        <f>IF($D513="","",ROUND($D513-IF($F513="",0,$F513),2))</f>
      </c>
      <c r="H513" s="35">
        <f>IF(OR($D513="",$K513=""),"",COUNTIF(Payments!$G$5:$G$2500,$K513))</f>
      </c>
      <c r="I513" s="37">
        <f>IF($D513="","",IF(OR($F513="",$F513=0),"Pending",IF(ROUND($F513-$D513,2)&gt;0,"Overpaid",IF(ROUND($F513-$D513,2)=0,"Paid","Partial"))))</f>
      </c>
      <c r="J513" s="29"/>
      <c r="K513">
        <f>IF($A513="","","#"&amp;TRIM(SUBSTITUTE(SUBSTITUTE(SUBSTITUTE(SUBSTITUTE(SUBSTITUTE(SUBSTITUTE($A513,"-",""),"(",""),")",""),".",""),"+","")," ","")))</f>
      </c>
    </row>
    <row r="514" spans="1:11" x14ac:dyDescent="0.3">
      <c r="A514" s="28"/>
      <c r="B514" s="29"/>
      <c r="C514" s="30"/>
      <c r="D514" s="31"/>
      <c r="E514" s="33">
        <f>IF(OR($D514="",$K514=""),"",IF(COUNTIFS(Payments!$G$5:$G$2500,$K514,Payments!$C$5:$C$2500,"&lt;&gt;")=0,"",_xlfn.MAXIFS(Payments!$C$5:$C$2500,Payments!$G$5:$G$2500,$K514)))</f>
      </c>
      <c r="F514" s="34">
        <f>IF(OR($D514="",$K514=""),"",SUMIF(Payments!$G$5:$G$2500,$K514,Payments!$D$5:$D$2500))</f>
      </c>
      <c r="G514" s="36">
        <f>IF($D514="","",ROUND($D514-IF($F514="",0,$F514),2))</f>
      </c>
      <c r="H514" s="35">
        <f>IF(OR($D514="",$K514=""),"",COUNTIF(Payments!$G$5:$G$2500,$K514))</f>
      </c>
      <c r="I514" s="37">
        <f>IF($D514="","",IF(OR($F514="",$F514=0),"Pending",IF(ROUND($F514-$D514,2)&gt;0,"Overpaid",IF(ROUND($F514-$D514,2)=0,"Paid","Partial"))))</f>
      </c>
      <c r="J514" s="29"/>
      <c r="K514">
        <f>IF($A514="","","#"&amp;TRIM(SUBSTITUTE(SUBSTITUTE(SUBSTITUTE(SUBSTITUTE(SUBSTITUTE(SUBSTITUTE($A514,"-",""),"(",""),")",""),".",""),"+","")," ","")))</f>
      </c>
    </row>
    <row r="515" spans="1:11" x14ac:dyDescent="0.3">
      <c r="A515" s="28"/>
      <c r="B515" s="29"/>
      <c r="C515" s="30"/>
      <c r="D515" s="31"/>
      <c r="E515" s="33">
        <f>IF(OR($D515="",$K515=""),"",IF(COUNTIFS(Payments!$G$5:$G$2500,$K515,Payments!$C$5:$C$2500,"&lt;&gt;")=0,"",_xlfn.MAXIFS(Payments!$C$5:$C$2500,Payments!$G$5:$G$2500,$K515)))</f>
      </c>
      <c r="F515" s="34">
        <f>IF(OR($D515="",$K515=""),"",SUMIF(Payments!$G$5:$G$2500,$K515,Payments!$D$5:$D$2500))</f>
      </c>
      <c r="G515" s="36">
        <f>IF($D515="","",ROUND($D515-IF($F515="",0,$F515),2))</f>
      </c>
      <c r="H515" s="35">
        <f>IF(OR($D515="",$K515=""),"",COUNTIF(Payments!$G$5:$G$2500,$K515))</f>
      </c>
      <c r="I515" s="37">
        <f>IF($D515="","",IF(OR($F515="",$F515=0),"Pending",IF(ROUND($F515-$D515,2)&gt;0,"Overpaid",IF(ROUND($F515-$D515,2)=0,"Paid","Partial"))))</f>
      </c>
      <c r="J515" s="29"/>
      <c r="K515">
        <f>IF($A515="","","#"&amp;TRIM(SUBSTITUTE(SUBSTITUTE(SUBSTITUTE(SUBSTITUTE(SUBSTITUTE(SUBSTITUTE($A515,"-",""),"(",""),")",""),".",""),"+","")," ","")))</f>
      </c>
    </row>
    <row r="516" spans="1:11" x14ac:dyDescent="0.3">
      <c r="A516" s="28"/>
      <c r="B516" s="29"/>
      <c r="C516" s="30"/>
      <c r="D516" s="31"/>
      <c r="E516" s="33">
        <f>IF(OR($D516="",$K516=""),"",IF(COUNTIFS(Payments!$G$5:$G$2500,$K516,Payments!$C$5:$C$2500,"&lt;&gt;")=0,"",_xlfn.MAXIFS(Payments!$C$5:$C$2500,Payments!$G$5:$G$2500,$K516)))</f>
      </c>
      <c r="F516" s="34">
        <f>IF(OR($D516="",$K516=""),"",SUMIF(Payments!$G$5:$G$2500,$K516,Payments!$D$5:$D$2500))</f>
      </c>
      <c r="G516" s="36">
        <f>IF($D516="","",ROUND($D516-IF($F516="",0,$F516),2))</f>
      </c>
      <c r="H516" s="35">
        <f>IF(OR($D516="",$K516=""),"",COUNTIF(Payments!$G$5:$G$2500,$K516))</f>
      </c>
      <c r="I516" s="37">
        <f>IF($D516="","",IF(OR($F516="",$F516=0),"Pending",IF(ROUND($F516-$D516,2)&gt;0,"Overpaid",IF(ROUND($F516-$D516,2)=0,"Paid","Partial"))))</f>
      </c>
      <c r="J516" s="29"/>
      <c r="K516">
        <f>IF($A516="","","#"&amp;TRIM(SUBSTITUTE(SUBSTITUTE(SUBSTITUTE(SUBSTITUTE(SUBSTITUTE(SUBSTITUTE($A516,"-",""),"(",""),")",""),".",""),"+","")," ","")))</f>
      </c>
    </row>
    <row r="517" spans="1:11" x14ac:dyDescent="0.3">
      <c r="A517" s="28"/>
      <c r="B517" s="29"/>
      <c r="C517" s="30"/>
      <c r="D517" s="31"/>
      <c r="E517" s="33">
        <f>IF(OR($D517="",$K517=""),"",IF(COUNTIFS(Payments!$G$5:$G$2500,$K517,Payments!$C$5:$C$2500,"&lt;&gt;")=0,"",_xlfn.MAXIFS(Payments!$C$5:$C$2500,Payments!$G$5:$G$2500,$K517)))</f>
      </c>
      <c r="F517" s="34">
        <f>IF(OR($D517="",$K517=""),"",SUMIF(Payments!$G$5:$G$2500,$K517,Payments!$D$5:$D$2500))</f>
      </c>
      <c r="G517" s="36">
        <f>IF($D517="","",ROUND($D517-IF($F517="",0,$F517),2))</f>
      </c>
      <c r="H517" s="35">
        <f>IF(OR($D517="",$K517=""),"",COUNTIF(Payments!$G$5:$G$2500,$K517))</f>
      </c>
      <c r="I517" s="37">
        <f>IF($D517="","",IF(OR($F517="",$F517=0),"Pending",IF(ROUND($F517-$D517,2)&gt;0,"Overpaid",IF(ROUND($F517-$D517,2)=0,"Paid","Partial"))))</f>
      </c>
      <c r="J517" s="29"/>
      <c r="K517">
        <f>IF($A517="","","#"&amp;TRIM(SUBSTITUTE(SUBSTITUTE(SUBSTITUTE(SUBSTITUTE(SUBSTITUTE(SUBSTITUTE($A517,"-",""),"(",""),")",""),".",""),"+","")," ","")))</f>
      </c>
    </row>
    <row r="518" spans="1:11" x14ac:dyDescent="0.3">
      <c r="A518" s="28"/>
      <c r="B518" s="29"/>
      <c r="C518" s="30"/>
      <c r="D518" s="31"/>
      <c r="E518" s="33">
        <f>IF(OR($D518="",$K518=""),"",IF(COUNTIFS(Payments!$G$5:$G$2500,$K518,Payments!$C$5:$C$2500,"&lt;&gt;")=0,"",_xlfn.MAXIFS(Payments!$C$5:$C$2500,Payments!$G$5:$G$2500,$K518)))</f>
      </c>
      <c r="F518" s="34">
        <f>IF(OR($D518="",$K518=""),"",SUMIF(Payments!$G$5:$G$2500,$K518,Payments!$D$5:$D$2500))</f>
      </c>
      <c r="G518" s="36">
        <f>IF($D518="","",ROUND($D518-IF($F518="",0,$F518),2))</f>
      </c>
      <c r="H518" s="35">
        <f>IF(OR($D518="",$K518=""),"",COUNTIF(Payments!$G$5:$G$2500,$K518))</f>
      </c>
      <c r="I518" s="37">
        <f>IF($D518="","",IF(OR($F518="",$F518=0),"Pending",IF(ROUND($F518-$D518,2)&gt;0,"Overpaid",IF(ROUND($F518-$D518,2)=0,"Paid","Partial"))))</f>
      </c>
      <c r="J518" s="29"/>
      <c r="K518">
        <f>IF($A518="","","#"&amp;TRIM(SUBSTITUTE(SUBSTITUTE(SUBSTITUTE(SUBSTITUTE(SUBSTITUTE(SUBSTITUTE($A518,"-",""),"(",""),")",""),".",""),"+","")," ","")))</f>
      </c>
    </row>
    <row r="519" spans="1:11" x14ac:dyDescent="0.3">
      <c r="A519" s="28"/>
      <c r="B519" s="29"/>
      <c r="C519" s="30"/>
      <c r="D519" s="31"/>
      <c r="E519" s="33">
        <f>IF(OR($D519="",$K519=""),"",IF(COUNTIFS(Payments!$G$5:$G$2500,$K519,Payments!$C$5:$C$2500,"&lt;&gt;")=0,"",_xlfn.MAXIFS(Payments!$C$5:$C$2500,Payments!$G$5:$G$2500,$K519)))</f>
      </c>
      <c r="F519" s="34">
        <f>IF(OR($D519="",$K519=""),"",SUMIF(Payments!$G$5:$G$2500,$K519,Payments!$D$5:$D$2500))</f>
      </c>
      <c r="G519" s="36">
        <f>IF($D519="","",ROUND($D519-IF($F519="",0,$F519),2))</f>
      </c>
      <c r="H519" s="35">
        <f>IF(OR($D519="",$K519=""),"",COUNTIF(Payments!$G$5:$G$2500,$K519))</f>
      </c>
      <c r="I519" s="37">
        <f>IF($D519="","",IF(OR($F519="",$F519=0),"Pending",IF(ROUND($F519-$D519,2)&gt;0,"Overpaid",IF(ROUND($F519-$D519,2)=0,"Paid","Partial"))))</f>
      </c>
      <c r="J519" s="29"/>
      <c r="K519">
        <f>IF($A519="","","#"&amp;TRIM(SUBSTITUTE(SUBSTITUTE(SUBSTITUTE(SUBSTITUTE(SUBSTITUTE(SUBSTITUTE($A519,"-",""),"(",""),")",""),".",""),"+","")," ","")))</f>
      </c>
    </row>
    <row r="520" spans="1:11" x14ac:dyDescent="0.3">
      <c r="A520" s="28"/>
      <c r="B520" s="29"/>
      <c r="C520" s="30"/>
      <c r="D520" s="31"/>
      <c r="E520" s="33">
        <f>IF(OR($D520="",$K520=""),"",IF(COUNTIFS(Payments!$G$5:$G$2500,$K520,Payments!$C$5:$C$2500,"&lt;&gt;")=0,"",_xlfn.MAXIFS(Payments!$C$5:$C$2500,Payments!$G$5:$G$2500,$K520)))</f>
      </c>
      <c r="F520" s="34">
        <f>IF(OR($D520="",$K520=""),"",SUMIF(Payments!$G$5:$G$2500,$K520,Payments!$D$5:$D$2500))</f>
      </c>
      <c r="G520" s="36">
        <f>IF($D520="","",ROUND($D520-IF($F520="",0,$F520),2))</f>
      </c>
      <c r="H520" s="35">
        <f>IF(OR($D520="",$K520=""),"",COUNTIF(Payments!$G$5:$G$2500,$K520))</f>
      </c>
      <c r="I520" s="37">
        <f>IF($D520="","",IF(OR($F520="",$F520=0),"Pending",IF(ROUND($F520-$D520,2)&gt;0,"Overpaid",IF(ROUND($F520-$D520,2)=0,"Paid","Partial"))))</f>
      </c>
      <c r="J520" s="29"/>
      <c r="K520">
        <f>IF($A520="","","#"&amp;TRIM(SUBSTITUTE(SUBSTITUTE(SUBSTITUTE(SUBSTITUTE(SUBSTITUTE(SUBSTITUTE($A520,"-",""),"(",""),")",""),".",""),"+","")," ","")))</f>
      </c>
    </row>
    <row r="521" spans="1:11" x14ac:dyDescent="0.3">
      <c r="A521" s="28"/>
      <c r="B521" s="29"/>
      <c r="C521" s="30"/>
      <c r="D521" s="31"/>
      <c r="E521" s="33">
        <f>IF(OR($D521="",$K521=""),"",IF(COUNTIFS(Payments!$G$5:$G$2500,$K521,Payments!$C$5:$C$2500,"&lt;&gt;")=0,"",_xlfn.MAXIFS(Payments!$C$5:$C$2500,Payments!$G$5:$G$2500,$K521)))</f>
      </c>
      <c r="F521" s="34">
        <f>IF(OR($D521="",$K521=""),"",SUMIF(Payments!$G$5:$G$2500,$K521,Payments!$D$5:$D$2500))</f>
      </c>
      <c r="G521" s="36">
        <f>IF($D521="","",ROUND($D521-IF($F521="",0,$F521),2))</f>
      </c>
      <c r="H521" s="35">
        <f>IF(OR($D521="",$K521=""),"",COUNTIF(Payments!$G$5:$G$2500,$K521))</f>
      </c>
      <c r="I521" s="37">
        <f>IF($D521="","",IF(OR($F521="",$F521=0),"Pending",IF(ROUND($F521-$D521,2)&gt;0,"Overpaid",IF(ROUND($F521-$D521,2)=0,"Paid","Partial"))))</f>
      </c>
      <c r="J521" s="29"/>
      <c r="K521">
        <f>IF($A521="","","#"&amp;TRIM(SUBSTITUTE(SUBSTITUTE(SUBSTITUTE(SUBSTITUTE(SUBSTITUTE(SUBSTITUTE($A521,"-",""),"(",""),")",""),".",""),"+","")," ","")))</f>
      </c>
    </row>
    <row r="522" spans="1:11" x14ac:dyDescent="0.3">
      <c r="A522" s="28"/>
      <c r="B522" s="29"/>
      <c r="C522" s="30"/>
      <c r="D522" s="31"/>
      <c r="E522" s="33">
        <f>IF(OR($D522="",$K522=""),"",IF(COUNTIFS(Payments!$G$5:$G$2500,$K522,Payments!$C$5:$C$2500,"&lt;&gt;")=0,"",_xlfn.MAXIFS(Payments!$C$5:$C$2500,Payments!$G$5:$G$2500,$K522)))</f>
      </c>
      <c r="F522" s="34">
        <f>IF(OR($D522="",$K522=""),"",SUMIF(Payments!$G$5:$G$2500,$K522,Payments!$D$5:$D$2500))</f>
      </c>
      <c r="G522" s="36">
        <f>IF($D522="","",ROUND($D522-IF($F522="",0,$F522),2))</f>
      </c>
      <c r="H522" s="35">
        <f>IF(OR($D522="",$K522=""),"",COUNTIF(Payments!$G$5:$G$2500,$K522))</f>
      </c>
      <c r="I522" s="37">
        <f>IF($D522="","",IF(OR($F522="",$F522=0),"Pending",IF(ROUND($F522-$D522,2)&gt;0,"Overpaid",IF(ROUND($F522-$D522,2)=0,"Paid","Partial"))))</f>
      </c>
      <c r="J522" s="29"/>
      <c r="K522">
        <f>IF($A522="","","#"&amp;TRIM(SUBSTITUTE(SUBSTITUTE(SUBSTITUTE(SUBSTITUTE(SUBSTITUTE(SUBSTITUTE($A522,"-",""),"(",""),")",""),".",""),"+","")," ","")))</f>
      </c>
    </row>
    <row r="523" spans="1:11" x14ac:dyDescent="0.3">
      <c r="A523" s="28"/>
      <c r="B523" s="29"/>
      <c r="C523" s="30"/>
      <c r="D523" s="31"/>
      <c r="E523" s="33">
        <f>IF(OR($D523="",$K523=""),"",IF(COUNTIFS(Payments!$G$5:$G$2500,$K523,Payments!$C$5:$C$2500,"&lt;&gt;")=0,"",_xlfn.MAXIFS(Payments!$C$5:$C$2500,Payments!$G$5:$G$2500,$K523)))</f>
      </c>
      <c r="F523" s="34">
        <f>IF(OR($D523="",$K523=""),"",SUMIF(Payments!$G$5:$G$2500,$K523,Payments!$D$5:$D$2500))</f>
      </c>
      <c r="G523" s="36">
        <f>IF($D523="","",ROUND($D523-IF($F523="",0,$F523),2))</f>
      </c>
      <c r="H523" s="35">
        <f>IF(OR($D523="",$K523=""),"",COUNTIF(Payments!$G$5:$G$2500,$K523))</f>
      </c>
      <c r="I523" s="37">
        <f>IF($D523="","",IF(OR($F523="",$F523=0),"Pending",IF(ROUND($F523-$D523,2)&gt;0,"Overpaid",IF(ROUND($F523-$D523,2)=0,"Paid","Partial"))))</f>
      </c>
      <c r="J523" s="29"/>
      <c r="K523">
        <f>IF($A523="","","#"&amp;TRIM(SUBSTITUTE(SUBSTITUTE(SUBSTITUTE(SUBSTITUTE(SUBSTITUTE(SUBSTITUTE($A523,"-",""),"(",""),")",""),".",""),"+","")," ","")))</f>
      </c>
    </row>
    <row r="524" spans="1:11" x14ac:dyDescent="0.3">
      <c r="A524" s="28"/>
      <c r="B524" s="29"/>
      <c r="C524" s="30"/>
      <c r="D524" s="31"/>
      <c r="E524" s="33">
        <f>IF(OR($D524="",$K524=""),"",IF(COUNTIFS(Payments!$G$5:$G$2500,$K524,Payments!$C$5:$C$2500,"&lt;&gt;")=0,"",_xlfn.MAXIFS(Payments!$C$5:$C$2500,Payments!$G$5:$G$2500,$K524)))</f>
      </c>
      <c r="F524" s="34">
        <f>IF(OR($D524="",$K524=""),"",SUMIF(Payments!$G$5:$G$2500,$K524,Payments!$D$5:$D$2500))</f>
      </c>
      <c r="G524" s="36">
        <f>IF($D524="","",ROUND($D524-IF($F524="",0,$F524),2))</f>
      </c>
      <c r="H524" s="35">
        <f>IF(OR($D524="",$K524=""),"",COUNTIF(Payments!$G$5:$G$2500,$K524))</f>
      </c>
      <c r="I524" s="37">
        <f>IF($D524="","",IF(OR($F524="",$F524=0),"Pending",IF(ROUND($F524-$D524,2)&gt;0,"Overpaid",IF(ROUND($F524-$D524,2)=0,"Paid","Partial"))))</f>
      </c>
      <c r="J524" s="29"/>
      <c r="K524">
        <f>IF($A524="","","#"&amp;TRIM(SUBSTITUTE(SUBSTITUTE(SUBSTITUTE(SUBSTITUTE(SUBSTITUTE(SUBSTITUTE($A524,"-",""),"(",""),")",""),".",""),"+","")," ","")))</f>
      </c>
    </row>
    <row r="525" spans="1:11" x14ac:dyDescent="0.3">
      <c r="A525" s="28"/>
      <c r="B525" s="29"/>
      <c r="C525" s="30"/>
      <c r="D525" s="31"/>
      <c r="E525" s="33">
        <f>IF(OR($D525="",$K525=""),"",IF(COUNTIFS(Payments!$G$5:$G$2500,$K525,Payments!$C$5:$C$2500,"&lt;&gt;")=0,"",_xlfn.MAXIFS(Payments!$C$5:$C$2500,Payments!$G$5:$G$2500,$K525)))</f>
      </c>
      <c r="F525" s="34">
        <f>IF(OR($D525="",$K525=""),"",SUMIF(Payments!$G$5:$G$2500,$K525,Payments!$D$5:$D$2500))</f>
      </c>
      <c r="G525" s="36">
        <f>IF($D525="","",ROUND($D525-IF($F525="",0,$F525),2))</f>
      </c>
      <c r="H525" s="35">
        <f>IF(OR($D525="",$K525=""),"",COUNTIF(Payments!$G$5:$G$2500,$K525))</f>
      </c>
      <c r="I525" s="37">
        <f>IF($D525="","",IF(OR($F525="",$F525=0),"Pending",IF(ROUND($F525-$D525,2)&gt;0,"Overpaid",IF(ROUND($F525-$D525,2)=0,"Paid","Partial"))))</f>
      </c>
      <c r="J525" s="29"/>
      <c r="K525">
        <f>IF($A525="","","#"&amp;TRIM(SUBSTITUTE(SUBSTITUTE(SUBSTITUTE(SUBSTITUTE(SUBSTITUTE(SUBSTITUTE($A525,"-",""),"(",""),")",""),".",""),"+","")," ","")))</f>
      </c>
    </row>
    <row r="526" spans="1:11" x14ac:dyDescent="0.3">
      <c r="A526" s="28"/>
      <c r="B526" s="29"/>
      <c r="C526" s="30"/>
      <c r="D526" s="31"/>
      <c r="E526" s="33">
        <f>IF(OR($D526="",$K526=""),"",IF(COUNTIFS(Payments!$G$5:$G$2500,$K526,Payments!$C$5:$C$2500,"&lt;&gt;")=0,"",_xlfn.MAXIFS(Payments!$C$5:$C$2500,Payments!$G$5:$G$2500,$K526)))</f>
      </c>
      <c r="F526" s="34">
        <f>IF(OR($D526="",$K526=""),"",SUMIF(Payments!$G$5:$G$2500,$K526,Payments!$D$5:$D$2500))</f>
      </c>
      <c r="G526" s="36">
        <f>IF($D526="","",ROUND($D526-IF($F526="",0,$F526),2))</f>
      </c>
      <c r="H526" s="35">
        <f>IF(OR($D526="",$K526=""),"",COUNTIF(Payments!$G$5:$G$2500,$K526))</f>
      </c>
      <c r="I526" s="37">
        <f>IF($D526="","",IF(OR($F526="",$F526=0),"Pending",IF(ROUND($F526-$D526,2)&gt;0,"Overpaid",IF(ROUND($F526-$D526,2)=0,"Paid","Partial"))))</f>
      </c>
      <c r="J526" s="29"/>
      <c r="K526">
        <f>IF($A526="","","#"&amp;TRIM(SUBSTITUTE(SUBSTITUTE(SUBSTITUTE(SUBSTITUTE(SUBSTITUTE(SUBSTITUTE($A526,"-",""),"(",""),")",""),".",""),"+","")," ","")))</f>
      </c>
    </row>
    <row r="527" spans="1:11" x14ac:dyDescent="0.3">
      <c r="A527" s="28"/>
      <c r="B527" s="29"/>
      <c r="C527" s="30"/>
      <c r="D527" s="31"/>
      <c r="E527" s="33">
        <f>IF(OR($D527="",$K527=""),"",IF(COUNTIFS(Payments!$G$5:$G$2500,$K527,Payments!$C$5:$C$2500,"&lt;&gt;")=0,"",_xlfn.MAXIFS(Payments!$C$5:$C$2500,Payments!$G$5:$G$2500,$K527)))</f>
      </c>
      <c r="F527" s="34">
        <f>IF(OR($D527="",$K527=""),"",SUMIF(Payments!$G$5:$G$2500,$K527,Payments!$D$5:$D$2500))</f>
      </c>
      <c r="G527" s="36">
        <f>IF($D527="","",ROUND($D527-IF($F527="",0,$F527),2))</f>
      </c>
      <c r="H527" s="35">
        <f>IF(OR($D527="",$K527=""),"",COUNTIF(Payments!$G$5:$G$2500,$K527))</f>
      </c>
      <c r="I527" s="37">
        <f>IF($D527="","",IF(OR($F527="",$F527=0),"Pending",IF(ROUND($F527-$D527,2)&gt;0,"Overpaid",IF(ROUND($F527-$D527,2)=0,"Paid","Partial"))))</f>
      </c>
      <c r="J527" s="29"/>
      <c r="K527">
        <f>IF($A527="","","#"&amp;TRIM(SUBSTITUTE(SUBSTITUTE(SUBSTITUTE(SUBSTITUTE(SUBSTITUTE(SUBSTITUTE($A527,"-",""),"(",""),")",""),".",""),"+","")," ","")))</f>
      </c>
    </row>
    <row r="528" spans="1:11" x14ac:dyDescent="0.3">
      <c r="A528" s="28"/>
      <c r="B528" s="29"/>
      <c r="C528" s="30"/>
      <c r="D528" s="31"/>
      <c r="E528" s="33">
        <f>IF(OR($D528="",$K528=""),"",IF(COUNTIFS(Payments!$G$5:$G$2500,$K528,Payments!$C$5:$C$2500,"&lt;&gt;")=0,"",_xlfn.MAXIFS(Payments!$C$5:$C$2500,Payments!$G$5:$G$2500,$K528)))</f>
      </c>
      <c r="F528" s="34">
        <f>IF(OR($D528="",$K528=""),"",SUMIF(Payments!$G$5:$G$2500,$K528,Payments!$D$5:$D$2500))</f>
      </c>
      <c r="G528" s="36">
        <f>IF($D528="","",ROUND($D528-IF($F528="",0,$F528),2))</f>
      </c>
      <c r="H528" s="35">
        <f>IF(OR($D528="",$K528=""),"",COUNTIF(Payments!$G$5:$G$2500,$K528))</f>
      </c>
      <c r="I528" s="37">
        <f>IF($D528="","",IF(OR($F528="",$F528=0),"Pending",IF(ROUND($F528-$D528,2)&gt;0,"Overpaid",IF(ROUND($F528-$D528,2)=0,"Paid","Partial"))))</f>
      </c>
      <c r="J528" s="29"/>
      <c r="K528">
        <f>IF($A528="","","#"&amp;TRIM(SUBSTITUTE(SUBSTITUTE(SUBSTITUTE(SUBSTITUTE(SUBSTITUTE(SUBSTITUTE($A528,"-",""),"(",""),")",""),".",""),"+","")," ","")))</f>
      </c>
    </row>
    <row r="529" spans="1:11" x14ac:dyDescent="0.3">
      <c r="A529" s="28"/>
      <c r="B529" s="29"/>
      <c r="C529" s="30"/>
      <c r="D529" s="31"/>
      <c r="E529" s="33">
        <f>IF(OR($D529="",$K529=""),"",IF(COUNTIFS(Payments!$G$5:$G$2500,$K529,Payments!$C$5:$C$2500,"&lt;&gt;")=0,"",_xlfn.MAXIFS(Payments!$C$5:$C$2500,Payments!$G$5:$G$2500,$K529)))</f>
      </c>
      <c r="F529" s="34">
        <f>IF(OR($D529="",$K529=""),"",SUMIF(Payments!$G$5:$G$2500,$K529,Payments!$D$5:$D$2500))</f>
      </c>
      <c r="G529" s="36">
        <f>IF($D529="","",ROUND($D529-IF($F529="",0,$F529),2))</f>
      </c>
      <c r="H529" s="35">
        <f>IF(OR($D529="",$K529=""),"",COUNTIF(Payments!$G$5:$G$2500,$K529))</f>
      </c>
      <c r="I529" s="37">
        <f>IF($D529="","",IF(OR($F529="",$F529=0),"Pending",IF(ROUND($F529-$D529,2)&gt;0,"Overpaid",IF(ROUND($F529-$D529,2)=0,"Paid","Partial"))))</f>
      </c>
      <c r="J529" s="29"/>
      <c r="K529">
        <f>IF($A529="","","#"&amp;TRIM(SUBSTITUTE(SUBSTITUTE(SUBSTITUTE(SUBSTITUTE(SUBSTITUTE(SUBSTITUTE($A529,"-",""),"(",""),")",""),".",""),"+","")," ","")))</f>
      </c>
    </row>
    <row r="530" spans="1:11" x14ac:dyDescent="0.3">
      <c r="A530" s="28"/>
      <c r="B530" s="29"/>
      <c r="C530" s="30"/>
      <c r="D530" s="31"/>
      <c r="E530" s="33">
        <f>IF(OR($D530="",$K530=""),"",IF(COUNTIFS(Payments!$G$5:$G$2500,$K530,Payments!$C$5:$C$2500,"&lt;&gt;")=0,"",_xlfn.MAXIFS(Payments!$C$5:$C$2500,Payments!$G$5:$G$2500,$K530)))</f>
      </c>
      <c r="F530" s="34">
        <f>IF(OR($D530="",$K530=""),"",SUMIF(Payments!$G$5:$G$2500,$K530,Payments!$D$5:$D$2500))</f>
      </c>
      <c r="G530" s="36">
        <f>IF($D530="","",ROUND($D530-IF($F530="",0,$F530),2))</f>
      </c>
      <c r="H530" s="35">
        <f>IF(OR($D530="",$K530=""),"",COUNTIF(Payments!$G$5:$G$2500,$K530))</f>
      </c>
      <c r="I530" s="37">
        <f>IF($D530="","",IF(OR($F530="",$F530=0),"Pending",IF(ROUND($F530-$D530,2)&gt;0,"Overpaid",IF(ROUND($F530-$D530,2)=0,"Paid","Partial"))))</f>
      </c>
      <c r="J530" s="29"/>
      <c r="K530">
        <f>IF($A530="","","#"&amp;TRIM(SUBSTITUTE(SUBSTITUTE(SUBSTITUTE(SUBSTITUTE(SUBSTITUTE(SUBSTITUTE($A530,"-",""),"(",""),")",""),".",""),"+","")," ","")))</f>
      </c>
    </row>
    <row r="531" spans="1:11" x14ac:dyDescent="0.3">
      <c r="A531" s="28"/>
      <c r="B531" s="29"/>
      <c r="C531" s="30"/>
      <c r="D531" s="31"/>
      <c r="E531" s="33">
        <f>IF(OR($D531="",$K531=""),"",IF(COUNTIFS(Payments!$G$5:$G$2500,$K531,Payments!$C$5:$C$2500,"&lt;&gt;")=0,"",_xlfn.MAXIFS(Payments!$C$5:$C$2500,Payments!$G$5:$G$2500,$K531)))</f>
      </c>
      <c r="F531" s="34">
        <f>IF(OR($D531="",$K531=""),"",SUMIF(Payments!$G$5:$G$2500,$K531,Payments!$D$5:$D$2500))</f>
      </c>
      <c r="G531" s="36">
        <f>IF($D531="","",ROUND($D531-IF($F531="",0,$F531),2))</f>
      </c>
      <c r="H531" s="35">
        <f>IF(OR($D531="",$K531=""),"",COUNTIF(Payments!$G$5:$G$2500,$K531))</f>
      </c>
      <c r="I531" s="37">
        <f>IF($D531="","",IF(OR($F531="",$F531=0),"Pending",IF(ROUND($F531-$D531,2)&gt;0,"Overpaid",IF(ROUND($F531-$D531,2)=0,"Paid","Partial"))))</f>
      </c>
      <c r="J531" s="29"/>
      <c r="K531">
        <f>IF($A531="","","#"&amp;TRIM(SUBSTITUTE(SUBSTITUTE(SUBSTITUTE(SUBSTITUTE(SUBSTITUTE(SUBSTITUTE($A531,"-",""),"(",""),")",""),".",""),"+","")," ","")))</f>
      </c>
    </row>
    <row r="532" spans="1:11" x14ac:dyDescent="0.3">
      <c r="A532" s="28"/>
      <c r="B532" s="29"/>
      <c r="C532" s="30"/>
      <c r="D532" s="31"/>
      <c r="E532" s="33">
        <f>IF(OR($D532="",$K532=""),"",IF(COUNTIFS(Payments!$G$5:$G$2500,$K532,Payments!$C$5:$C$2500,"&lt;&gt;")=0,"",_xlfn.MAXIFS(Payments!$C$5:$C$2500,Payments!$G$5:$G$2500,$K532)))</f>
      </c>
      <c r="F532" s="34">
        <f>IF(OR($D532="",$K532=""),"",SUMIF(Payments!$G$5:$G$2500,$K532,Payments!$D$5:$D$2500))</f>
      </c>
      <c r="G532" s="36">
        <f>IF($D532="","",ROUND($D532-IF($F532="",0,$F532),2))</f>
      </c>
      <c r="H532" s="35">
        <f>IF(OR($D532="",$K532=""),"",COUNTIF(Payments!$G$5:$G$2500,$K532))</f>
      </c>
      <c r="I532" s="37">
        <f>IF($D532="","",IF(OR($F532="",$F532=0),"Pending",IF(ROUND($F532-$D532,2)&gt;0,"Overpaid",IF(ROUND($F532-$D532,2)=0,"Paid","Partial"))))</f>
      </c>
      <c r="J532" s="29"/>
      <c r="K532">
        <f>IF($A532="","","#"&amp;TRIM(SUBSTITUTE(SUBSTITUTE(SUBSTITUTE(SUBSTITUTE(SUBSTITUTE(SUBSTITUTE($A532,"-",""),"(",""),")",""),".",""),"+","")," ","")))</f>
      </c>
    </row>
    <row r="533" spans="1:11" x14ac:dyDescent="0.3">
      <c r="A533" s="28"/>
      <c r="B533" s="29"/>
      <c r="C533" s="30"/>
      <c r="D533" s="31"/>
      <c r="E533" s="33">
        <f>IF(OR($D533="",$K533=""),"",IF(COUNTIFS(Payments!$G$5:$G$2500,$K533,Payments!$C$5:$C$2500,"&lt;&gt;")=0,"",_xlfn.MAXIFS(Payments!$C$5:$C$2500,Payments!$G$5:$G$2500,$K533)))</f>
      </c>
      <c r="F533" s="34">
        <f>IF(OR($D533="",$K533=""),"",SUMIF(Payments!$G$5:$G$2500,$K533,Payments!$D$5:$D$2500))</f>
      </c>
      <c r="G533" s="36">
        <f>IF($D533="","",ROUND($D533-IF($F533="",0,$F533),2))</f>
      </c>
      <c r="H533" s="35">
        <f>IF(OR($D533="",$K533=""),"",COUNTIF(Payments!$G$5:$G$2500,$K533))</f>
      </c>
      <c r="I533" s="37">
        <f>IF($D533="","",IF(OR($F533="",$F533=0),"Pending",IF(ROUND($F533-$D533,2)&gt;0,"Overpaid",IF(ROUND($F533-$D533,2)=0,"Paid","Partial"))))</f>
      </c>
      <c r="J533" s="29"/>
      <c r="K533">
        <f>IF($A533="","","#"&amp;TRIM(SUBSTITUTE(SUBSTITUTE(SUBSTITUTE(SUBSTITUTE(SUBSTITUTE(SUBSTITUTE($A533,"-",""),"(",""),")",""),".",""),"+","")," ","")))</f>
      </c>
    </row>
    <row r="534" spans="1:11" x14ac:dyDescent="0.3">
      <c r="A534" s="28"/>
      <c r="B534" s="29"/>
      <c r="C534" s="30"/>
      <c r="D534" s="31"/>
      <c r="E534" s="33">
        <f>IF(OR($D534="",$K534=""),"",IF(COUNTIFS(Payments!$G$5:$G$2500,$K534,Payments!$C$5:$C$2500,"&lt;&gt;")=0,"",_xlfn.MAXIFS(Payments!$C$5:$C$2500,Payments!$G$5:$G$2500,$K534)))</f>
      </c>
      <c r="F534" s="34">
        <f>IF(OR($D534="",$K534=""),"",SUMIF(Payments!$G$5:$G$2500,$K534,Payments!$D$5:$D$2500))</f>
      </c>
      <c r="G534" s="36">
        <f>IF($D534="","",ROUND($D534-IF($F534="",0,$F534),2))</f>
      </c>
      <c r="H534" s="35">
        <f>IF(OR($D534="",$K534=""),"",COUNTIF(Payments!$G$5:$G$2500,$K534))</f>
      </c>
      <c r="I534" s="37">
        <f>IF($D534="","",IF(OR($F534="",$F534=0),"Pending",IF(ROUND($F534-$D534,2)&gt;0,"Overpaid",IF(ROUND($F534-$D534,2)=0,"Paid","Partial"))))</f>
      </c>
      <c r="J534" s="29"/>
      <c r="K534">
        <f>IF($A534="","","#"&amp;TRIM(SUBSTITUTE(SUBSTITUTE(SUBSTITUTE(SUBSTITUTE(SUBSTITUTE(SUBSTITUTE($A534,"-",""),"(",""),")",""),".",""),"+","")," ","")))</f>
      </c>
    </row>
    <row r="535" spans="1:11" x14ac:dyDescent="0.3">
      <c r="A535" s="28"/>
      <c r="B535" s="29"/>
      <c r="C535" s="30"/>
      <c r="D535" s="31"/>
      <c r="E535" s="33">
        <f>IF(OR($D535="",$K535=""),"",IF(COUNTIFS(Payments!$G$5:$G$2500,$K535,Payments!$C$5:$C$2500,"&lt;&gt;")=0,"",_xlfn.MAXIFS(Payments!$C$5:$C$2500,Payments!$G$5:$G$2500,$K535)))</f>
      </c>
      <c r="F535" s="34">
        <f>IF(OR($D535="",$K535=""),"",SUMIF(Payments!$G$5:$G$2500,$K535,Payments!$D$5:$D$2500))</f>
      </c>
      <c r="G535" s="36">
        <f>IF($D535="","",ROUND($D535-IF($F535="",0,$F535),2))</f>
      </c>
      <c r="H535" s="35">
        <f>IF(OR($D535="",$K535=""),"",COUNTIF(Payments!$G$5:$G$2500,$K535))</f>
      </c>
      <c r="I535" s="37">
        <f>IF($D535="","",IF(OR($F535="",$F535=0),"Pending",IF(ROUND($F535-$D535,2)&gt;0,"Overpaid",IF(ROUND($F535-$D535,2)=0,"Paid","Partial"))))</f>
      </c>
      <c r="J535" s="29"/>
      <c r="K535">
        <f>IF($A535="","","#"&amp;TRIM(SUBSTITUTE(SUBSTITUTE(SUBSTITUTE(SUBSTITUTE(SUBSTITUTE(SUBSTITUTE($A535,"-",""),"(",""),")",""),".",""),"+","")," ","")))</f>
      </c>
    </row>
    <row r="536" spans="1:11" x14ac:dyDescent="0.3">
      <c r="A536" s="28"/>
      <c r="B536" s="29"/>
      <c r="C536" s="30"/>
      <c r="D536" s="31"/>
      <c r="E536" s="33">
        <f>IF(OR($D536="",$K536=""),"",IF(COUNTIFS(Payments!$G$5:$G$2500,$K536,Payments!$C$5:$C$2500,"&lt;&gt;")=0,"",_xlfn.MAXIFS(Payments!$C$5:$C$2500,Payments!$G$5:$G$2500,$K536)))</f>
      </c>
      <c r="F536" s="34">
        <f>IF(OR($D536="",$K536=""),"",SUMIF(Payments!$G$5:$G$2500,$K536,Payments!$D$5:$D$2500))</f>
      </c>
      <c r="G536" s="36">
        <f>IF($D536="","",ROUND($D536-IF($F536="",0,$F536),2))</f>
      </c>
      <c r="H536" s="35">
        <f>IF(OR($D536="",$K536=""),"",COUNTIF(Payments!$G$5:$G$2500,$K536))</f>
      </c>
      <c r="I536" s="37">
        <f>IF($D536="","",IF(OR($F536="",$F536=0),"Pending",IF(ROUND($F536-$D536,2)&gt;0,"Overpaid",IF(ROUND($F536-$D536,2)=0,"Paid","Partial"))))</f>
      </c>
      <c r="J536" s="29"/>
      <c r="K536">
        <f>IF($A536="","","#"&amp;TRIM(SUBSTITUTE(SUBSTITUTE(SUBSTITUTE(SUBSTITUTE(SUBSTITUTE(SUBSTITUTE($A536,"-",""),"(",""),")",""),".",""),"+","")," ","")))</f>
      </c>
    </row>
    <row r="537" spans="1:11" x14ac:dyDescent="0.3">
      <c r="A537" s="28"/>
      <c r="B537" s="29"/>
      <c r="C537" s="30"/>
      <c r="D537" s="31"/>
      <c r="E537" s="33">
        <f>IF(OR($D537="",$K537=""),"",IF(COUNTIFS(Payments!$G$5:$G$2500,$K537,Payments!$C$5:$C$2500,"&lt;&gt;")=0,"",_xlfn.MAXIFS(Payments!$C$5:$C$2500,Payments!$G$5:$G$2500,$K537)))</f>
      </c>
      <c r="F537" s="34">
        <f>IF(OR($D537="",$K537=""),"",SUMIF(Payments!$G$5:$G$2500,$K537,Payments!$D$5:$D$2500))</f>
      </c>
      <c r="G537" s="36">
        <f>IF($D537="","",ROUND($D537-IF($F537="",0,$F537),2))</f>
      </c>
      <c r="H537" s="35">
        <f>IF(OR($D537="",$K537=""),"",COUNTIF(Payments!$G$5:$G$2500,$K537))</f>
      </c>
      <c r="I537" s="37">
        <f>IF($D537="","",IF(OR($F537="",$F537=0),"Pending",IF(ROUND($F537-$D537,2)&gt;0,"Overpaid",IF(ROUND($F537-$D537,2)=0,"Paid","Partial"))))</f>
      </c>
      <c r="J537" s="29"/>
      <c r="K537">
        <f>IF($A537="","","#"&amp;TRIM(SUBSTITUTE(SUBSTITUTE(SUBSTITUTE(SUBSTITUTE(SUBSTITUTE(SUBSTITUTE($A537,"-",""),"(",""),")",""),".",""),"+","")," ","")))</f>
      </c>
    </row>
    <row r="538" spans="1:11" x14ac:dyDescent="0.3">
      <c r="A538" s="28"/>
      <c r="B538" s="29"/>
      <c r="C538" s="30"/>
      <c r="D538" s="31"/>
      <c r="E538" s="33">
        <f>IF(OR($D538="",$K538=""),"",IF(COUNTIFS(Payments!$G$5:$G$2500,$K538,Payments!$C$5:$C$2500,"&lt;&gt;")=0,"",_xlfn.MAXIFS(Payments!$C$5:$C$2500,Payments!$G$5:$G$2500,$K538)))</f>
      </c>
      <c r="F538" s="34">
        <f>IF(OR($D538="",$K538=""),"",SUMIF(Payments!$G$5:$G$2500,$K538,Payments!$D$5:$D$2500))</f>
      </c>
      <c r="G538" s="36">
        <f>IF($D538="","",ROUND($D538-IF($F538="",0,$F538),2))</f>
      </c>
      <c r="H538" s="35">
        <f>IF(OR($D538="",$K538=""),"",COUNTIF(Payments!$G$5:$G$2500,$K538))</f>
      </c>
      <c r="I538" s="37">
        <f>IF($D538="","",IF(OR($F538="",$F538=0),"Pending",IF(ROUND($F538-$D538,2)&gt;0,"Overpaid",IF(ROUND($F538-$D538,2)=0,"Paid","Partial"))))</f>
      </c>
      <c r="J538" s="29"/>
      <c r="K538">
        <f>IF($A538="","","#"&amp;TRIM(SUBSTITUTE(SUBSTITUTE(SUBSTITUTE(SUBSTITUTE(SUBSTITUTE(SUBSTITUTE($A538,"-",""),"(",""),")",""),".",""),"+","")," ","")))</f>
      </c>
    </row>
    <row r="539" spans="1:11" x14ac:dyDescent="0.3">
      <c r="A539" s="28"/>
      <c r="B539" s="29"/>
      <c r="C539" s="30"/>
      <c r="D539" s="31"/>
      <c r="E539" s="33">
        <f>IF(OR($D539="",$K539=""),"",IF(COUNTIFS(Payments!$G$5:$G$2500,$K539,Payments!$C$5:$C$2500,"&lt;&gt;")=0,"",_xlfn.MAXIFS(Payments!$C$5:$C$2500,Payments!$G$5:$G$2500,$K539)))</f>
      </c>
      <c r="F539" s="34">
        <f>IF(OR($D539="",$K539=""),"",SUMIF(Payments!$G$5:$G$2500,$K539,Payments!$D$5:$D$2500))</f>
      </c>
      <c r="G539" s="36">
        <f>IF($D539="","",ROUND($D539-IF($F539="",0,$F539),2))</f>
      </c>
      <c r="H539" s="35">
        <f>IF(OR($D539="",$K539=""),"",COUNTIF(Payments!$G$5:$G$2500,$K539))</f>
      </c>
      <c r="I539" s="37">
        <f>IF($D539="","",IF(OR($F539="",$F539=0),"Pending",IF(ROUND($F539-$D539,2)&gt;0,"Overpaid",IF(ROUND($F539-$D539,2)=0,"Paid","Partial"))))</f>
      </c>
      <c r="J539" s="29"/>
      <c r="K539">
        <f>IF($A539="","","#"&amp;TRIM(SUBSTITUTE(SUBSTITUTE(SUBSTITUTE(SUBSTITUTE(SUBSTITUTE(SUBSTITUTE($A539,"-",""),"(",""),")",""),".",""),"+","")," ","")))</f>
      </c>
    </row>
    <row r="540" spans="1:11" x14ac:dyDescent="0.3">
      <c r="A540" s="28"/>
      <c r="B540" s="29"/>
      <c r="C540" s="30"/>
      <c r="D540" s="31"/>
      <c r="E540" s="33">
        <f>IF(OR($D540="",$K540=""),"",IF(COUNTIFS(Payments!$G$5:$G$2500,$K540,Payments!$C$5:$C$2500,"&lt;&gt;")=0,"",_xlfn.MAXIFS(Payments!$C$5:$C$2500,Payments!$G$5:$G$2500,$K540)))</f>
      </c>
      <c r="F540" s="34">
        <f>IF(OR($D540="",$K540=""),"",SUMIF(Payments!$G$5:$G$2500,$K540,Payments!$D$5:$D$2500))</f>
      </c>
      <c r="G540" s="36">
        <f>IF($D540="","",ROUND($D540-IF($F540="",0,$F540),2))</f>
      </c>
      <c r="H540" s="35">
        <f>IF(OR($D540="",$K540=""),"",COUNTIF(Payments!$G$5:$G$2500,$K540))</f>
      </c>
      <c r="I540" s="37">
        <f>IF($D540="","",IF(OR($F540="",$F540=0),"Pending",IF(ROUND($F540-$D540,2)&gt;0,"Overpaid",IF(ROUND($F540-$D540,2)=0,"Paid","Partial"))))</f>
      </c>
      <c r="J540" s="29"/>
      <c r="K540">
        <f>IF($A540="","","#"&amp;TRIM(SUBSTITUTE(SUBSTITUTE(SUBSTITUTE(SUBSTITUTE(SUBSTITUTE(SUBSTITUTE($A540,"-",""),"(",""),")",""),".",""),"+","")," ","")))</f>
      </c>
    </row>
    <row r="541" spans="1:11" x14ac:dyDescent="0.3">
      <c r="A541" s="28"/>
      <c r="B541" s="29"/>
      <c r="C541" s="30"/>
      <c r="D541" s="31"/>
      <c r="E541" s="33">
        <f>IF(OR($D541="",$K541=""),"",IF(COUNTIFS(Payments!$G$5:$G$2500,$K541,Payments!$C$5:$C$2500,"&lt;&gt;")=0,"",_xlfn.MAXIFS(Payments!$C$5:$C$2500,Payments!$G$5:$G$2500,$K541)))</f>
      </c>
      <c r="F541" s="34">
        <f>IF(OR($D541="",$K541=""),"",SUMIF(Payments!$G$5:$G$2500,$K541,Payments!$D$5:$D$2500))</f>
      </c>
      <c r="G541" s="36">
        <f>IF($D541="","",ROUND($D541-IF($F541="",0,$F541),2))</f>
      </c>
      <c r="H541" s="35">
        <f>IF(OR($D541="",$K541=""),"",COUNTIF(Payments!$G$5:$G$2500,$K541))</f>
      </c>
      <c r="I541" s="37">
        <f>IF($D541="","",IF(OR($F541="",$F541=0),"Pending",IF(ROUND($F541-$D541,2)&gt;0,"Overpaid",IF(ROUND($F541-$D541,2)=0,"Paid","Partial"))))</f>
      </c>
      <c r="J541" s="29"/>
      <c r="K541">
        <f>IF($A541="","","#"&amp;TRIM(SUBSTITUTE(SUBSTITUTE(SUBSTITUTE(SUBSTITUTE(SUBSTITUTE(SUBSTITUTE($A541,"-",""),"(",""),")",""),".",""),"+","")," ","")))</f>
      </c>
    </row>
    <row r="542" spans="1:11" x14ac:dyDescent="0.3">
      <c r="A542" s="28"/>
      <c r="B542" s="29"/>
      <c r="C542" s="30"/>
      <c r="D542" s="31"/>
      <c r="E542" s="33">
        <f>IF(OR($D542="",$K542=""),"",IF(COUNTIFS(Payments!$G$5:$G$2500,$K542,Payments!$C$5:$C$2500,"&lt;&gt;")=0,"",_xlfn.MAXIFS(Payments!$C$5:$C$2500,Payments!$G$5:$G$2500,$K542)))</f>
      </c>
      <c r="F542" s="34">
        <f>IF(OR($D542="",$K542=""),"",SUMIF(Payments!$G$5:$G$2500,$K542,Payments!$D$5:$D$2500))</f>
      </c>
      <c r="G542" s="36">
        <f>IF($D542="","",ROUND($D542-IF($F542="",0,$F542),2))</f>
      </c>
      <c r="H542" s="35">
        <f>IF(OR($D542="",$K542=""),"",COUNTIF(Payments!$G$5:$G$2500,$K542))</f>
      </c>
      <c r="I542" s="37">
        <f>IF($D542="","",IF(OR($F542="",$F542=0),"Pending",IF(ROUND($F542-$D542,2)&gt;0,"Overpaid",IF(ROUND($F542-$D542,2)=0,"Paid","Partial"))))</f>
      </c>
      <c r="J542" s="29"/>
      <c r="K542">
        <f>IF($A542="","","#"&amp;TRIM(SUBSTITUTE(SUBSTITUTE(SUBSTITUTE(SUBSTITUTE(SUBSTITUTE(SUBSTITUTE($A542,"-",""),"(",""),")",""),".",""),"+","")," ","")))</f>
      </c>
    </row>
    <row r="543" spans="1:11" x14ac:dyDescent="0.3">
      <c r="A543" s="28"/>
      <c r="B543" s="29"/>
      <c r="C543" s="30"/>
      <c r="D543" s="31"/>
      <c r="E543" s="33">
        <f>IF(OR($D543="",$K543=""),"",IF(COUNTIFS(Payments!$G$5:$G$2500,$K543,Payments!$C$5:$C$2500,"&lt;&gt;")=0,"",_xlfn.MAXIFS(Payments!$C$5:$C$2500,Payments!$G$5:$G$2500,$K543)))</f>
      </c>
      <c r="F543" s="34">
        <f>IF(OR($D543="",$K543=""),"",SUMIF(Payments!$G$5:$G$2500,$K543,Payments!$D$5:$D$2500))</f>
      </c>
      <c r="G543" s="36">
        <f>IF($D543="","",ROUND($D543-IF($F543="",0,$F543),2))</f>
      </c>
      <c r="H543" s="35">
        <f>IF(OR($D543="",$K543=""),"",COUNTIF(Payments!$G$5:$G$2500,$K543))</f>
      </c>
      <c r="I543" s="37">
        <f>IF($D543="","",IF(OR($F543="",$F543=0),"Pending",IF(ROUND($F543-$D543,2)&gt;0,"Overpaid",IF(ROUND($F543-$D543,2)=0,"Paid","Partial"))))</f>
      </c>
      <c r="J543" s="29"/>
      <c r="K543">
        <f>IF($A543="","","#"&amp;TRIM(SUBSTITUTE(SUBSTITUTE(SUBSTITUTE(SUBSTITUTE(SUBSTITUTE(SUBSTITUTE($A543,"-",""),"(",""),")",""),".",""),"+","")," ","")))</f>
      </c>
    </row>
    <row r="544" spans="1:11" x14ac:dyDescent="0.3">
      <c r="A544" s="28"/>
      <c r="B544" s="29"/>
      <c r="C544" s="30"/>
      <c r="D544" s="31"/>
      <c r="E544" s="33">
        <f>IF(OR($D544="",$K544=""),"",IF(COUNTIFS(Payments!$G$5:$G$2500,$K544,Payments!$C$5:$C$2500,"&lt;&gt;")=0,"",_xlfn.MAXIFS(Payments!$C$5:$C$2500,Payments!$G$5:$G$2500,$K544)))</f>
      </c>
      <c r="F544" s="34">
        <f>IF(OR($D544="",$K544=""),"",SUMIF(Payments!$G$5:$G$2500,$K544,Payments!$D$5:$D$2500))</f>
      </c>
      <c r="G544" s="36">
        <f>IF($D544="","",ROUND($D544-IF($F544="",0,$F544),2))</f>
      </c>
      <c r="H544" s="35">
        <f>IF(OR($D544="",$K544=""),"",COUNTIF(Payments!$G$5:$G$2500,$K544))</f>
      </c>
      <c r="I544" s="37">
        <f>IF($D544="","",IF(OR($F544="",$F544=0),"Pending",IF(ROUND($F544-$D544,2)&gt;0,"Overpaid",IF(ROUND($F544-$D544,2)=0,"Paid","Partial"))))</f>
      </c>
      <c r="J544" s="29"/>
      <c r="K544">
        <f>IF($A544="","","#"&amp;TRIM(SUBSTITUTE(SUBSTITUTE(SUBSTITUTE(SUBSTITUTE(SUBSTITUTE(SUBSTITUTE($A544,"-",""),"(",""),")",""),".",""),"+","")," ","")))</f>
      </c>
    </row>
    <row r="545" spans="1:11" x14ac:dyDescent="0.3">
      <c r="A545" s="28"/>
      <c r="B545" s="29"/>
      <c r="C545" s="30"/>
      <c r="D545" s="31"/>
      <c r="E545" s="33">
        <f>IF(OR($D545="",$K545=""),"",IF(COUNTIFS(Payments!$G$5:$G$2500,$K545,Payments!$C$5:$C$2500,"&lt;&gt;")=0,"",_xlfn.MAXIFS(Payments!$C$5:$C$2500,Payments!$G$5:$G$2500,$K545)))</f>
      </c>
      <c r="F545" s="34">
        <f>IF(OR($D545="",$K545=""),"",SUMIF(Payments!$G$5:$G$2500,$K545,Payments!$D$5:$D$2500))</f>
      </c>
      <c r="G545" s="36">
        <f>IF($D545="","",ROUND($D545-IF($F545="",0,$F545),2))</f>
      </c>
      <c r="H545" s="35">
        <f>IF(OR($D545="",$K545=""),"",COUNTIF(Payments!$G$5:$G$2500,$K545))</f>
      </c>
      <c r="I545" s="37">
        <f>IF($D545="","",IF(OR($F545="",$F545=0),"Pending",IF(ROUND($F545-$D545,2)&gt;0,"Overpaid",IF(ROUND($F545-$D545,2)=0,"Paid","Partial"))))</f>
      </c>
      <c r="J545" s="29"/>
      <c r="K545">
        <f>IF($A545="","","#"&amp;TRIM(SUBSTITUTE(SUBSTITUTE(SUBSTITUTE(SUBSTITUTE(SUBSTITUTE(SUBSTITUTE($A545,"-",""),"(",""),")",""),".",""),"+","")," ","")))</f>
      </c>
    </row>
    <row r="546" spans="1:11" x14ac:dyDescent="0.3">
      <c r="A546" s="28"/>
      <c r="B546" s="29"/>
      <c r="C546" s="30"/>
      <c r="D546" s="31"/>
      <c r="E546" s="33">
        <f>IF(OR($D546="",$K546=""),"",IF(COUNTIFS(Payments!$G$5:$G$2500,$K546,Payments!$C$5:$C$2500,"&lt;&gt;")=0,"",_xlfn.MAXIFS(Payments!$C$5:$C$2500,Payments!$G$5:$G$2500,$K546)))</f>
      </c>
      <c r="F546" s="34">
        <f>IF(OR($D546="",$K546=""),"",SUMIF(Payments!$G$5:$G$2500,$K546,Payments!$D$5:$D$2500))</f>
      </c>
      <c r="G546" s="36">
        <f>IF($D546="","",ROUND($D546-IF($F546="",0,$F546),2))</f>
      </c>
      <c r="H546" s="35">
        <f>IF(OR($D546="",$K546=""),"",COUNTIF(Payments!$G$5:$G$2500,$K546))</f>
      </c>
      <c r="I546" s="37">
        <f>IF($D546="","",IF(OR($F546="",$F546=0),"Pending",IF(ROUND($F546-$D546,2)&gt;0,"Overpaid",IF(ROUND($F546-$D546,2)=0,"Paid","Partial"))))</f>
      </c>
      <c r="J546" s="29"/>
      <c r="K546">
        <f>IF($A546="","","#"&amp;TRIM(SUBSTITUTE(SUBSTITUTE(SUBSTITUTE(SUBSTITUTE(SUBSTITUTE(SUBSTITUTE($A546,"-",""),"(",""),")",""),".",""),"+","")," ","")))</f>
      </c>
    </row>
    <row r="547" spans="1:11" x14ac:dyDescent="0.3">
      <c r="A547" s="28"/>
      <c r="B547" s="29"/>
      <c r="C547" s="30"/>
      <c r="D547" s="31"/>
      <c r="E547" s="33">
        <f>IF(OR($D547="",$K547=""),"",IF(COUNTIFS(Payments!$G$5:$G$2500,$K547,Payments!$C$5:$C$2500,"&lt;&gt;")=0,"",_xlfn.MAXIFS(Payments!$C$5:$C$2500,Payments!$G$5:$G$2500,$K547)))</f>
      </c>
      <c r="F547" s="34">
        <f>IF(OR($D547="",$K547=""),"",SUMIF(Payments!$G$5:$G$2500,$K547,Payments!$D$5:$D$2500))</f>
      </c>
      <c r="G547" s="36">
        <f>IF($D547="","",ROUND($D547-IF($F547="",0,$F547),2))</f>
      </c>
      <c r="H547" s="35">
        <f>IF(OR($D547="",$K547=""),"",COUNTIF(Payments!$G$5:$G$2500,$K547))</f>
      </c>
      <c r="I547" s="37">
        <f>IF($D547="","",IF(OR($F547="",$F547=0),"Pending",IF(ROUND($F547-$D547,2)&gt;0,"Overpaid",IF(ROUND($F547-$D547,2)=0,"Paid","Partial"))))</f>
      </c>
      <c r="J547" s="29"/>
      <c r="K547">
        <f>IF($A547="","","#"&amp;TRIM(SUBSTITUTE(SUBSTITUTE(SUBSTITUTE(SUBSTITUTE(SUBSTITUTE(SUBSTITUTE($A547,"-",""),"(",""),")",""),".",""),"+","")," ","")))</f>
      </c>
    </row>
    <row r="548" spans="1:11" x14ac:dyDescent="0.3">
      <c r="A548" s="28"/>
      <c r="B548" s="29"/>
      <c r="C548" s="30"/>
      <c r="D548" s="31"/>
      <c r="E548" s="33">
        <f>IF(OR($D548="",$K548=""),"",IF(COUNTIFS(Payments!$G$5:$G$2500,$K548,Payments!$C$5:$C$2500,"&lt;&gt;")=0,"",_xlfn.MAXIFS(Payments!$C$5:$C$2500,Payments!$G$5:$G$2500,$K548)))</f>
      </c>
      <c r="F548" s="34">
        <f>IF(OR($D548="",$K548=""),"",SUMIF(Payments!$G$5:$G$2500,$K548,Payments!$D$5:$D$2500))</f>
      </c>
      <c r="G548" s="36">
        <f>IF($D548="","",ROUND($D548-IF($F548="",0,$F548),2))</f>
      </c>
      <c r="H548" s="35">
        <f>IF(OR($D548="",$K548=""),"",COUNTIF(Payments!$G$5:$G$2500,$K548))</f>
      </c>
      <c r="I548" s="37">
        <f>IF($D548="","",IF(OR($F548="",$F548=0),"Pending",IF(ROUND($F548-$D548,2)&gt;0,"Overpaid",IF(ROUND($F548-$D548,2)=0,"Paid","Partial"))))</f>
      </c>
      <c r="J548" s="29"/>
      <c r="K548">
        <f>IF($A548="","","#"&amp;TRIM(SUBSTITUTE(SUBSTITUTE(SUBSTITUTE(SUBSTITUTE(SUBSTITUTE(SUBSTITUTE($A548,"-",""),"(",""),")",""),".",""),"+","")," ","")))</f>
      </c>
    </row>
    <row r="549" spans="1:11" x14ac:dyDescent="0.3">
      <c r="A549" s="28"/>
      <c r="B549" s="29"/>
      <c r="C549" s="30"/>
      <c r="D549" s="31"/>
      <c r="E549" s="33">
        <f>IF(OR($D549="",$K549=""),"",IF(COUNTIFS(Payments!$G$5:$G$2500,$K549,Payments!$C$5:$C$2500,"&lt;&gt;")=0,"",_xlfn.MAXIFS(Payments!$C$5:$C$2500,Payments!$G$5:$G$2500,$K549)))</f>
      </c>
      <c r="F549" s="34">
        <f>IF(OR($D549="",$K549=""),"",SUMIF(Payments!$G$5:$G$2500,$K549,Payments!$D$5:$D$2500))</f>
      </c>
      <c r="G549" s="36">
        <f>IF($D549="","",ROUND($D549-IF($F549="",0,$F549),2))</f>
      </c>
      <c r="H549" s="35">
        <f>IF(OR($D549="",$K549=""),"",COUNTIF(Payments!$G$5:$G$2500,$K549))</f>
      </c>
      <c r="I549" s="37">
        <f>IF($D549="","",IF(OR($F549="",$F549=0),"Pending",IF(ROUND($F549-$D549,2)&gt;0,"Overpaid",IF(ROUND($F549-$D549,2)=0,"Paid","Partial"))))</f>
      </c>
      <c r="J549" s="29"/>
      <c r="K549">
        <f>IF($A549="","","#"&amp;TRIM(SUBSTITUTE(SUBSTITUTE(SUBSTITUTE(SUBSTITUTE(SUBSTITUTE(SUBSTITUTE($A549,"-",""),"(",""),")",""),".",""),"+","")," ","")))</f>
      </c>
    </row>
    <row r="550" spans="1:11" x14ac:dyDescent="0.3">
      <c r="A550" s="28"/>
      <c r="B550" s="29"/>
      <c r="C550" s="30"/>
      <c r="D550" s="31"/>
      <c r="E550" s="33">
        <f>IF(OR($D550="",$K550=""),"",IF(COUNTIFS(Payments!$G$5:$G$2500,$K550,Payments!$C$5:$C$2500,"&lt;&gt;")=0,"",_xlfn.MAXIFS(Payments!$C$5:$C$2500,Payments!$G$5:$G$2500,$K550)))</f>
      </c>
      <c r="F550" s="34">
        <f>IF(OR($D550="",$K550=""),"",SUMIF(Payments!$G$5:$G$2500,$K550,Payments!$D$5:$D$2500))</f>
      </c>
      <c r="G550" s="36">
        <f>IF($D550="","",ROUND($D550-IF($F550="",0,$F550),2))</f>
      </c>
      <c r="H550" s="35">
        <f>IF(OR($D550="",$K550=""),"",COUNTIF(Payments!$G$5:$G$2500,$K550))</f>
      </c>
      <c r="I550" s="37">
        <f>IF($D550="","",IF(OR($F550="",$F550=0),"Pending",IF(ROUND($F550-$D550,2)&gt;0,"Overpaid",IF(ROUND($F550-$D550,2)=0,"Paid","Partial"))))</f>
      </c>
      <c r="J550" s="29"/>
      <c r="K550">
        <f>IF($A550="","","#"&amp;TRIM(SUBSTITUTE(SUBSTITUTE(SUBSTITUTE(SUBSTITUTE(SUBSTITUTE(SUBSTITUTE($A550,"-",""),"(",""),")",""),".",""),"+","")," ","")))</f>
      </c>
    </row>
    <row r="551" spans="1:11" x14ac:dyDescent="0.3">
      <c r="A551" s="28"/>
      <c r="B551" s="29"/>
      <c r="C551" s="30"/>
      <c r="D551" s="31"/>
      <c r="E551" s="33">
        <f>IF(OR($D551="",$K551=""),"",IF(COUNTIFS(Payments!$G$5:$G$2500,$K551,Payments!$C$5:$C$2500,"&lt;&gt;")=0,"",_xlfn.MAXIFS(Payments!$C$5:$C$2500,Payments!$G$5:$G$2500,$K551)))</f>
      </c>
      <c r="F551" s="34">
        <f>IF(OR($D551="",$K551=""),"",SUMIF(Payments!$G$5:$G$2500,$K551,Payments!$D$5:$D$2500))</f>
      </c>
      <c r="G551" s="36">
        <f>IF($D551="","",ROUND($D551-IF($F551="",0,$F551),2))</f>
      </c>
      <c r="H551" s="35">
        <f>IF(OR($D551="",$K551=""),"",COUNTIF(Payments!$G$5:$G$2500,$K551))</f>
      </c>
      <c r="I551" s="37">
        <f>IF($D551="","",IF(OR($F551="",$F551=0),"Pending",IF(ROUND($F551-$D551,2)&gt;0,"Overpaid",IF(ROUND($F551-$D551,2)=0,"Paid","Partial"))))</f>
      </c>
      <c r="J551" s="29"/>
      <c r="K551">
        <f>IF($A551="","","#"&amp;TRIM(SUBSTITUTE(SUBSTITUTE(SUBSTITUTE(SUBSTITUTE(SUBSTITUTE(SUBSTITUTE($A551,"-",""),"(",""),")",""),".",""),"+","")," ","")))</f>
      </c>
    </row>
    <row r="552" spans="1:11" x14ac:dyDescent="0.3">
      <c r="A552" s="28"/>
      <c r="B552" s="29"/>
      <c r="C552" s="30"/>
      <c r="D552" s="31"/>
      <c r="E552" s="33">
        <f>IF(OR($D552="",$K552=""),"",IF(COUNTIFS(Payments!$G$5:$G$2500,$K552,Payments!$C$5:$C$2500,"&lt;&gt;")=0,"",_xlfn.MAXIFS(Payments!$C$5:$C$2500,Payments!$G$5:$G$2500,$K552)))</f>
      </c>
      <c r="F552" s="34">
        <f>IF(OR($D552="",$K552=""),"",SUMIF(Payments!$G$5:$G$2500,$K552,Payments!$D$5:$D$2500))</f>
      </c>
      <c r="G552" s="36">
        <f>IF($D552="","",ROUND($D552-IF($F552="",0,$F552),2))</f>
      </c>
      <c r="H552" s="35">
        <f>IF(OR($D552="",$K552=""),"",COUNTIF(Payments!$G$5:$G$2500,$K552))</f>
      </c>
      <c r="I552" s="37">
        <f>IF($D552="","",IF(OR($F552="",$F552=0),"Pending",IF(ROUND($F552-$D552,2)&gt;0,"Overpaid",IF(ROUND($F552-$D552,2)=0,"Paid","Partial"))))</f>
      </c>
      <c r="J552" s="29"/>
      <c r="K552">
        <f>IF($A552="","","#"&amp;TRIM(SUBSTITUTE(SUBSTITUTE(SUBSTITUTE(SUBSTITUTE(SUBSTITUTE(SUBSTITUTE($A552,"-",""),"(",""),")",""),".",""),"+","")," ","")))</f>
      </c>
    </row>
    <row r="553" spans="1:11" x14ac:dyDescent="0.3">
      <c r="A553" s="28"/>
      <c r="B553" s="29"/>
      <c r="C553" s="30"/>
      <c r="D553" s="31"/>
      <c r="E553" s="33">
        <f>IF(OR($D553="",$K553=""),"",IF(COUNTIFS(Payments!$G$5:$G$2500,$K553,Payments!$C$5:$C$2500,"&lt;&gt;")=0,"",_xlfn.MAXIFS(Payments!$C$5:$C$2500,Payments!$G$5:$G$2500,$K553)))</f>
      </c>
      <c r="F553" s="34">
        <f>IF(OR($D553="",$K553=""),"",SUMIF(Payments!$G$5:$G$2500,$K553,Payments!$D$5:$D$2500))</f>
      </c>
      <c r="G553" s="36">
        <f>IF($D553="","",ROUND($D553-IF($F553="",0,$F553),2))</f>
      </c>
      <c r="H553" s="35">
        <f>IF(OR($D553="",$K553=""),"",COUNTIF(Payments!$G$5:$G$2500,$K553))</f>
      </c>
      <c r="I553" s="37">
        <f>IF($D553="","",IF(OR($F553="",$F553=0),"Pending",IF(ROUND($F553-$D553,2)&gt;0,"Overpaid",IF(ROUND($F553-$D553,2)=0,"Paid","Partial"))))</f>
      </c>
      <c r="J553" s="29"/>
      <c r="K553">
        <f>IF($A553="","","#"&amp;TRIM(SUBSTITUTE(SUBSTITUTE(SUBSTITUTE(SUBSTITUTE(SUBSTITUTE(SUBSTITUTE($A553,"-",""),"(",""),")",""),".",""),"+","")," ","")))</f>
      </c>
    </row>
    <row r="554" spans="1:11" x14ac:dyDescent="0.3">
      <c r="A554" s="28"/>
      <c r="B554" s="29"/>
      <c r="C554" s="30"/>
      <c r="D554" s="31"/>
      <c r="E554" s="33">
        <f>IF(OR($D554="",$K554=""),"",IF(COUNTIFS(Payments!$G$5:$G$2500,$K554,Payments!$C$5:$C$2500,"&lt;&gt;")=0,"",_xlfn.MAXIFS(Payments!$C$5:$C$2500,Payments!$G$5:$G$2500,$K554)))</f>
      </c>
      <c r="F554" s="34">
        <f>IF(OR($D554="",$K554=""),"",SUMIF(Payments!$G$5:$G$2500,$K554,Payments!$D$5:$D$2500))</f>
      </c>
      <c r="G554" s="36">
        <f>IF($D554="","",ROUND($D554-IF($F554="",0,$F554),2))</f>
      </c>
      <c r="H554" s="35">
        <f>IF(OR($D554="",$K554=""),"",COUNTIF(Payments!$G$5:$G$2500,$K554))</f>
      </c>
      <c r="I554" s="37">
        <f>IF($D554="","",IF(OR($F554="",$F554=0),"Pending",IF(ROUND($F554-$D554,2)&gt;0,"Overpaid",IF(ROUND($F554-$D554,2)=0,"Paid","Partial"))))</f>
      </c>
      <c r="J554" s="29"/>
      <c r="K554">
        <f>IF($A554="","","#"&amp;TRIM(SUBSTITUTE(SUBSTITUTE(SUBSTITUTE(SUBSTITUTE(SUBSTITUTE(SUBSTITUTE($A554,"-",""),"(",""),")",""),".",""),"+","")," ","")))</f>
      </c>
    </row>
    <row r="555" spans="1:11" x14ac:dyDescent="0.3">
      <c r="A555" s="28"/>
      <c r="B555" s="29"/>
      <c r="C555" s="30"/>
      <c r="D555" s="31"/>
      <c r="E555" s="33">
        <f>IF(OR($D555="",$K555=""),"",IF(COUNTIFS(Payments!$G$5:$G$2500,$K555,Payments!$C$5:$C$2500,"&lt;&gt;")=0,"",_xlfn.MAXIFS(Payments!$C$5:$C$2500,Payments!$G$5:$G$2500,$K555)))</f>
      </c>
      <c r="F555" s="34">
        <f>IF(OR($D555="",$K555=""),"",SUMIF(Payments!$G$5:$G$2500,$K555,Payments!$D$5:$D$2500))</f>
      </c>
      <c r="G555" s="36">
        <f>IF($D555="","",ROUND($D555-IF($F555="",0,$F555),2))</f>
      </c>
      <c r="H555" s="35">
        <f>IF(OR($D555="",$K555=""),"",COUNTIF(Payments!$G$5:$G$2500,$K555))</f>
      </c>
      <c r="I555" s="37">
        <f>IF($D555="","",IF(OR($F555="",$F555=0),"Pending",IF(ROUND($F555-$D555,2)&gt;0,"Overpaid",IF(ROUND($F555-$D555,2)=0,"Paid","Partial"))))</f>
      </c>
      <c r="J555" s="29"/>
      <c r="K555">
        <f>IF($A555="","","#"&amp;TRIM(SUBSTITUTE(SUBSTITUTE(SUBSTITUTE(SUBSTITUTE(SUBSTITUTE(SUBSTITUTE($A555,"-",""),"(",""),")",""),".",""),"+","")," ","")))</f>
      </c>
    </row>
    <row r="556" spans="1:11" x14ac:dyDescent="0.3">
      <c r="A556" s="28"/>
      <c r="B556" s="29"/>
      <c r="C556" s="30"/>
      <c r="D556" s="31"/>
      <c r="E556" s="33">
        <f>IF(OR($D556="",$K556=""),"",IF(COUNTIFS(Payments!$G$5:$G$2500,$K556,Payments!$C$5:$C$2500,"&lt;&gt;")=0,"",_xlfn.MAXIFS(Payments!$C$5:$C$2500,Payments!$G$5:$G$2500,$K556)))</f>
      </c>
      <c r="F556" s="34">
        <f>IF(OR($D556="",$K556=""),"",SUMIF(Payments!$G$5:$G$2500,$K556,Payments!$D$5:$D$2500))</f>
      </c>
      <c r="G556" s="36">
        <f>IF($D556="","",ROUND($D556-IF($F556="",0,$F556),2))</f>
      </c>
      <c r="H556" s="35">
        <f>IF(OR($D556="",$K556=""),"",COUNTIF(Payments!$G$5:$G$2500,$K556))</f>
      </c>
      <c r="I556" s="37">
        <f>IF($D556="","",IF(OR($F556="",$F556=0),"Pending",IF(ROUND($F556-$D556,2)&gt;0,"Overpaid",IF(ROUND($F556-$D556,2)=0,"Paid","Partial"))))</f>
      </c>
      <c r="J556" s="29"/>
      <c r="K556">
        <f>IF($A556="","","#"&amp;TRIM(SUBSTITUTE(SUBSTITUTE(SUBSTITUTE(SUBSTITUTE(SUBSTITUTE(SUBSTITUTE($A556,"-",""),"(",""),")",""),".",""),"+","")," ","")))</f>
      </c>
    </row>
    <row r="557" spans="1:11" x14ac:dyDescent="0.3">
      <c r="A557" s="28"/>
      <c r="B557" s="29"/>
      <c r="C557" s="30"/>
      <c r="D557" s="31"/>
      <c r="E557" s="33">
        <f>IF(OR($D557="",$K557=""),"",IF(COUNTIFS(Payments!$G$5:$G$2500,$K557,Payments!$C$5:$C$2500,"&lt;&gt;")=0,"",_xlfn.MAXIFS(Payments!$C$5:$C$2500,Payments!$G$5:$G$2500,$K557)))</f>
      </c>
      <c r="F557" s="34">
        <f>IF(OR($D557="",$K557=""),"",SUMIF(Payments!$G$5:$G$2500,$K557,Payments!$D$5:$D$2500))</f>
      </c>
      <c r="G557" s="36">
        <f>IF($D557="","",ROUND($D557-IF($F557="",0,$F557),2))</f>
      </c>
      <c r="H557" s="35">
        <f>IF(OR($D557="",$K557=""),"",COUNTIF(Payments!$G$5:$G$2500,$K557))</f>
      </c>
      <c r="I557" s="37">
        <f>IF($D557="","",IF(OR($F557="",$F557=0),"Pending",IF(ROUND($F557-$D557,2)&gt;0,"Overpaid",IF(ROUND($F557-$D557,2)=0,"Paid","Partial"))))</f>
      </c>
      <c r="J557" s="29"/>
      <c r="K557">
        <f>IF($A557="","","#"&amp;TRIM(SUBSTITUTE(SUBSTITUTE(SUBSTITUTE(SUBSTITUTE(SUBSTITUTE(SUBSTITUTE($A557,"-",""),"(",""),")",""),".",""),"+","")," ","")))</f>
      </c>
    </row>
    <row r="558" spans="1:11" x14ac:dyDescent="0.3">
      <c r="A558" s="28"/>
      <c r="B558" s="29"/>
      <c r="C558" s="30"/>
      <c r="D558" s="31"/>
      <c r="E558" s="33">
        <f>IF(OR($D558="",$K558=""),"",IF(COUNTIFS(Payments!$G$5:$G$2500,$K558,Payments!$C$5:$C$2500,"&lt;&gt;")=0,"",_xlfn.MAXIFS(Payments!$C$5:$C$2500,Payments!$G$5:$G$2500,$K558)))</f>
      </c>
      <c r="F558" s="34">
        <f>IF(OR($D558="",$K558=""),"",SUMIF(Payments!$G$5:$G$2500,$K558,Payments!$D$5:$D$2500))</f>
      </c>
      <c r="G558" s="36">
        <f>IF($D558="","",ROUND($D558-IF($F558="",0,$F558),2))</f>
      </c>
      <c r="H558" s="35">
        <f>IF(OR($D558="",$K558=""),"",COUNTIF(Payments!$G$5:$G$2500,$K558))</f>
      </c>
      <c r="I558" s="37">
        <f>IF($D558="","",IF(OR($F558="",$F558=0),"Pending",IF(ROUND($F558-$D558,2)&gt;0,"Overpaid",IF(ROUND($F558-$D558,2)=0,"Paid","Partial"))))</f>
      </c>
      <c r="J558" s="29"/>
      <c r="K558">
        <f>IF($A558="","","#"&amp;TRIM(SUBSTITUTE(SUBSTITUTE(SUBSTITUTE(SUBSTITUTE(SUBSTITUTE(SUBSTITUTE($A558,"-",""),"(",""),")",""),".",""),"+","")," ","")))</f>
      </c>
    </row>
    <row r="559" spans="1:11" x14ac:dyDescent="0.3">
      <c r="A559" s="28"/>
      <c r="B559" s="29"/>
      <c r="C559" s="30"/>
      <c r="D559" s="31"/>
      <c r="E559" s="33">
        <f>IF(OR($D559="",$K559=""),"",IF(COUNTIFS(Payments!$G$5:$G$2500,$K559,Payments!$C$5:$C$2500,"&lt;&gt;")=0,"",_xlfn.MAXIFS(Payments!$C$5:$C$2500,Payments!$G$5:$G$2500,$K559)))</f>
      </c>
      <c r="F559" s="34">
        <f>IF(OR($D559="",$K559=""),"",SUMIF(Payments!$G$5:$G$2500,$K559,Payments!$D$5:$D$2500))</f>
      </c>
      <c r="G559" s="36">
        <f>IF($D559="","",ROUND($D559-IF($F559="",0,$F559),2))</f>
      </c>
      <c r="H559" s="35">
        <f>IF(OR($D559="",$K559=""),"",COUNTIF(Payments!$G$5:$G$2500,$K559))</f>
      </c>
      <c r="I559" s="37">
        <f>IF($D559="","",IF(OR($F559="",$F559=0),"Pending",IF(ROUND($F559-$D559,2)&gt;0,"Overpaid",IF(ROUND($F559-$D559,2)=0,"Paid","Partial"))))</f>
      </c>
      <c r="J559" s="29"/>
      <c r="K559">
        <f>IF($A559="","","#"&amp;TRIM(SUBSTITUTE(SUBSTITUTE(SUBSTITUTE(SUBSTITUTE(SUBSTITUTE(SUBSTITUTE($A559,"-",""),"(",""),")",""),".",""),"+","")," ","")))</f>
      </c>
    </row>
    <row r="560" spans="1:11" x14ac:dyDescent="0.3">
      <c r="A560" s="28"/>
      <c r="B560" s="29"/>
      <c r="C560" s="30"/>
      <c r="D560" s="31"/>
      <c r="E560" s="33">
        <f>IF(OR($D560="",$K560=""),"",IF(COUNTIFS(Payments!$G$5:$G$2500,$K560,Payments!$C$5:$C$2500,"&lt;&gt;")=0,"",_xlfn.MAXIFS(Payments!$C$5:$C$2500,Payments!$G$5:$G$2500,$K560)))</f>
      </c>
      <c r="F560" s="34">
        <f>IF(OR($D560="",$K560=""),"",SUMIF(Payments!$G$5:$G$2500,$K560,Payments!$D$5:$D$2500))</f>
      </c>
      <c r="G560" s="36">
        <f>IF($D560="","",ROUND($D560-IF($F560="",0,$F560),2))</f>
      </c>
      <c r="H560" s="35">
        <f>IF(OR($D560="",$K560=""),"",COUNTIF(Payments!$G$5:$G$2500,$K560))</f>
      </c>
      <c r="I560" s="37">
        <f>IF($D560="","",IF(OR($F560="",$F560=0),"Pending",IF(ROUND($F560-$D560,2)&gt;0,"Overpaid",IF(ROUND($F560-$D560,2)=0,"Paid","Partial"))))</f>
      </c>
      <c r="J560" s="29"/>
      <c r="K560">
        <f>IF($A560="","","#"&amp;TRIM(SUBSTITUTE(SUBSTITUTE(SUBSTITUTE(SUBSTITUTE(SUBSTITUTE(SUBSTITUTE($A560,"-",""),"(",""),")",""),".",""),"+","")," ","")))</f>
      </c>
    </row>
    <row r="561" spans="1:11" x14ac:dyDescent="0.3">
      <c r="A561" s="28"/>
      <c r="B561" s="29"/>
      <c r="C561" s="30"/>
      <c r="D561" s="31"/>
      <c r="E561" s="33">
        <f>IF(OR($D561="",$K561=""),"",IF(COUNTIFS(Payments!$G$5:$G$2500,$K561,Payments!$C$5:$C$2500,"&lt;&gt;")=0,"",_xlfn.MAXIFS(Payments!$C$5:$C$2500,Payments!$G$5:$G$2500,$K561)))</f>
      </c>
      <c r="F561" s="34">
        <f>IF(OR($D561="",$K561=""),"",SUMIF(Payments!$G$5:$G$2500,$K561,Payments!$D$5:$D$2500))</f>
      </c>
      <c r="G561" s="36">
        <f>IF($D561="","",ROUND($D561-IF($F561="",0,$F561),2))</f>
      </c>
      <c r="H561" s="35">
        <f>IF(OR($D561="",$K561=""),"",COUNTIF(Payments!$G$5:$G$2500,$K561))</f>
      </c>
      <c r="I561" s="37">
        <f>IF($D561="","",IF(OR($F561="",$F561=0),"Pending",IF(ROUND($F561-$D561,2)&gt;0,"Overpaid",IF(ROUND($F561-$D561,2)=0,"Paid","Partial"))))</f>
      </c>
      <c r="J561" s="29"/>
      <c r="K561">
        <f>IF($A561="","","#"&amp;TRIM(SUBSTITUTE(SUBSTITUTE(SUBSTITUTE(SUBSTITUTE(SUBSTITUTE(SUBSTITUTE($A561,"-",""),"(",""),")",""),".",""),"+","")," ","")))</f>
      </c>
    </row>
    <row r="562" spans="1:11" x14ac:dyDescent="0.3">
      <c r="A562" s="28"/>
      <c r="B562" s="29"/>
      <c r="C562" s="30"/>
      <c r="D562" s="31"/>
      <c r="E562" s="33">
        <f>IF(OR($D562="",$K562=""),"",IF(COUNTIFS(Payments!$G$5:$G$2500,$K562,Payments!$C$5:$C$2500,"&lt;&gt;")=0,"",_xlfn.MAXIFS(Payments!$C$5:$C$2500,Payments!$G$5:$G$2500,$K562)))</f>
      </c>
      <c r="F562" s="34">
        <f>IF(OR($D562="",$K562=""),"",SUMIF(Payments!$G$5:$G$2500,$K562,Payments!$D$5:$D$2500))</f>
      </c>
      <c r="G562" s="36">
        <f>IF($D562="","",ROUND($D562-IF($F562="",0,$F562),2))</f>
      </c>
      <c r="H562" s="35">
        <f>IF(OR($D562="",$K562=""),"",COUNTIF(Payments!$G$5:$G$2500,$K562))</f>
      </c>
      <c r="I562" s="37">
        <f>IF($D562="","",IF(OR($F562="",$F562=0),"Pending",IF(ROUND($F562-$D562,2)&gt;0,"Overpaid",IF(ROUND($F562-$D562,2)=0,"Paid","Partial"))))</f>
      </c>
      <c r="J562" s="29"/>
      <c r="K562">
        <f>IF($A562="","","#"&amp;TRIM(SUBSTITUTE(SUBSTITUTE(SUBSTITUTE(SUBSTITUTE(SUBSTITUTE(SUBSTITUTE($A562,"-",""),"(",""),")",""),".",""),"+","")," ","")))</f>
      </c>
    </row>
    <row r="563" spans="1:11" x14ac:dyDescent="0.3">
      <c r="A563" s="28"/>
      <c r="B563" s="29"/>
      <c r="C563" s="30"/>
      <c r="D563" s="31"/>
      <c r="E563" s="33">
        <f>IF(OR($D563="",$K563=""),"",IF(COUNTIFS(Payments!$G$5:$G$2500,$K563,Payments!$C$5:$C$2500,"&lt;&gt;")=0,"",_xlfn.MAXIFS(Payments!$C$5:$C$2500,Payments!$G$5:$G$2500,$K563)))</f>
      </c>
      <c r="F563" s="34">
        <f>IF(OR($D563="",$K563=""),"",SUMIF(Payments!$G$5:$G$2500,$K563,Payments!$D$5:$D$2500))</f>
      </c>
      <c r="G563" s="36">
        <f>IF($D563="","",ROUND($D563-IF($F563="",0,$F563),2))</f>
      </c>
      <c r="H563" s="35">
        <f>IF(OR($D563="",$K563=""),"",COUNTIF(Payments!$G$5:$G$2500,$K563))</f>
      </c>
      <c r="I563" s="37">
        <f>IF($D563="","",IF(OR($F563="",$F563=0),"Pending",IF(ROUND($F563-$D563,2)&gt;0,"Overpaid",IF(ROUND($F563-$D563,2)=0,"Paid","Partial"))))</f>
      </c>
      <c r="J563" s="29"/>
      <c r="K563">
        <f>IF($A563="","","#"&amp;TRIM(SUBSTITUTE(SUBSTITUTE(SUBSTITUTE(SUBSTITUTE(SUBSTITUTE(SUBSTITUTE($A563,"-",""),"(",""),")",""),".",""),"+","")," ","")))</f>
      </c>
    </row>
    <row r="564" spans="1:11" x14ac:dyDescent="0.3">
      <c r="A564" s="28"/>
      <c r="B564" s="29"/>
      <c r="C564" s="30"/>
      <c r="D564" s="31"/>
      <c r="E564" s="33">
        <f>IF(OR($D564="",$K564=""),"",IF(COUNTIFS(Payments!$G$5:$G$2500,$K564,Payments!$C$5:$C$2500,"&lt;&gt;")=0,"",_xlfn.MAXIFS(Payments!$C$5:$C$2500,Payments!$G$5:$G$2500,$K564)))</f>
      </c>
      <c r="F564" s="34">
        <f>IF(OR($D564="",$K564=""),"",SUMIF(Payments!$G$5:$G$2500,$K564,Payments!$D$5:$D$2500))</f>
      </c>
      <c r="G564" s="36">
        <f>IF($D564="","",ROUND($D564-IF($F564="",0,$F564),2))</f>
      </c>
      <c r="H564" s="35">
        <f>IF(OR($D564="",$K564=""),"",COUNTIF(Payments!$G$5:$G$2500,$K564))</f>
      </c>
      <c r="I564" s="37">
        <f>IF($D564="","",IF(OR($F564="",$F564=0),"Pending",IF(ROUND($F564-$D564,2)&gt;0,"Overpaid",IF(ROUND($F564-$D564,2)=0,"Paid","Partial"))))</f>
      </c>
      <c r="J564" s="29"/>
      <c r="K564">
        <f>IF($A564="","","#"&amp;TRIM(SUBSTITUTE(SUBSTITUTE(SUBSTITUTE(SUBSTITUTE(SUBSTITUTE(SUBSTITUTE($A564,"-",""),"(",""),")",""),".",""),"+","")," ","")))</f>
      </c>
    </row>
    <row r="565" spans="1:11" x14ac:dyDescent="0.3">
      <c r="A565" s="28"/>
      <c r="B565" s="29"/>
      <c r="C565" s="30"/>
      <c r="D565" s="31"/>
      <c r="E565" s="33">
        <f>IF(OR($D565="",$K565=""),"",IF(COUNTIFS(Payments!$G$5:$G$2500,$K565,Payments!$C$5:$C$2500,"&lt;&gt;")=0,"",_xlfn.MAXIFS(Payments!$C$5:$C$2500,Payments!$G$5:$G$2500,$K565)))</f>
      </c>
      <c r="F565" s="34">
        <f>IF(OR($D565="",$K565=""),"",SUMIF(Payments!$G$5:$G$2500,$K565,Payments!$D$5:$D$2500))</f>
      </c>
      <c r="G565" s="36">
        <f>IF($D565="","",ROUND($D565-IF($F565="",0,$F565),2))</f>
      </c>
      <c r="H565" s="35">
        <f>IF(OR($D565="",$K565=""),"",COUNTIF(Payments!$G$5:$G$2500,$K565))</f>
      </c>
      <c r="I565" s="37">
        <f>IF($D565="","",IF(OR($F565="",$F565=0),"Pending",IF(ROUND($F565-$D565,2)&gt;0,"Overpaid",IF(ROUND($F565-$D565,2)=0,"Paid","Partial"))))</f>
      </c>
      <c r="J565" s="29"/>
      <c r="K565">
        <f>IF($A565="","","#"&amp;TRIM(SUBSTITUTE(SUBSTITUTE(SUBSTITUTE(SUBSTITUTE(SUBSTITUTE(SUBSTITUTE($A565,"-",""),"(",""),")",""),".",""),"+","")," ","")))</f>
      </c>
    </row>
    <row r="566" spans="1:11" x14ac:dyDescent="0.3">
      <c r="A566" s="28"/>
      <c r="B566" s="29"/>
      <c r="C566" s="30"/>
      <c r="D566" s="31"/>
      <c r="E566" s="33">
        <f>IF(OR($D566="",$K566=""),"",IF(COUNTIFS(Payments!$G$5:$G$2500,$K566,Payments!$C$5:$C$2500,"&lt;&gt;")=0,"",_xlfn.MAXIFS(Payments!$C$5:$C$2500,Payments!$G$5:$G$2500,$K566)))</f>
      </c>
      <c r="F566" s="34">
        <f>IF(OR($D566="",$K566=""),"",SUMIF(Payments!$G$5:$G$2500,$K566,Payments!$D$5:$D$2500))</f>
      </c>
      <c r="G566" s="36">
        <f>IF($D566="","",ROUND($D566-IF($F566="",0,$F566),2))</f>
      </c>
      <c r="H566" s="35">
        <f>IF(OR($D566="",$K566=""),"",COUNTIF(Payments!$G$5:$G$2500,$K566))</f>
      </c>
      <c r="I566" s="37">
        <f>IF($D566="","",IF(OR($F566="",$F566=0),"Pending",IF(ROUND($F566-$D566,2)&gt;0,"Overpaid",IF(ROUND($F566-$D566,2)=0,"Paid","Partial"))))</f>
      </c>
      <c r="J566" s="29"/>
      <c r="K566">
        <f>IF($A566="","","#"&amp;TRIM(SUBSTITUTE(SUBSTITUTE(SUBSTITUTE(SUBSTITUTE(SUBSTITUTE(SUBSTITUTE($A566,"-",""),"(",""),")",""),".",""),"+","")," ","")))</f>
      </c>
    </row>
    <row r="567" spans="1:11" x14ac:dyDescent="0.3">
      <c r="A567" s="28"/>
      <c r="B567" s="29"/>
      <c r="C567" s="30"/>
      <c r="D567" s="31"/>
      <c r="E567" s="33">
        <f>IF(OR($D567="",$K567=""),"",IF(COUNTIFS(Payments!$G$5:$G$2500,$K567,Payments!$C$5:$C$2500,"&lt;&gt;")=0,"",_xlfn.MAXIFS(Payments!$C$5:$C$2500,Payments!$G$5:$G$2500,$K567)))</f>
      </c>
      <c r="F567" s="34">
        <f>IF(OR($D567="",$K567=""),"",SUMIF(Payments!$G$5:$G$2500,$K567,Payments!$D$5:$D$2500))</f>
      </c>
      <c r="G567" s="36">
        <f>IF($D567="","",ROUND($D567-IF($F567="",0,$F567),2))</f>
      </c>
      <c r="H567" s="35">
        <f>IF(OR($D567="",$K567=""),"",COUNTIF(Payments!$G$5:$G$2500,$K567))</f>
      </c>
      <c r="I567" s="37">
        <f>IF($D567="","",IF(OR($F567="",$F567=0),"Pending",IF(ROUND($F567-$D567,2)&gt;0,"Overpaid",IF(ROUND($F567-$D567,2)=0,"Paid","Partial"))))</f>
      </c>
      <c r="J567" s="29"/>
      <c r="K567">
        <f>IF($A567="","","#"&amp;TRIM(SUBSTITUTE(SUBSTITUTE(SUBSTITUTE(SUBSTITUTE(SUBSTITUTE(SUBSTITUTE($A567,"-",""),"(",""),")",""),".",""),"+","")," ","")))</f>
      </c>
    </row>
    <row r="568" spans="1:11" x14ac:dyDescent="0.3">
      <c r="A568" s="28"/>
      <c r="B568" s="29"/>
      <c r="C568" s="30"/>
      <c r="D568" s="31"/>
      <c r="E568" s="33">
        <f>IF(OR($D568="",$K568=""),"",IF(COUNTIFS(Payments!$G$5:$G$2500,$K568,Payments!$C$5:$C$2500,"&lt;&gt;")=0,"",_xlfn.MAXIFS(Payments!$C$5:$C$2500,Payments!$G$5:$G$2500,$K568)))</f>
      </c>
      <c r="F568" s="34">
        <f>IF(OR($D568="",$K568=""),"",SUMIF(Payments!$G$5:$G$2500,$K568,Payments!$D$5:$D$2500))</f>
      </c>
      <c r="G568" s="36">
        <f>IF($D568="","",ROUND($D568-IF($F568="",0,$F568),2))</f>
      </c>
      <c r="H568" s="35">
        <f>IF(OR($D568="",$K568=""),"",COUNTIF(Payments!$G$5:$G$2500,$K568))</f>
      </c>
      <c r="I568" s="37">
        <f>IF($D568="","",IF(OR($F568="",$F568=0),"Pending",IF(ROUND($F568-$D568,2)&gt;0,"Overpaid",IF(ROUND($F568-$D568,2)=0,"Paid","Partial"))))</f>
      </c>
      <c r="J568" s="29"/>
      <c r="K568">
        <f>IF($A568="","","#"&amp;TRIM(SUBSTITUTE(SUBSTITUTE(SUBSTITUTE(SUBSTITUTE(SUBSTITUTE(SUBSTITUTE($A568,"-",""),"(",""),")",""),".",""),"+","")," ","")))</f>
      </c>
    </row>
    <row r="569" spans="1:11" x14ac:dyDescent="0.3">
      <c r="A569" s="28"/>
      <c r="B569" s="29"/>
      <c r="C569" s="30"/>
      <c r="D569" s="31"/>
      <c r="E569" s="33">
        <f>IF(OR($D569="",$K569=""),"",IF(COUNTIFS(Payments!$G$5:$G$2500,$K569,Payments!$C$5:$C$2500,"&lt;&gt;")=0,"",_xlfn.MAXIFS(Payments!$C$5:$C$2500,Payments!$G$5:$G$2500,$K569)))</f>
      </c>
      <c r="F569" s="34">
        <f>IF(OR($D569="",$K569=""),"",SUMIF(Payments!$G$5:$G$2500,$K569,Payments!$D$5:$D$2500))</f>
      </c>
      <c r="G569" s="36">
        <f>IF($D569="","",ROUND($D569-IF($F569="",0,$F569),2))</f>
      </c>
      <c r="H569" s="35">
        <f>IF(OR($D569="",$K569=""),"",COUNTIF(Payments!$G$5:$G$2500,$K569))</f>
      </c>
      <c r="I569" s="37">
        <f>IF($D569="","",IF(OR($F569="",$F569=0),"Pending",IF(ROUND($F569-$D569,2)&gt;0,"Overpaid",IF(ROUND($F569-$D569,2)=0,"Paid","Partial"))))</f>
      </c>
      <c r="J569" s="29"/>
      <c r="K569">
        <f>IF($A569="","","#"&amp;TRIM(SUBSTITUTE(SUBSTITUTE(SUBSTITUTE(SUBSTITUTE(SUBSTITUTE(SUBSTITUTE($A569,"-",""),"(",""),")",""),".",""),"+","")," ","")))</f>
      </c>
    </row>
    <row r="570" spans="1:11" x14ac:dyDescent="0.3">
      <c r="A570" s="28"/>
      <c r="B570" s="29"/>
      <c r="C570" s="30"/>
      <c r="D570" s="31"/>
      <c r="E570" s="33">
        <f>IF(OR($D570="",$K570=""),"",IF(COUNTIFS(Payments!$G$5:$G$2500,$K570,Payments!$C$5:$C$2500,"&lt;&gt;")=0,"",_xlfn.MAXIFS(Payments!$C$5:$C$2500,Payments!$G$5:$G$2500,$K570)))</f>
      </c>
      <c r="F570" s="34">
        <f>IF(OR($D570="",$K570=""),"",SUMIF(Payments!$G$5:$G$2500,$K570,Payments!$D$5:$D$2500))</f>
      </c>
      <c r="G570" s="36">
        <f>IF($D570="","",ROUND($D570-IF($F570="",0,$F570),2))</f>
      </c>
      <c r="H570" s="35">
        <f>IF(OR($D570="",$K570=""),"",COUNTIF(Payments!$G$5:$G$2500,$K570))</f>
      </c>
      <c r="I570" s="37">
        <f>IF($D570="","",IF(OR($F570="",$F570=0),"Pending",IF(ROUND($F570-$D570,2)&gt;0,"Overpaid",IF(ROUND($F570-$D570,2)=0,"Paid","Partial"))))</f>
      </c>
      <c r="J570" s="29"/>
      <c r="K570">
        <f>IF($A570="","","#"&amp;TRIM(SUBSTITUTE(SUBSTITUTE(SUBSTITUTE(SUBSTITUTE(SUBSTITUTE(SUBSTITUTE($A570,"-",""),"(",""),")",""),".",""),"+","")," ","")))</f>
      </c>
    </row>
    <row r="571" spans="1:11" x14ac:dyDescent="0.3">
      <c r="A571" s="28"/>
      <c r="B571" s="29"/>
      <c r="C571" s="30"/>
      <c r="D571" s="31"/>
      <c r="E571" s="33">
        <f>IF(OR($D571="",$K571=""),"",IF(COUNTIFS(Payments!$G$5:$G$2500,$K571,Payments!$C$5:$C$2500,"&lt;&gt;")=0,"",_xlfn.MAXIFS(Payments!$C$5:$C$2500,Payments!$G$5:$G$2500,$K571)))</f>
      </c>
      <c r="F571" s="34">
        <f>IF(OR($D571="",$K571=""),"",SUMIF(Payments!$G$5:$G$2500,$K571,Payments!$D$5:$D$2500))</f>
      </c>
      <c r="G571" s="36">
        <f>IF($D571="","",ROUND($D571-IF($F571="",0,$F571),2))</f>
      </c>
      <c r="H571" s="35">
        <f>IF(OR($D571="",$K571=""),"",COUNTIF(Payments!$G$5:$G$2500,$K571))</f>
      </c>
      <c r="I571" s="37">
        <f>IF($D571="","",IF(OR($F571="",$F571=0),"Pending",IF(ROUND($F571-$D571,2)&gt;0,"Overpaid",IF(ROUND($F571-$D571,2)=0,"Paid","Partial"))))</f>
      </c>
      <c r="J571" s="29"/>
      <c r="K571">
        <f>IF($A571="","","#"&amp;TRIM(SUBSTITUTE(SUBSTITUTE(SUBSTITUTE(SUBSTITUTE(SUBSTITUTE(SUBSTITUTE($A571,"-",""),"(",""),")",""),".",""),"+","")," ","")))</f>
      </c>
    </row>
    <row r="572" spans="1:11" x14ac:dyDescent="0.3">
      <c r="A572" s="28"/>
      <c r="B572" s="29"/>
      <c r="C572" s="30"/>
      <c r="D572" s="31"/>
      <c r="E572" s="33">
        <f>IF(OR($D572="",$K572=""),"",IF(COUNTIFS(Payments!$G$5:$G$2500,$K572,Payments!$C$5:$C$2500,"&lt;&gt;")=0,"",_xlfn.MAXIFS(Payments!$C$5:$C$2500,Payments!$G$5:$G$2500,$K572)))</f>
      </c>
      <c r="F572" s="34">
        <f>IF(OR($D572="",$K572=""),"",SUMIF(Payments!$G$5:$G$2500,$K572,Payments!$D$5:$D$2500))</f>
      </c>
      <c r="G572" s="36">
        <f>IF($D572="","",ROUND($D572-IF($F572="",0,$F572),2))</f>
      </c>
      <c r="H572" s="35">
        <f>IF(OR($D572="",$K572=""),"",COUNTIF(Payments!$G$5:$G$2500,$K572))</f>
      </c>
      <c r="I572" s="37">
        <f>IF($D572="","",IF(OR($F572="",$F572=0),"Pending",IF(ROUND($F572-$D572,2)&gt;0,"Overpaid",IF(ROUND($F572-$D572,2)=0,"Paid","Partial"))))</f>
      </c>
      <c r="J572" s="29"/>
      <c r="K572">
        <f>IF($A572="","","#"&amp;TRIM(SUBSTITUTE(SUBSTITUTE(SUBSTITUTE(SUBSTITUTE(SUBSTITUTE(SUBSTITUTE($A572,"-",""),"(",""),")",""),".",""),"+","")," ","")))</f>
      </c>
    </row>
    <row r="573" spans="1:11" x14ac:dyDescent="0.3">
      <c r="A573" s="28"/>
      <c r="B573" s="29"/>
      <c r="C573" s="30"/>
      <c r="D573" s="31"/>
      <c r="E573" s="33">
        <f>IF(OR($D573="",$K573=""),"",IF(COUNTIFS(Payments!$G$5:$G$2500,$K573,Payments!$C$5:$C$2500,"&lt;&gt;")=0,"",_xlfn.MAXIFS(Payments!$C$5:$C$2500,Payments!$G$5:$G$2500,$K573)))</f>
      </c>
      <c r="F573" s="34">
        <f>IF(OR($D573="",$K573=""),"",SUMIF(Payments!$G$5:$G$2500,$K573,Payments!$D$5:$D$2500))</f>
      </c>
      <c r="G573" s="36">
        <f>IF($D573="","",ROUND($D573-IF($F573="",0,$F573),2))</f>
      </c>
      <c r="H573" s="35">
        <f>IF(OR($D573="",$K573=""),"",COUNTIF(Payments!$G$5:$G$2500,$K573))</f>
      </c>
      <c r="I573" s="37">
        <f>IF($D573="","",IF(OR($F573="",$F573=0),"Pending",IF(ROUND($F573-$D573,2)&gt;0,"Overpaid",IF(ROUND($F573-$D573,2)=0,"Paid","Partial"))))</f>
      </c>
      <c r="J573" s="29"/>
      <c r="K573">
        <f>IF($A573="","","#"&amp;TRIM(SUBSTITUTE(SUBSTITUTE(SUBSTITUTE(SUBSTITUTE(SUBSTITUTE(SUBSTITUTE($A573,"-",""),"(",""),")",""),".",""),"+","")," ","")))</f>
      </c>
    </row>
    <row r="574" spans="1:11" x14ac:dyDescent="0.3">
      <c r="A574" s="28"/>
      <c r="B574" s="29"/>
      <c r="C574" s="30"/>
      <c r="D574" s="31"/>
      <c r="E574" s="33">
        <f>IF(OR($D574="",$K574=""),"",IF(COUNTIFS(Payments!$G$5:$G$2500,$K574,Payments!$C$5:$C$2500,"&lt;&gt;")=0,"",_xlfn.MAXIFS(Payments!$C$5:$C$2500,Payments!$G$5:$G$2500,$K574)))</f>
      </c>
      <c r="F574" s="34">
        <f>IF(OR($D574="",$K574=""),"",SUMIF(Payments!$G$5:$G$2500,$K574,Payments!$D$5:$D$2500))</f>
      </c>
      <c r="G574" s="36">
        <f>IF($D574="","",ROUND($D574-IF($F574="",0,$F574),2))</f>
      </c>
      <c r="H574" s="35">
        <f>IF(OR($D574="",$K574=""),"",COUNTIF(Payments!$G$5:$G$2500,$K574))</f>
      </c>
      <c r="I574" s="37">
        <f>IF($D574="","",IF(OR($F574="",$F574=0),"Pending",IF(ROUND($F574-$D574,2)&gt;0,"Overpaid",IF(ROUND($F574-$D574,2)=0,"Paid","Partial"))))</f>
      </c>
      <c r="J574" s="29"/>
      <c r="K574">
        <f>IF($A574="","","#"&amp;TRIM(SUBSTITUTE(SUBSTITUTE(SUBSTITUTE(SUBSTITUTE(SUBSTITUTE(SUBSTITUTE($A574,"-",""),"(",""),")",""),".",""),"+","")," ","")))</f>
      </c>
    </row>
    <row r="575" spans="1:11" x14ac:dyDescent="0.3">
      <c r="A575" s="28"/>
      <c r="B575" s="29"/>
      <c r="C575" s="30"/>
      <c r="D575" s="31"/>
      <c r="E575" s="33">
        <f>IF(OR($D575="",$K575=""),"",IF(COUNTIFS(Payments!$G$5:$G$2500,$K575,Payments!$C$5:$C$2500,"&lt;&gt;")=0,"",_xlfn.MAXIFS(Payments!$C$5:$C$2500,Payments!$G$5:$G$2500,$K575)))</f>
      </c>
      <c r="F575" s="34">
        <f>IF(OR($D575="",$K575=""),"",SUMIF(Payments!$G$5:$G$2500,$K575,Payments!$D$5:$D$2500))</f>
      </c>
      <c r="G575" s="36">
        <f>IF($D575="","",ROUND($D575-IF($F575="",0,$F575),2))</f>
      </c>
      <c r="H575" s="35">
        <f>IF(OR($D575="",$K575=""),"",COUNTIF(Payments!$G$5:$G$2500,$K575))</f>
      </c>
      <c r="I575" s="37">
        <f>IF($D575="","",IF(OR($F575="",$F575=0),"Pending",IF(ROUND($F575-$D575,2)&gt;0,"Overpaid",IF(ROUND($F575-$D575,2)=0,"Paid","Partial"))))</f>
      </c>
      <c r="J575" s="29"/>
      <c r="K575">
        <f>IF($A575="","","#"&amp;TRIM(SUBSTITUTE(SUBSTITUTE(SUBSTITUTE(SUBSTITUTE(SUBSTITUTE(SUBSTITUTE($A575,"-",""),"(",""),")",""),".",""),"+","")," ","")))</f>
      </c>
    </row>
    <row r="576" spans="1:11" x14ac:dyDescent="0.3">
      <c r="A576" s="28"/>
      <c r="B576" s="29"/>
      <c r="C576" s="30"/>
      <c r="D576" s="31"/>
      <c r="E576" s="33">
        <f>IF(OR($D576="",$K576=""),"",IF(COUNTIFS(Payments!$G$5:$G$2500,$K576,Payments!$C$5:$C$2500,"&lt;&gt;")=0,"",_xlfn.MAXIFS(Payments!$C$5:$C$2500,Payments!$G$5:$G$2500,$K576)))</f>
      </c>
      <c r="F576" s="34">
        <f>IF(OR($D576="",$K576=""),"",SUMIF(Payments!$G$5:$G$2500,$K576,Payments!$D$5:$D$2500))</f>
      </c>
      <c r="G576" s="36">
        <f>IF($D576="","",ROUND($D576-IF($F576="",0,$F576),2))</f>
      </c>
      <c r="H576" s="35">
        <f>IF(OR($D576="",$K576=""),"",COUNTIF(Payments!$G$5:$G$2500,$K576))</f>
      </c>
      <c r="I576" s="37">
        <f>IF($D576="","",IF(OR($F576="",$F576=0),"Pending",IF(ROUND($F576-$D576,2)&gt;0,"Overpaid",IF(ROUND($F576-$D576,2)=0,"Paid","Partial"))))</f>
      </c>
      <c r="J576" s="29"/>
      <c r="K576">
        <f>IF($A576="","","#"&amp;TRIM(SUBSTITUTE(SUBSTITUTE(SUBSTITUTE(SUBSTITUTE(SUBSTITUTE(SUBSTITUTE($A576,"-",""),"(",""),")",""),".",""),"+","")," ","")))</f>
      </c>
    </row>
    <row r="577" spans="1:11" x14ac:dyDescent="0.3">
      <c r="A577" s="28"/>
      <c r="B577" s="29"/>
      <c r="C577" s="30"/>
      <c r="D577" s="31"/>
      <c r="E577" s="33">
        <f>IF(OR($D577="",$K577=""),"",IF(COUNTIFS(Payments!$G$5:$G$2500,$K577,Payments!$C$5:$C$2500,"&lt;&gt;")=0,"",_xlfn.MAXIFS(Payments!$C$5:$C$2500,Payments!$G$5:$G$2500,$K577)))</f>
      </c>
      <c r="F577" s="34">
        <f>IF(OR($D577="",$K577=""),"",SUMIF(Payments!$G$5:$G$2500,$K577,Payments!$D$5:$D$2500))</f>
      </c>
      <c r="G577" s="36">
        <f>IF($D577="","",ROUND($D577-IF($F577="",0,$F577),2))</f>
      </c>
      <c r="H577" s="35">
        <f>IF(OR($D577="",$K577=""),"",COUNTIF(Payments!$G$5:$G$2500,$K577))</f>
      </c>
      <c r="I577" s="37">
        <f>IF($D577="","",IF(OR($F577="",$F577=0),"Pending",IF(ROUND($F577-$D577,2)&gt;0,"Overpaid",IF(ROUND($F577-$D577,2)=0,"Paid","Partial"))))</f>
      </c>
      <c r="J577" s="29"/>
      <c r="K577">
        <f>IF($A577="","","#"&amp;TRIM(SUBSTITUTE(SUBSTITUTE(SUBSTITUTE(SUBSTITUTE(SUBSTITUTE(SUBSTITUTE($A577,"-",""),"(",""),")",""),".",""),"+","")," ","")))</f>
      </c>
    </row>
    <row r="578" spans="1:11" x14ac:dyDescent="0.3">
      <c r="A578" s="28"/>
      <c r="B578" s="29"/>
      <c r="C578" s="30"/>
      <c r="D578" s="31"/>
      <c r="E578" s="33">
        <f>IF(OR($D578="",$K578=""),"",IF(COUNTIFS(Payments!$G$5:$G$2500,$K578,Payments!$C$5:$C$2500,"&lt;&gt;")=0,"",_xlfn.MAXIFS(Payments!$C$5:$C$2500,Payments!$G$5:$G$2500,$K578)))</f>
      </c>
      <c r="F578" s="34">
        <f>IF(OR($D578="",$K578=""),"",SUMIF(Payments!$G$5:$G$2500,$K578,Payments!$D$5:$D$2500))</f>
      </c>
      <c r="G578" s="36">
        <f>IF($D578="","",ROUND($D578-IF($F578="",0,$F578),2))</f>
      </c>
      <c r="H578" s="35">
        <f>IF(OR($D578="",$K578=""),"",COUNTIF(Payments!$G$5:$G$2500,$K578))</f>
      </c>
      <c r="I578" s="37">
        <f>IF($D578="","",IF(OR($F578="",$F578=0),"Pending",IF(ROUND($F578-$D578,2)&gt;0,"Overpaid",IF(ROUND($F578-$D578,2)=0,"Paid","Partial"))))</f>
      </c>
      <c r="J578" s="29"/>
      <c r="K578">
        <f>IF($A578="","","#"&amp;TRIM(SUBSTITUTE(SUBSTITUTE(SUBSTITUTE(SUBSTITUTE(SUBSTITUTE(SUBSTITUTE($A578,"-",""),"(",""),")",""),".",""),"+","")," ","")))</f>
      </c>
    </row>
    <row r="579" spans="1:11" x14ac:dyDescent="0.3">
      <c r="A579" s="28"/>
      <c r="B579" s="29"/>
      <c r="C579" s="30"/>
      <c r="D579" s="31"/>
      <c r="E579" s="33">
        <f>IF(OR($D579="",$K579=""),"",IF(COUNTIFS(Payments!$G$5:$G$2500,$K579,Payments!$C$5:$C$2500,"&lt;&gt;")=0,"",_xlfn.MAXIFS(Payments!$C$5:$C$2500,Payments!$G$5:$G$2500,$K579)))</f>
      </c>
      <c r="F579" s="34">
        <f>IF(OR($D579="",$K579=""),"",SUMIF(Payments!$G$5:$G$2500,$K579,Payments!$D$5:$D$2500))</f>
      </c>
      <c r="G579" s="36">
        <f>IF($D579="","",ROUND($D579-IF($F579="",0,$F579),2))</f>
      </c>
      <c r="H579" s="35">
        <f>IF(OR($D579="",$K579=""),"",COUNTIF(Payments!$G$5:$G$2500,$K579))</f>
      </c>
      <c r="I579" s="37">
        <f>IF($D579="","",IF(OR($F579="",$F579=0),"Pending",IF(ROUND($F579-$D579,2)&gt;0,"Overpaid",IF(ROUND($F579-$D579,2)=0,"Paid","Partial"))))</f>
      </c>
      <c r="J579" s="29"/>
      <c r="K579">
        <f>IF($A579="","","#"&amp;TRIM(SUBSTITUTE(SUBSTITUTE(SUBSTITUTE(SUBSTITUTE(SUBSTITUTE(SUBSTITUTE($A579,"-",""),"(",""),")",""),".",""),"+","")," ","")))</f>
      </c>
    </row>
    <row r="580" spans="1:11" x14ac:dyDescent="0.3">
      <c r="A580" s="28"/>
      <c r="B580" s="29"/>
      <c r="C580" s="30"/>
      <c r="D580" s="31"/>
      <c r="E580" s="33">
        <f>IF(OR($D580="",$K580=""),"",IF(COUNTIFS(Payments!$G$5:$G$2500,$K580,Payments!$C$5:$C$2500,"&lt;&gt;")=0,"",_xlfn.MAXIFS(Payments!$C$5:$C$2500,Payments!$G$5:$G$2500,$K580)))</f>
      </c>
      <c r="F580" s="34">
        <f>IF(OR($D580="",$K580=""),"",SUMIF(Payments!$G$5:$G$2500,$K580,Payments!$D$5:$D$2500))</f>
      </c>
      <c r="G580" s="36">
        <f>IF($D580="","",ROUND($D580-IF($F580="",0,$F580),2))</f>
      </c>
      <c r="H580" s="35">
        <f>IF(OR($D580="",$K580=""),"",COUNTIF(Payments!$G$5:$G$2500,$K580))</f>
      </c>
      <c r="I580" s="37">
        <f>IF($D580="","",IF(OR($F580="",$F580=0),"Pending",IF(ROUND($F580-$D580,2)&gt;0,"Overpaid",IF(ROUND($F580-$D580,2)=0,"Paid","Partial"))))</f>
      </c>
      <c r="J580" s="29"/>
      <c r="K580">
        <f>IF($A580="","","#"&amp;TRIM(SUBSTITUTE(SUBSTITUTE(SUBSTITUTE(SUBSTITUTE(SUBSTITUTE(SUBSTITUTE($A580,"-",""),"(",""),")",""),".",""),"+","")," ","")))</f>
      </c>
    </row>
    <row r="581" spans="1:11" x14ac:dyDescent="0.3">
      <c r="A581" s="28"/>
      <c r="B581" s="29"/>
      <c r="C581" s="30"/>
      <c r="D581" s="31"/>
      <c r="E581" s="33">
        <f>IF(OR($D581="",$K581=""),"",IF(COUNTIFS(Payments!$G$5:$G$2500,$K581,Payments!$C$5:$C$2500,"&lt;&gt;")=0,"",_xlfn.MAXIFS(Payments!$C$5:$C$2500,Payments!$G$5:$G$2500,$K581)))</f>
      </c>
      <c r="F581" s="34">
        <f>IF(OR($D581="",$K581=""),"",SUMIF(Payments!$G$5:$G$2500,$K581,Payments!$D$5:$D$2500))</f>
      </c>
      <c r="G581" s="36">
        <f>IF($D581="","",ROUND($D581-IF($F581="",0,$F581),2))</f>
      </c>
      <c r="H581" s="35">
        <f>IF(OR($D581="",$K581=""),"",COUNTIF(Payments!$G$5:$G$2500,$K581))</f>
      </c>
      <c r="I581" s="37">
        <f>IF($D581="","",IF(OR($F581="",$F581=0),"Pending",IF(ROUND($F581-$D581,2)&gt;0,"Overpaid",IF(ROUND($F581-$D581,2)=0,"Paid","Partial"))))</f>
      </c>
      <c r="J581" s="29"/>
      <c r="K581">
        <f>IF($A581="","","#"&amp;TRIM(SUBSTITUTE(SUBSTITUTE(SUBSTITUTE(SUBSTITUTE(SUBSTITUTE(SUBSTITUTE($A581,"-",""),"(",""),")",""),".",""),"+","")," ","")))</f>
      </c>
    </row>
    <row r="582" spans="1:11" x14ac:dyDescent="0.3">
      <c r="A582" s="28"/>
      <c r="B582" s="29"/>
      <c r="C582" s="30"/>
      <c r="D582" s="31"/>
      <c r="E582" s="33">
        <f>IF(OR($D582="",$K582=""),"",IF(COUNTIFS(Payments!$G$5:$G$2500,$K582,Payments!$C$5:$C$2500,"&lt;&gt;")=0,"",_xlfn.MAXIFS(Payments!$C$5:$C$2500,Payments!$G$5:$G$2500,$K582)))</f>
      </c>
      <c r="F582" s="34">
        <f>IF(OR($D582="",$K582=""),"",SUMIF(Payments!$G$5:$G$2500,$K582,Payments!$D$5:$D$2500))</f>
      </c>
      <c r="G582" s="36">
        <f>IF($D582="","",ROUND($D582-IF($F582="",0,$F582),2))</f>
      </c>
      <c r="H582" s="35">
        <f>IF(OR($D582="",$K582=""),"",COUNTIF(Payments!$G$5:$G$2500,$K582))</f>
      </c>
      <c r="I582" s="37">
        <f>IF($D582="","",IF(OR($F582="",$F582=0),"Pending",IF(ROUND($F582-$D582,2)&gt;0,"Overpaid",IF(ROUND($F582-$D582,2)=0,"Paid","Partial"))))</f>
      </c>
      <c r="J582" s="29"/>
      <c r="K582">
        <f>IF($A582="","","#"&amp;TRIM(SUBSTITUTE(SUBSTITUTE(SUBSTITUTE(SUBSTITUTE(SUBSTITUTE(SUBSTITUTE($A582,"-",""),"(",""),")",""),".",""),"+","")," ","")))</f>
      </c>
    </row>
    <row r="583" spans="1:11" x14ac:dyDescent="0.3">
      <c r="A583" s="28"/>
      <c r="B583" s="29"/>
      <c r="C583" s="30"/>
      <c r="D583" s="31"/>
      <c r="E583" s="33">
        <f>IF(OR($D583="",$K583=""),"",IF(COUNTIFS(Payments!$G$5:$G$2500,$K583,Payments!$C$5:$C$2500,"&lt;&gt;")=0,"",_xlfn.MAXIFS(Payments!$C$5:$C$2500,Payments!$G$5:$G$2500,$K583)))</f>
      </c>
      <c r="F583" s="34">
        <f>IF(OR($D583="",$K583=""),"",SUMIF(Payments!$G$5:$G$2500,$K583,Payments!$D$5:$D$2500))</f>
      </c>
      <c r="G583" s="36">
        <f>IF($D583="","",ROUND($D583-IF($F583="",0,$F583),2))</f>
      </c>
      <c r="H583" s="35">
        <f>IF(OR($D583="",$K583=""),"",COUNTIF(Payments!$G$5:$G$2500,$K583))</f>
      </c>
      <c r="I583" s="37">
        <f>IF($D583="","",IF(OR($F583="",$F583=0),"Pending",IF(ROUND($F583-$D583,2)&gt;0,"Overpaid",IF(ROUND($F583-$D583,2)=0,"Paid","Partial"))))</f>
      </c>
      <c r="J583" s="29"/>
      <c r="K583">
        <f>IF($A583="","","#"&amp;TRIM(SUBSTITUTE(SUBSTITUTE(SUBSTITUTE(SUBSTITUTE(SUBSTITUTE(SUBSTITUTE($A583,"-",""),"(",""),")",""),".",""),"+","")," ","")))</f>
      </c>
    </row>
    <row r="584" spans="1:11" x14ac:dyDescent="0.3">
      <c r="A584" s="28"/>
      <c r="B584" s="29"/>
      <c r="C584" s="30"/>
      <c r="D584" s="31"/>
      <c r="E584" s="33">
        <f>IF(OR($D584="",$K584=""),"",IF(COUNTIFS(Payments!$G$5:$G$2500,$K584,Payments!$C$5:$C$2500,"&lt;&gt;")=0,"",_xlfn.MAXIFS(Payments!$C$5:$C$2500,Payments!$G$5:$G$2500,$K584)))</f>
      </c>
      <c r="F584" s="34">
        <f>IF(OR($D584="",$K584=""),"",SUMIF(Payments!$G$5:$G$2500,$K584,Payments!$D$5:$D$2500))</f>
      </c>
      <c r="G584" s="36">
        <f>IF($D584="","",ROUND($D584-IF($F584="",0,$F584),2))</f>
      </c>
      <c r="H584" s="35">
        <f>IF(OR($D584="",$K584=""),"",COUNTIF(Payments!$G$5:$G$2500,$K584))</f>
      </c>
      <c r="I584" s="37">
        <f>IF($D584="","",IF(OR($F584="",$F584=0),"Pending",IF(ROUND($F584-$D584,2)&gt;0,"Overpaid",IF(ROUND($F584-$D584,2)=0,"Paid","Partial"))))</f>
      </c>
      <c r="J584" s="29"/>
      <c r="K584">
        <f>IF($A584="","","#"&amp;TRIM(SUBSTITUTE(SUBSTITUTE(SUBSTITUTE(SUBSTITUTE(SUBSTITUTE(SUBSTITUTE($A584,"-",""),"(",""),")",""),".",""),"+","")," ","")))</f>
      </c>
    </row>
    <row r="585" spans="1:11" x14ac:dyDescent="0.3">
      <c r="A585" s="28"/>
      <c r="B585" s="29"/>
      <c r="C585" s="30"/>
      <c r="D585" s="31"/>
      <c r="E585" s="33">
        <f>IF(OR($D585="",$K585=""),"",IF(COUNTIFS(Payments!$G$5:$G$2500,$K585,Payments!$C$5:$C$2500,"&lt;&gt;")=0,"",_xlfn.MAXIFS(Payments!$C$5:$C$2500,Payments!$G$5:$G$2500,$K585)))</f>
      </c>
      <c r="F585" s="34">
        <f>IF(OR($D585="",$K585=""),"",SUMIF(Payments!$G$5:$G$2500,$K585,Payments!$D$5:$D$2500))</f>
      </c>
      <c r="G585" s="36">
        <f>IF($D585="","",ROUND($D585-IF($F585="",0,$F585),2))</f>
      </c>
      <c r="H585" s="35">
        <f>IF(OR($D585="",$K585=""),"",COUNTIF(Payments!$G$5:$G$2500,$K585))</f>
      </c>
      <c r="I585" s="37">
        <f>IF($D585="","",IF(OR($F585="",$F585=0),"Pending",IF(ROUND($F585-$D585,2)&gt;0,"Overpaid",IF(ROUND($F585-$D585,2)=0,"Paid","Partial"))))</f>
      </c>
      <c r="J585" s="29"/>
      <c r="K585">
        <f>IF($A585="","","#"&amp;TRIM(SUBSTITUTE(SUBSTITUTE(SUBSTITUTE(SUBSTITUTE(SUBSTITUTE(SUBSTITUTE($A585,"-",""),"(",""),")",""),".",""),"+","")," ","")))</f>
      </c>
    </row>
    <row r="586" spans="1:11" x14ac:dyDescent="0.3">
      <c r="A586" s="28"/>
      <c r="B586" s="29"/>
      <c r="C586" s="30"/>
      <c r="D586" s="31"/>
      <c r="E586" s="33">
        <f>IF(OR($D586="",$K586=""),"",IF(COUNTIFS(Payments!$G$5:$G$2500,$K586,Payments!$C$5:$C$2500,"&lt;&gt;")=0,"",_xlfn.MAXIFS(Payments!$C$5:$C$2500,Payments!$G$5:$G$2500,$K586)))</f>
      </c>
      <c r="F586" s="34">
        <f>IF(OR($D586="",$K586=""),"",SUMIF(Payments!$G$5:$G$2500,$K586,Payments!$D$5:$D$2500))</f>
      </c>
      <c r="G586" s="36">
        <f>IF($D586="","",ROUND($D586-IF($F586="",0,$F586),2))</f>
      </c>
      <c r="H586" s="35">
        <f>IF(OR($D586="",$K586=""),"",COUNTIF(Payments!$G$5:$G$2500,$K586))</f>
      </c>
      <c r="I586" s="37">
        <f>IF($D586="","",IF(OR($F586="",$F586=0),"Pending",IF(ROUND($F586-$D586,2)&gt;0,"Overpaid",IF(ROUND($F586-$D586,2)=0,"Paid","Partial"))))</f>
      </c>
      <c r="J586" s="29"/>
      <c r="K586">
        <f>IF($A586="","","#"&amp;TRIM(SUBSTITUTE(SUBSTITUTE(SUBSTITUTE(SUBSTITUTE(SUBSTITUTE(SUBSTITUTE($A586,"-",""),"(",""),")",""),".",""),"+","")," ","")))</f>
      </c>
    </row>
    <row r="587" spans="1:11" x14ac:dyDescent="0.3">
      <c r="A587" s="28"/>
      <c r="B587" s="29"/>
      <c r="C587" s="30"/>
      <c r="D587" s="31"/>
      <c r="E587" s="33">
        <f>IF(OR($D587="",$K587=""),"",IF(COUNTIFS(Payments!$G$5:$G$2500,$K587,Payments!$C$5:$C$2500,"&lt;&gt;")=0,"",_xlfn.MAXIFS(Payments!$C$5:$C$2500,Payments!$G$5:$G$2500,$K587)))</f>
      </c>
      <c r="F587" s="34">
        <f>IF(OR($D587="",$K587=""),"",SUMIF(Payments!$G$5:$G$2500,$K587,Payments!$D$5:$D$2500))</f>
      </c>
      <c r="G587" s="36">
        <f>IF($D587="","",ROUND($D587-IF($F587="",0,$F587),2))</f>
      </c>
      <c r="H587" s="35">
        <f>IF(OR($D587="",$K587=""),"",COUNTIF(Payments!$G$5:$G$2500,$K587))</f>
      </c>
      <c r="I587" s="37">
        <f>IF($D587="","",IF(OR($F587="",$F587=0),"Pending",IF(ROUND($F587-$D587,2)&gt;0,"Overpaid",IF(ROUND($F587-$D587,2)=0,"Paid","Partial"))))</f>
      </c>
      <c r="J587" s="29"/>
      <c r="K587">
        <f>IF($A587="","","#"&amp;TRIM(SUBSTITUTE(SUBSTITUTE(SUBSTITUTE(SUBSTITUTE(SUBSTITUTE(SUBSTITUTE($A587,"-",""),"(",""),")",""),".",""),"+","")," ","")))</f>
      </c>
    </row>
    <row r="588" spans="1:11" x14ac:dyDescent="0.3">
      <c r="A588" s="28"/>
      <c r="B588" s="29"/>
      <c r="C588" s="30"/>
      <c r="D588" s="31"/>
      <c r="E588" s="33">
        <f>IF(OR($D588="",$K588=""),"",IF(COUNTIFS(Payments!$G$5:$G$2500,$K588,Payments!$C$5:$C$2500,"&lt;&gt;")=0,"",_xlfn.MAXIFS(Payments!$C$5:$C$2500,Payments!$G$5:$G$2500,$K588)))</f>
      </c>
      <c r="F588" s="34">
        <f>IF(OR($D588="",$K588=""),"",SUMIF(Payments!$G$5:$G$2500,$K588,Payments!$D$5:$D$2500))</f>
      </c>
      <c r="G588" s="36">
        <f>IF($D588="","",ROUND($D588-IF($F588="",0,$F588),2))</f>
      </c>
      <c r="H588" s="35">
        <f>IF(OR($D588="",$K588=""),"",COUNTIF(Payments!$G$5:$G$2500,$K588))</f>
      </c>
      <c r="I588" s="37">
        <f>IF($D588="","",IF(OR($F588="",$F588=0),"Pending",IF(ROUND($F588-$D588,2)&gt;0,"Overpaid",IF(ROUND($F588-$D588,2)=0,"Paid","Partial"))))</f>
      </c>
      <c r="J588" s="29"/>
      <c r="K588">
        <f>IF($A588="","","#"&amp;TRIM(SUBSTITUTE(SUBSTITUTE(SUBSTITUTE(SUBSTITUTE(SUBSTITUTE(SUBSTITUTE($A588,"-",""),"(",""),")",""),".",""),"+","")," ","")))</f>
      </c>
    </row>
    <row r="589" spans="1:11" x14ac:dyDescent="0.3">
      <c r="A589" s="28"/>
      <c r="B589" s="29"/>
      <c r="C589" s="30"/>
      <c r="D589" s="31"/>
      <c r="E589" s="33">
        <f>IF(OR($D589="",$K589=""),"",IF(COUNTIFS(Payments!$G$5:$G$2500,$K589,Payments!$C$5:$C$2500,"&lt;&gt;")=0,"",_xlfn.MAXIFS(Payments!$C$5:$C$2500,Payments!$G$5:$G$2500,$K589)))</f>
      </c>
      <c r="F589" s="34">
        <f>IF(OR($D589="",$K589=""),"",SUMIF(Payments!$G$5:$G$2500,$K589,Payments!$D$5:$D$2500))</f>
      </c>
      <c r="G589" s="36">
        <f>IF($D589="","",ROUND($D589-IF($F589="",0,$F589),2))</f>
      </c>
      <c r="H589" s="35">
        <f>IF(OR($D589="",$K589=""),"",COUNTIF(Payments!$G$5:$G$2500,$K589))</f>
      </c>
      <c r="I589" s="37">
        <f>IF($D589="","",IF(OR($F589="",$F589=0),"Pending",IF(ROUND($F589-$D589,2)&gt;0,"Overpaid",IF(ROUND($F589-$D589,2)=0,"Paid","Partial"))))</f>
      </c>
      <c r="J589" s="29"/>
      <c r="K589">
        <f>IF($A589="","","#"&amp;TRIM(SUBSTITUTE(SUBSTITUTE(SUBSTITUTE(SUBSTITUTE(SUBSTITUTE(SUBSTITUTE($A589,"-",""),"(",""),")",""),".",""),"+","")," ","")))</f>
      </c>
    </row>
    <row r="590" spans="1:11" x14ac:dyDescent="0.3">
      <c r="A590" s="28"/>
      <c r="B590" s="29"/>
      <c r="C590" s="30"/>
      <c r="D590" s="31"/>
      <c r="E590" s="33">
        <f>IF(OR($D590="",$K590=""),"",IF(COUNTIFS(Payments!$G$5:$G$2500,$K590,Payments!$C$5:$C$2500,"&lt;&gt;")=0,"",_xlfn.MAXIFS(Payments!$C$5:$C$2500,Payments!$G$5:$G$2500,$K590)))</f>
      </c>
      <c r="F590" s="34">
        <f>IF(OR($D590="",$K590=""),"",SUMIF(Payments!$G$5:$G$2500,$K590,Payments!$D$5:$D$2500))</f>
      </c>
      <c r="G590" s="36">
        <f>IF($D590="","",ROUND($D590-IF($F590="",0,$F590),2))</f>
      </c>
      <c r="H590" s="35">
        <f>IF(OR($D590="",$K590=""),"",COUNTIF(Payments!$G$5:$G$2500,$K590))</f>
      </c>
      <c r="I590" s="37">
        <f>IF($D590="","",IF(OR($F590="",$F590=0),"Pending",IF(ROUND($F590-$D590,2)&gt;0,"Overpaid",IF(ROUND($F590-$D590,2)=0,"Paid","Partial"))))</f>
      </c>
      <c r="J590" s="29"/>
      <c r="K590">
        <f>IF($A590="","","#"&amp;TRIM(SUBSTITUTE(SUBSTITUTE(SUBSTITUTE(SUBSTITUTE(SUBSTITUTE(SUBSTITUTE($A590,"-",""),"(",""),")",""),".",""),"+","")," ","")))</f>
      </c>
    </row>
    <row r="591" spans="1:11" x14ac:dyDescent="0.3">
      <c r="A591" s="28"/>
      <c r="B591" s="29"/>
      <c r="C591" s="30"/>
      <c r="D591" s="31"/>
      <c r="E591" s="33">
        <f>IF(OR($D591="",$K591=""),"",IF(COUNTIFS(Payments!$G$5:$G$2500,$K591,Payments!$C$5:$C$2500,"&lt;&gt;")=0,"",_xlfn.MAXIFS(Payments!$C$5:$C$2500,Payments!$G$5:$G$2500,$K591)))</f>
      </c>
      <c r="F591" s="34">
        <f>IF(OR($D591="",$K591=""),"",SUMIF(Payments!$G$5:$G$2500,$K591,Payments!$D$5:$D$2500))</f>
      </c>
      <c r="G591" s="36">
        <f>IF($D591="","",ROUND($D591-IF($F591="",0,$F591),2))</f>
      </c>
      <c r="H591" s="35">
        <f>IF(OR($D591="",$K591=""),"",COUNTIF(Payments!$G$5:$G$2500,$K591))</f>
      </c>
      <c r="I591" s="37">
        <f>IF($D591="","",IF(OR($F591="",$F591=0),"Pending",IF(ROUND($F591-$D591,2)&gt;0,"Overpaid",IF(ROUND($F591-$D591,2)=0,"Paid","Partial"))))</f>
      </c>
      <c r="J591" s="29"/>
      <c r="K591">
        <f>IF($A591="","","#"&amp;TRIM(SUBSTITUTE(SUBSTITUTE(SUBSTITUTE(SUBSTITUTE(SUBSTITUTE(SUBSTITUTE($A591,"-",""),"(",""),")",""),".",""),"+","")," ","")))</f>
      </c>
    </row>
    <row r="592" spans="1:11" x14ac:dyDescent="0.3">
      <c r="A592" s="28"/>
      <c r="B592" s="29"/>
      <c r="C592" s="30"/>
      <c r="D592" s="31"/>
      <c r="E592" s="33">
        <f>IF(OR($D592="",$K592=""),"",IF(COUNTIFS(Payments!$G$5:$G$2500,$K592,Payments!$C$5:$C$2500,"&lt;&gt;")=0,"",_xlfn.MAXIFS(Payments!$C$5:$C$2500,Payments!$G$5:$G$2500,$K592)))</f>
      </c>
      <c r="F592" s="34">
        <f>IF(OR($D592="",$K592=""),"",SUMIF(Payments!$G$5:$G$2500,$K592,Payments!$D$5:$D$2500))</f>
      </c>
      <c r="G592" s="36">
        <f>IF($D592="","",ROUND($D592-IF($F592="",0,$F592),2))</f>
      </c>
      <c r="H592" s="35">
        <f>IF(OR($D592="",$K592=""),"",COUNTIF(Payments!$G$5:$G$2500,$K592))</f>
      </c>
      <c r="I592" s="37">
        <f>IF($D592="","",IF(OR($F592="",$F592=0),"Pending",IF(ROUND($F592-$D592,2)&gt;0,"Overpaid",IF(ROUND($F592-$D592,2)=0,"Paid","Partial"))))</f>
      </c>
      <c r="J592" s="29"/>
      <c r="K592">
        <f>IF($A592="","","#"&amp;TRIM(SUBSTITUTE(SUBSTITUTE(SUBSTITUTE(SUBSTITUTE(SUBSTITUTE(SUBSTITUTE($A592,"-",""),"(",""),")",""),".",""),"+","")," ","")))</f>
      </c>
    </row>
    <row r="593" spans="1:11" x14ac:dyDescent="0.3">
      <c r="A593" s="28"/>
      <c r="B593" s="29"/>
      <c r="C593" s="30"/>
      <c r="D593" s="31"/>
      <c r="E593" s="33">
        <f>IF(OR($D593="",$K593=""),"",IF(COUNTIFS(Payments!$G$5:$G$2500,$K593,Payments!$C$5:$C$2500,"&lt;&gt;")=0,"",_xlfn.MAXIFS(Payments!$C$5:$C$2500,Payments!$G$5:$G$2500,$K593)))</f>
      </c>
      <c r="F593" s="34">
        <f>IF(OR($D593="",$K593=""),"",SUMIF(Payments!$G$5:$G$2500,$K593,Payments!$D$5:$D$2500))</f>
      </c>
      <c r="G593" s="36">
        <f>IF($D593="","",ROUND($D593-IF($F593="",0,$F593),2))</f>
      </c>
      <c r="H593" s="35">
        <f>IF(OR($D593="",$K593=""),"",COUNTIF(Payments!$G$5:$G$2500,$K593))</f>
      </c>
      <c r="I593" s="37">
        <f>IF($D593="","",IF(OR($F593="",$F593=0),"Pending",IF(ROUND($F593-$D593,2)&gt;0,"Overpaid",IF(ROUND($F593-$D593,2)=0,"Paid","Partial"))))</f>
      </c>
      <c r="J593" s="29"/>
      <c r="K593">
        <f>IF($A593="","","#"&amp;TRIM(SUBSTITUTE(SUBSTITUTE(SUBSTITUTE(SUBSTITUTE(SUBSTITUTE(SUBSTITUTE($A593,"-",""),"(",""),")",""),".",""),"+","")," ","")))</f>
      </c>
    </row>
    <row r="594" spans="1:11" x14ac:dyDescent="0.3">
      <c r="A594" s="28"/>
      <c r="B594" s="29"/>
      <c r="C594" s="30"/>
      <c r="D594" s="31"/>
      <c r="E594" s="33">
        <f>IF(OR($D594="",$K594=""),"",IF(COUNTIFS(Payments!$G$5:$G$2500,$K594,Payments!$C$5:$C$2500,"&lt;&gt;")=0,"",_xlfn.MAXIFS(Payments!$C$5:$C$2500,Payments!$G$5:$G$2500,$K594)))</f>
      </c>
      <c r="F594" s="34">
        <f>IF(OR($D594="",$K594=""),"",SUMIF(Payments!$G$5:$G$2500,$K594,Payments!$D$5:$D$2500))</f>
      </c>
      <c r="G594" s="36">
        <f>IF($D594="","",ROUND($D594-IF($F594="",0,$F594),2))</f>
      </c>
      <c r="H594" s="35">
        <f>IF(OR($D594="",$K594=""),"",COUNTIF(Payments!$G$5:$G$2500,$K594))</f>
      </c>
      <c r="I594" s="37">
        <f>IF($D594="","",IF(OR($F594="",$F594=0),"Pending",IF(ROUND($F594-$D594,2)&gt;0,"Overpaid",IF(ROUND($F594-$D594,2)=0,"Paid","Partial"))))</f>
      </c>
      <c r="J594" s="29"/>
      <c r="K594">
        <f>IF($A594="","","#"&amp;TRIM(SUBSTITUTE(SUBSTITUTE(SUBSTITUTE(SUBSTITUTE(SUBSTITUTE(SUBSTITUTE($A594,"-",""),"(",""),")",""),".",""),"+","")," ","")))</f>
      </c>
    </row>
    <row r="595" spans="1:11" x14ac:dyDescent="0.3">
      <c r="A595" s="28"/>
      <c r="B595" s="29"/>
      <c r="C595" s="30"/>
      <c r="D595" s="31"/>
      <c r="E595" s="33">
        <f>IF(OR($D595="",$K595=""),"",IF(COUNTIFS(Payments!$G$5:$G$2500,$K595,Payments!$C$5:$C$2500,"&lt;&gt;")=0,"",_xlfn.MAXIFS(Payments!$C$5:$C$2500,Payments!$G$5:$G$2500,$K595)))</f>
      </c>
      <c r="F595" s="34">
        <f>IF(OR($D595="",$K595=""),"",SUMIF(Payments!$G$5:$G$2500,$K595,Payments!$D$5:$D$2500))</f>
      </c>
      <c r="G595" s="36">
        <f>IF($D595="","",ROUND($D595-IF($F595="",0,$F595),2))</f>
      </c>
      <c r="H595" s="35">
        <f>IF(OR($D595="",$K595=""),"",COUNTIF(Payments!$G$5:$G$2500,$K595))</f>
      </c>
      <c r="I595" s="37">
        <f>IF($D595="","",IF(OR($F595="",$F595=0),"Pending",IF(ROUND($F595-$D595,2)&gt;0,"Overpaid",IF(ROUND($F595-$D595,2)=0,"Paid","Partial"))))</f>
      </c>
      <c r="J595" s="29"/>
      <c r="K595">
        <f>IF($A595="","","#"&amp;TRIM(SUBSTITUTE(SUBSTITUTE(SUBSTITUTE(SUBSTITUTE(SUBSTITUTE(SUBSTITUTE($A595,"-",""),"(",""),")",""),".",""),"+","")," ","")))</f>
      </c>
    </row>
    <row r="596" spans="1:11" x14ac:dyDescent="0.3">
      <c r="A596" s="28"/>
      <c r="B596" s="29"/>
      <c r="C596" s="30"/>
      <c r="D596" s="31"/>
      <c r="E596" s="33">
        <f>IF(OR($D596="",$K596=""),"",IF(COUNTIFS(Payments!$G$5:$G$2500,$K596,Payments!$C$5:$C$2500,"&lt;&gt;")=0,"",_xlfn.MAXIFS(Payments!$C$5:$C$2500,Payments!$G$5:$G$2500,$K596)))</f>
      </c>
      <c r="F596" s="34">
        <f>IF(OR($D596="",$K596=""),"",SUMIF(Payments!$G$5:$G$2500,$K596,Payments!$D$5:$D$2500))</f>
      </c>
      <c r="G596" s="36">
        <f>IF($D596="","",ROUND($D596-IF($F596="",0,$F596),2))</f>
      </c>
      <c r="H596" s="35">
        <f>IF(OR($D596="",$K596=""),"",COUNTIF(Payments!$G$5:$G$2500,$K596))</f>
      </c>
      <c r="I596" s="37">
        <f>IF($D596="","",IF(OR($F596="",$F596=0),"Pending",IF(ROUND($F596-$D596,2)&gt;0,"Overpaid",IF(ROUND($F596-$D596,2)=0,"Paid","Partial"))))</f>
      </c>
      <c r="J596" s="29"/>
      <c r="K596">
        <f>IF($A596="","","#"&amp;TRIM(SUBSTITUTE(SUBSTITUTE(SUBSTITUTE(SUBSTITUTE(SUBSTITUTE(SUBSTITUTE($A596,"-",""),"(",""),")",""),".",""),"+","")," ","")))</f>
      </c>
    </row>
    <row r="597" spans="1:11" x14ac:dyDescent="0.3">
      <c r="A597" s="28"/>
      <c r="B597" s="29"/>
      <c r="C597" s="30"/>
      <c r="D597" s="31"/>
      <c r="E597" s="33">
        <f>IF(OR($D597="",$K597=""),"",IF(COUNTIFS(Payments!$G$5:$G$2500,$K597,Payments!$C$5:$C$2500,"&lt;&gt;")=0,"",_xlfn.MAXIFS(Payments!$C$5:$C$2500,Payments!$G$5:$G$2500,$K597)))</f>
      </c>
      <c r="F597" s="34">
        <f>IF(OR($D597="",$K597=""),"",SUMIF(Payments!$G$5:$G$2500,$K597,Payments!$D$5:$D$2500))</f>
      </c>
      <c r="G597" s="36">
        <f>IF($D597="","",ROUND($D597-IF($F597="",0,$F597),2))</f>
      </c>
      <c r="H597" s="35">
        <f>IF(OR($D597="",$K597=""),"",COUNTIF(Payments!$G$5:$G$2500,$K597))</f>
      </c>
      <c r="I597" s="37">
        <f>IF($D597="","",IF(OR($F597="",$F597=0),"Pending",IF(ROUND($F597-$D597,2)&gt;0,"Overpaid",IF(ROUND($F597-$D597,2)=0,"Paid","Partial"))))</f>
      </c>
      <c r="J597" s="29"/>
      <c r="K597">
        <f>IF($A597="","","#"&amp;TRIM(SUBSTITUTE(SUBSTITUTE(SUBSTITUTE(SUBSTITUTE(SUBSTITUTE(SUBSTITUTE($A597,"-",""),"(",""),")",""),".",""),"+","")," ","")))</f>
      </c>
    </row>
    <row r="598" spans="1:11" x14ac:dyDescent="0.3">
      <c r="A598" s="28"/>
      <c r="B598" s="29"/>
      <c r="C598" s="30"/>
      <c r="D598" s="31"/>
      <c r="E598" s="33">
        <f>IF(OR($D598="",$K598=""),"",IF(COUNTIFS(Payments!$G$5:$G$2500,$K598,Payments!$C$5:$C$2500,"&lt;&gt;")=0,"",_xlfn.MAXIFS(Payments!$C$5:$C$2500,Payments!$G$5:$G$2500,$K598)))</f>
      </c>
      <c r="F598" s="34">
        <f>IF(OR($D598="",$K598=""),"",SUMIF(Payments!$G$5:$G$2500,$K598,Payments!$D$5:$D$2500))</f>
      </c>
      <c r="G598" s="36">
        <f>IF($D598="","",ROUND($D598-IF($F598="",0,$F598),2))</f>
      </c>
      <c r="H598" s="35">
        <f>IF(OR($D598="",$K598=""),"",COUNTIF(Payments!$G$5:$G$2500,$K598))</f>
      </c>
      <c r="I598" s="37">
        <f>IF($D598="","",IF(OR($F598="",$F598=0),"Pending",IF(ROUND($F598-$D598,2)&gt;0,"Overpaid",IF(ROUND($F598-$D598,2)=0,"Paid","Partial"))))</f>
      </c>
      <c r="J598" s="29"/>
      <c r="K598">
        <f>IF($A598="","","#"&amp;TRIM(SUBSTITUTE(SUBSTITUTE(SUBSTITUTE(SUBSTITUTE(SUBSTITUTE(SUBSTITUTE($A598,"-",""),"(",""),")",""),".",""),"+","")," ","")))</f>
      </c>
    </row>
    <row r="599" spans="1:11" x14ac:dyDescent="0.3">
      <c r="A599" s="28"/>
      <c r="B599" s="29"/>
      <c r="C599" s="30"/>
      <c r="D599" s="31"/>
      <c r="E599" s="33">
        <f>IF(OR($D599="",$K599=""),"",IF(COUNTIFS(Payments!$G$5:$G$2500,$K599,Payments!$C$5:$C$2500,"&lt;&gt;")=0,"",_xlfn.MAXIFS(Payments!$C$5:$C$2500,Payments!$G$5:$G$2500,$K599)))</f>
      </c>
      <c r="F599" s="34">
        <f>IF(OR($D599="",$K599=""),"",SUMIF(Payments!$G$5:$G$2500,$K599,Payments!$D$5:$D$2500))</f>
      </c>
      <c r="G599" s="36">
        <f>IF($D599="","",ROUND($D599-IF($F599="",0,$F599),2))</f>
      </c>
      <c r="H599" s="35">
        <f>IF(OR($D599="",$K599=""),"",COUNTIF(Payments!$G$5:$G$2500,$K599))</f>
      </c>
      <c r="I599" s="37">
        <f>IF($D599="","",IF(OR($F599="",$F599=0),"Pending",IF(ROUND($F599-$D599,2)&gt;0,"Overpaid",IF(ROUND($F599-$D599,2)=0,"Paid","Partial"))))</f>
      </c>
      <c r="J599" s="29"/>
      <c r="K599">
        <f>IF($A599="","","#"&amp;TRIM(SUBSTITUTE(SUBSTITUTE(SUBSTITUTE(SUBSTITUTE(SUBSTITUTE(SUBSTITUTE($A599,"-",""),"(",""),")",""),".",""),"+","")," ","")))</f>
      </c>
    </row>
    <row r="600" spans="1:11" x14ac:dyDescent="0.3">
      <c r="A600" s="28"/>
      <c r="B600" s="29"/>
      <c r="C600" s="30"/>
      <c r="D600" s="31"/>
      <c r="E600" s="33">
        <f>IF(OR($D600="",$K600=""),"",IF(COUNTIFS(Payments!$G$5:$G$2500,$K600,Payments!$C$5:$C$2500,"&lt;&gt;")=0,"",_xlfn.MAXIFS(Payments!$C$5:$C$2500,Payments!$G$5:$G$2500,$K600)))</f>
      </c>
      <c r="F600" s="34">
        <f>IF(OR($D600="",$K600=""),"",SUMIF(Payments!$G$5:$G$2500,$K600,Payments!$D$5:$D$2500))</f>
      </c>
      <c r="G600" s="36">
        <f>IF($D600="","",ROUND($D600-IF($F600="",0,$F600),2))</f>
      </c>
      <c r="H600" s="35">
        <f>IF(OR($D600="",$K600=""),"",COUNTIF(Payments!$G$5:$G$2500,$K600))</f>
      </c>
      <c r="I600" s="37">
        <f>IF($D600="","",IF(OR($F600="",$F600=0),"Pending",IF(ROUND($F600-$D600,2)&gt;0,"Overpaid",IF(ROUND($F600-$D600,2)=0,"Paid","Partial"))))</f>
      </c>
      <c r="J600" s="29"/>
      <c r="K600">
        <f>IF($A600="","","#"&amp;TRIM(SUBSTITUTE(SUBSTITUTE(SUBSTITUTE(SUBSTITUTE(SUBSTITUTE(SUBSTITUTE($A600,"-",""),"(",""),")",""),".",""),"+","")," ","")))</f>
      </c>
    </row>
    <row r="601" spans="1:11" x14ac:dyDescent="0.3">
      <c r="A601" s="28"/>
      <c r="B601" s="29"/>
      <c r="C601" s="30"/>
      <c r="D601" s="31"/>
      <c r="E601" s="33">
        <f>IF(OR($D601="",$K601=""),"",IF(COUNTIFS(Payments!$G$5:$G$2500,$K601,Payments!$C$5:$C$2500,"&lt;&gt;")=0,"",_xlfn.MAXIFS(Payments!$C$5:$C$2500,Payments!$G$5:$G$2500,$K601)))</f>
      </c>
      <c r="F601" s="34">
        <f>IF(OR($D601="",$K601=""),"",SUMIF(Payments!$G$5:$G$2500,$K601,Payments!$D$5:$D$2500))</f>
      </c>
      <c r="G601" s="36">
        <f>IF($D601="","",ROUND($D601-IF($F601="",0,$F601),2))</f>
      </c>
      <c r="H601" s="35">
        <f>IF(OR($D601="",$K601=""),"",COUNTIF(Payments!$G$5:$G$2500,$K601))</f>
      </c>
      <c r="I601" s="37">
        <f>IF($D601="","",IF(OR($F601="",$F601=0),"Pending",IF(ROUND($F601-$D601,2)&gt;0,"Overpaid",IF(ROUND($F601-$D601,2)=0,"Paid","Partial"))))</f>
      </c>
      <c r="J601" s="29"/>
      <c r="K601">
        <f>IF($A601="","","#"&amp;TRIM(SUBSTITUTE(SUBSTITUTE(SUBSTITUTE(SUBSTITUTE(SUBSTITUTE(SUBSTITUTE($A601,"-",""),"(",""),")",""),".",""),"+","")," ","")))</f>
      </c>
    </row>
    <row r="602" spans="1:11" x14ac:dyDescent="0.3">
      <c r="A602" s="28"/>
      <c r="B602" s="29"/>
      <c r="C602" s="30"/>
      <c r="D602" s="31"/>
      <c r="E602" s="33">
        <f>IF(OR($D602="",$K602=""),"",IF(COUNTIFS(Payments!$G$5:$G$2500,$K602,Payments!$C$5:$C$2500,"&lt;&gt;")=0,"",_xlfn.MAXIFS(Payments!$C$5:$C$2500,Payments!$G$5:$G$2500,$K602)))</f>
      </c>
      <c r="F602" s="34">
        <f>IF(OR($D602="",$K602=""),"",SUMIF(Payments!$G$5:$G$2500,$K602,Payments!$D$5:$D$2500))</f>
      </c>
      <c r="G602" s="36">
        <f>IF($D602="","",ROUND($D602-IF($F602="",0,$F602),2))</f>
      </c>
      <c r="H602" s="35">
        <f>IF(OR($D602="",$K602=""),"",COUNTIF(Payments!$G$5:$G$2500,$K602))</f>
      </c>
      <c r="I602" s="37">
        <f>IF($D602="","",IF(OR($F602="",$F602=0),"Pending",IF(ROUND($F602-$D602,2)&gt;0,"Overpaid",IF(ROUND($F602-$D602,2)=0,"Paid","Partial"))))</f>
      </c>
      <c r="J602" s="29"/>
      <c r="K602">
        <f>IF($A602="","","#"&amp;TRIM(SUBSTITUTE(SUBSTITUTE(SUBSTITUTE(SUBSTITUTE(SUBSTITUTE(SUBSTITUTE($A602,"-",""),"(",""),")",""),".",""),"+","")," ","")))</f>
      </c>
    </row>
    <row r="603" spans="1:11" x14ac:dyDescent="0.3">
      <c r="A603" s="28"/>
      <c r="B603" s="29"/>
      <c r="C603" s="30"/>
      <c r="D603" s="31"/>
      <c r="E603" s="33">
        <f>IF(OR($D603="",$K603=""),"",IF(COUNTIFS(Payments!$G$5:$G$2500,$K603,Payments!$C$5:$C$2500,"&lt;&gt;")=0,"",_xlfn.MAXIFS(Payments!$C$5:$C$2500,Payments!$G$5:$G$2500,$K603)))</f>
      </c>
      <c r="F603" s="34">
        <f>IF(OR($D603="",$K603=""),"",SUMIF(Payments!$G$5:$G$2500,$K603,Payments!$D$5:$D$2500))</f>
      </c>
      <c r="G603" s="36">
        <f>IF($D603="","",ROUND($D603-IF($F603="",0,$F603),2))</f>
      </c>
      <c r="H603" s="35">
        <f>IF(OR($D603="",$K603=""),"",COUNTIF(Payments!$G$5:$G$2500,$K603))</f>
      </c>
      <c r="I603" s="37">
        <f>IF($D603="","",IF(OR($F603="",$F603=0),"Pending",IF(ROUND($F603-$D603,2)&gt;0,"Overpaid",IF(ROUND($F603-$D603,2)=0,"Paid","Partial"))))</f>
      </c>
      <c r="J603" s="29"/>
      <c r="K603">
        <f>IF($A603="","","#"&amp;TRIM(SUBSTITUTE(SUBSTITUTE(SUBSTITUTE(SUBSTITUTE(SUBSTITUTE(SUBSTITUTE($A603,"-",""),"(",""),")",""),".",""),"+","")," ","")))</f>
      </c>
    </row>
    <row r="604" spans="1:11" x14ac:dyDescent="0.3">
      <c r="A604" s="28"/>
      <c r="B604" s="29"/>
      <c r="C604" s="30"/>
      <c r="D604" s="31"/>
      <c r="E604" s="33">
        <f>IF(OR($D604="",$K604=""),"",IF(COUNTIFS(Payments!$G$5:$G$2500,$K604,Payments!$C$5:$C$2500,"&lt;&gt;")=0,"",_xlfn.MAXIFS(Payments!$C$5:$C$2500,Payments!$G$5:$G$2500,$K604)))</f>
      </c>
      <c r="F604" s="34">
        <f>IF(OR($D604="",$K604=""),"",SUMIF(Payments!$G$5:$G$2500,$K604,Payments!$D$5:$D$2500))</f>
      </c>
      <c r="G604" s="36">
        <f>IF($D604="","",ROUND($D604-IF($F604="",0,$F604),2))</f>
      </c>
      <c r="H604" s="35">
        <f>IF(OR($D604="",$K604=""),"",COUNTIF(Payments!$G$5:$G$2500,$K604))</f>
      </c>
      <c r="I604" s="37">
        <f>IF($D604="","",IF(OR($F604="",$F604=0),"Pending",IF(ROUND($F604-$D604,2)&gt;0,"Overpaid",IF(ROUND($F604-$D604,2)=0,"Paid","Partial"))))</f>
      </c>
      <c r="J604" s="29"/>
      <c r="K604">
        <f>IF($A604="","","#"&amp;TRIM(SUBSTITUTE(SUBSTITUTE(SUBSTITUTE(SUBSTITUTE(SUBSTITUTE(SUBSTITUTE($A604,"-",""),"(",""),")",""),".",""),"+","")," ","")))</f>
      </c>
    </row>
    <row r="605" spans="1:11" x14ac:dyDescent="0.3">
      <c r="A605" s="28"/>
      <c r="B605" s="29"/>
      <c r="C605" s="30"/>
      <c r="D605" s="31"/>
      <c r="E605" s="33">
        <f>IF(OR($D605="",$K605=""),"",IF(COUNTIFS(Payments!$G$5:$G$2500,$K605,Payments!$C$5:$C$2500,"&lt;&gt;")=0,"",_xlfn.MAXIFS(Payments!$C$5:$C$2500,Payments!$G$5:$G$2500,$K605)))</f>
      </c>
      <c r="F605" s="34">
        <f>IF(OR($D605="",$K605=""),"",SUMIF(Payments!$G$5:$G$2500,$K605,Payments!$D$5:$D$2500))</f>
      </c>
      <c r="G605" s="36">
        <f>IF($D605="","",ROUND($D605-IF($F605="",0,$F605),2))</f>
      </c>
      <c r="H605" s="35">
        <f>IF(OR($D605="",$K605=""),"",COUNTIF(Payments!$G$5:$G$2500,$K605))</f>
      </c>
      <c r="I605" s="37">
        <f>IF($D605="","",IF(OR($F605="",$F605=0),"Pending",IF(ROUND($F605-$D605,2)&gt;0,"Overpaid",IF(ROUND($F605-$D605,2)=0,"Paid","Partial"))))</f>
      </c>
      <c r="J605" s="29"/>
      <c r="K605">
        <f>IF($A605="","","#"&amp;TRIM(SUBSTITUTE(SUBSTITUTE(SUBSTITUTE(SUBSTITUTE(SUBSTITUTE(SUBSTITUTE($A605,"-",""),"(",""),")",""),".",""),"+","")," ","")))</f>
      </c>
    </row>
    <row r="606" spans="1:11" x14ac:dyDescent="0.3">
      <c r="A606" s="28"/>
      <c r="B606" s="29"/>
      <c r="C606" s="30"/>
      <c r="D606" s="31"/>
      <c r="E606" s="33">
        <f>IF(OR($D606="",$K606=""),"",IF(COUNTIFS(Payments!$G$5:$G$2500,$K606,Payments!$C$5:$C$2500,"&lt;&gt;")=0,"",_xlfn.MAXIFS(Payments!$C$5:$C$2500,Payments!$G$5:$G$2500,$K606)))</f>
      </c>
      <c r="F606" s="34">
        <f>IF(OR($D606="",$K606=""),"",SUMIF(Payments!$G$5:$G$2500,$K606,Payments!$D$5:$D$2500))</f>
      </c>
      <c r="G606" s="36">
        <f>IF($D606="","",ROUND($D606-IF($F606="",0,$F606),2))</f>
      </c>
      <c r="H606" s="35">
        <f>IF(OR($D606="",$K606=""),"",COUNTIF(Payments!$G$5:$G$2500,$K606))</f>
      </c>
      <c r="I606" s="37">
        <f>IF($D606="","",IF(OR($F606="",$F606=0),"Pending",IF(ROUND($F606-$D606,2)&gt;0,"Overpaid",IF(ROUND($F606-$D606,2)=0,"Paid","Partial"))))</f>
      </c>
      <c r="J606" s="29"/>
      <c r="K606">
        <f>IF($A606="","","#"&amp;TRIM(SUBSTITUTE(SUBSTITUTE(SUBSTITUTE(SUBSTITUTE(SUBSTITUTE(SUBSTITUTE($A606,"-",""),"(",""),")",""),".",""),"+","")," ","")))</f>
      </c>
    </row>
    <row r="607" spans="1:11" x14ac:dyDescent="0.3">
      <c r="A607" s="28"/>
      <c r="B607" s="29"/>
      <c r="C607" s="30"/>
      <c r="D607" s="31"/>
      <c r="E607" s="33">
        <f>IF(OR($D607="",$K607=""),"",IF(COUNTIFS(Payments!$G$5:$G$2500,$K607,Payments!$C$5:$C$2500,"&lt;&gt;")=0,"",_xlfn.MAXIFS(Payments!$C$5:$C$2500,Payments!$G$5:$G$2500,$K607)))</f>
      </c>
      <c r="F607" s="34">
        <f>IF(OR($D607="",$K607=""),"",SUMIF(Payments!$G$5:$G$2500,$K607,Payments!$D$5:$D$2500))</f>
      </c>
      <c r="G607" s="36">
        <f>IF($D607="","",ROUND($D607-IF($F607="",0,$F607),2))</f>
      </c>
      <c r="H607" s="35">
        <f>IF(OR($D607="",$K607=""),"",COUNTIF(Payments!$G$5:$G$2500,$K607))</f>
      </c>
      <c r="I607" s="37">
        <f>IF($D607="","",IF(OR($F607="",$F607=0),"Pending",IF(ROUND($F607-$D607,2)&gt;0,"Overpaid",IF(ROUND($F607-$D607,2)=0,"Paid","Partial"))))</f>
      </c>
      <c r="J607" s="29"/>
      <c r="K607">
        <f>IF($A607="","","#"&amp;TRIM(SUBSTITUTE(SUBSTITUTE(SUBSTITUTE(SUBSTITUTE(SUBSTITUTE(SUBSTITUTE($A607,"-",""),"(",""),")",""),".",""),"+","")," ","")))</f>
      </c>
    </row>
    <row r="608" spans="1:11" x14ac:dyDescent="0.3">
      <c r="A608" s="28"/>
      <c r="B608" s="29"/>
      <c r="C608" s="30"/>
      <c r="D608" s="31"/>
      <c r="E608" s="33">
        <f>IF(OR($D608="",$K608=""),"",IF(COUNTIFS(Payments!$G$5:$G$2500,$K608,Payments!$C$5:$C$2500,"&lt;&gt;")=0,"",_xlfn.MAXIFS(Payments!$C$5:$C$2500,Payments!$G$5:$G$2500,$K608)))</f>
      </c>
      <c r="F608" s="34">
        <f>IF(OR($D608="",$K608=""),"",SUMIF(Payments!$G$5:$G$2500,$K608,Payments!$D$5:$D$2500))</f>
      </c>
      <c r="G608" s="36">
        <f>IF($D608="","",ROUND($D608-IF($F608="",0,$F608),2))</f>
      </c>
      <c r="H608" s="35">
        <f>IF(OR($D608="",$K608=""),"",COUNTIF(Payments!$G$5:$G$2500,$K608))</f>
      </c>
      <c r="I608" s="37">
        <f>IF($D608="","",IF(OR($F608="",$F608=0),"Pending",IF(ROUND($F608-$D608,2)&gt;0,"Overpaid",IF(ROUND($F608-$D608,2)=0,"Paid","Partial"))))</f>
      </c>
      <c r="J608" s="29"/>
      <c r="K608">
        <f>IF($A608="","","#"&amp;TRIM(SUBSTITUTE(SUBSTITUTE(SUBSTITUTE(SUBSTITUTE(SUBSTITUTE(SUBSTITUTE($A608,"-",""),"(",""),")",""),".",""),"+","")," ","")))</f>
      </c>
    </row>
    <row r="609" spans="1:11" x14ac:dyDescent="0.3">
      <c r="A609" s="28"/>
      <c r="B609" s="29"/>
      <c r="C609" s="30"/>
      <c r="D609" s="31"/>
      <c r="E609" s="33">
        <f>IF(OR($D609="",$K609=""),"",IF(COUNTIFS(Payments!$G$5:$G$2500,$K609,Payments!$C$5:$C$2500,"&lt;&gt;")=0,"",_xlfn.MAXIFS(Payments!$C$5:$C$2500,Payments!$G$5:$G$2500,$K609)))</f>
      </c>
      <c r="F609" s="34">
        <f>IF(OR($D609="",$K609=""),"",SUMIF(Payments!$G$5:$G$2500,$K609,Payments!$D$5:$D$2500))</f>
      </c>
      <c r="G609" s="36">
        <f>IF($D609="","",ROUND($D609-IF($F609="",0,$F609),2))</f>
      </c>
      <c r="H609" s="35">
        <f>IF(OR($D609="",$K609=""),"",COUNTIF(Payments!$G$5:$G$2500,$K609))</f>
      </c>
      <c r="I609" s="37">
        <f>IF($D609="","",IF(OR($F609="",$F609=0),"Pending",IF(ROUND($F609-$D609,2)&gt;0,"Overpaid",IF(ROUND($F609-$D609,2)=0,"Paid","Partial"))))</f>
      </c>
      <c r="J609" s="29"/>
      <c r="K609">
        <f>IF($A609="","","#"&amp;TRIM(SUBSTITUTE(SUBSTITUTE(SUBSTITUTE(SUBSTITUTE(SUBSTITUTE(SUBSTITUTE($A609,"-",""),"(",""),")",""),".",""),"+","")," ","")))</f>
      </c>
    </row>
    <row r="610" spans="1:11" x14ac:dyDescent="0.3">
      <c r="A610" s="28"/>
      <c r="B610" s="29"/>
      <c r="C610" s="30"/>
      <c r="D610" s="31"/>
      <c r="E610" s="33">
        <f>IF(OR($D610="",$K610=""),"",IF(COUNTIFS(Payments!$G$5:$G$2500,$K610,Payments!$C$5:$C$2500,"&lt;&gt;")=0,"",_xlfn.MAXIFS(Payments!$C$5:$C$2500,Payments!$G$5:$G$2500,$K610)))</f>
      </c>
      <c r="F610" s="34">
        <f>IF(OR($D610="",$K610=""),"",SUMIF(Payments!$G$5:$G$2500,$K610,Payments!$D$5:$D$2500))</f>
      </c>
      <c r="G610" s="36">
        <f>IF($D610="","",ROUND($D610-IF($F610="",0,$F610),2))</f>
      </c>
      <c r="H610" s="35">
        <f>IF(OR($D610="",$K610=""),"",COUNTIF(Payments!$G$5:$G$2500,$K610))</f>
      </c>
      <c r="I610" s="37">
        <f>IF($D610="","",IF(OR($F610="",$F610=0),"Pending",IF(ROUND($F610-$D610,2)&gt;0,"Overpaid",IF(ROUND($F610-$D610,2)=0,"Paid","Partial"))))</f>
      </c>
      <c r="J610" s="29"/>
      <c r="K610">
        <f>IF($A610="","","#"&amp;TRIM(SUBSTITUTE(SUBSTITUTE(SUBSTITUTE(SUBSTITUTE(SUBSTITUTE(SUBSTITUTE($A610,"-",""),"(",""),")",""),".",""),"+","")," ","")))</f>
      </c>
    </row>
    <row r="611" spans="1:11" x14ac:dyDescent="0.3">
      <c r="A611" s="28"/>
      <c r="B611" s="29"/>
      <c r="C611" s="30"/>
      <c r="D611" s="31"/>
      <c r="E611" s="33">
        <f>IF(OR($D611="",$K611=""),"",IF(COUNTIFS(Payments!$G$5:$G$2500,$K611,Payments!$C$5:$C$2500,"&lt;&gt;")=0,"",_xlfn.MAXIFS(Payments!$C$5:$C$2500,Payments!$G$5:$G$2500,$K611)))</f>
      </c>
      <c r="F611" s="34">
        <f>IF(OR($D611="",$K611=""),"",SUMIF(Payments!$G$5:$G$2500,$K611,Payments!$D$5:$D$2500))</f>
      </c>
      <c r="G611" s="36">
        <f>IF($D611="","",ROUND($D611-IF($F611="",0,$F611),2))</f>
      </c>
      <c r="H611" s="35">
        <f>IF(OR($D611="",$K611=""),"",COUNTIF(Payments!$G$5:$G$2500,$K611))</f>
      </c>
      <c r="I611" s="37">
        <f>IF($D611="","",IF(OR($F611="",$F611=0),"Pending",IF(ROUND($F611-$D611,2)&gt;0,"Overpaid",IF(ROUND($F611-$D611,2)=0,"Paid","Partial"))))</f>
      </c>
      <c r="J611" s="29"/>
      <c r="K611">
        <f>IF($A611="","","#"&amp;TRIM(SUBSTITUTE(SUBSTITUTE(SUBSTITUTE(SUBSTITUTE(SUBSTITUTE(SUBSTITUTE($A611,"-",""),"(",""),")",""),".",""),"+","")," ","")))</f>
      </c>
    </row>
    <row r="612" spans="1:11" x14ac:dyDescent="0.3">
      <c r="A612" s="28"/>
      <c r="B612" s="29"/>
      <c r="C612" s="30"/>
      <c r="D612" s="31"/>
      <c r="E612" s="33">
        <f>IF(OR($D612="",$K612=""),"",IF(COUNTIFS(Payments!$G$5:$G$2500,$K612,Payments!$C$5:$C$2500,"&lt;&gt;")=0,"",_xlfn.MAXIFS(Payments!$C$5:$C$2500,Payments!$G$5:$G$2500,$K612)))</f>
      </c>
      <c r="F612" s="34">
        <f>IF(OR($D612="",$K612=""),"",SUMIF(Payments!$G$5:$G$2500,$K612,Payments!$D$5:$D$2500))</f>
      </c>
      <c r="G612" s="36">
        <f>IF($D612="","",ROUND($D612-IF($F612="",0,$F612),2))</f>
      </c>
      <c r="H612" s="35">
        <f>IF(OR($D612="",$K612=""),"",COUNTIF(Payments!$G$5:$G$2500,$K612))</f>
      </c>
      <c r="I612" s="37">
        <f>IF($D612="","",IF(OR($F612="",$F612=0),"Pending",IF(ROUND($F612-$D612,2)&gt;0,"Overpaid",IF(ROUND($F612-$D612,2)=0,"Paid","Partial"))))</f>
      </c>
      <c r="J612" s="29"/>
      <c r="K612">
        <f>IF($A612="","","#"&amp;TRIM(SUBSTITUTE(SUBSTITUTE(SUBSTITUTE(SUBSTITUTE(SUBSTITUTE(SUBSTITUTE($A612,"-",""),"(",""),")",""),".",""),"+","")," ","")))</f>
      </c>
    </row>
    <row r="613" spans="1:11" x14ac:dyDescent="0.3">
      <c r="A613" s="28"/>
      <c r="B613" s="29"/>
      <c r="C613" s="30"/>
      <c r="D613" s="31"/>
      <c r="E613" s="33">
        <f>IF(OR($D613="",$K613=""),"",IF(COUNTIFS(Payments!$G$5:$G$2500,$K613,Payments!$C$5:$C$2500,"&lt;&gt;")=0,"",_xlfn.MAXIFS(Payments!$C$5:$C$2500,Payments!$G$5:$G$2500,$K613)))</f>
      </c>
      <c r="F613" s="34">
        <f>IF(OR($D613="",$K613=""),"",SUMIF(Payments!$G$5:$G$2500,$K613,Payments!$D$5:$D$2500))</f>
      </c>
      <c r="G613" s="36">
        <f>IF($D613="","",ROUND($D613-IF($F613="",0,$F613),2))</f>
      </c>
      <c r="H613" s="35">
        <f>IF(OR($D613="",$K613=""),"",COUNTIF(Payments!$G$5:$G$2500,$K613))</f>
      </c>
      <c r="I613" s="37">
        <f>IF($D613="","",IF(OR($F613="",$F613=0),"Pending",IF(ROUND($F613-$D613,2)&gt;0,"Overpaid",IF(ROUND($F613-$D613,2)=0,"Paid","Partial"))))</f>
      </c>
      <c r="J613" s="29"/>
      <c r="K613">
        <f>IF($A613="","","#"&amp;TRIM(SUBSTITUTE(SUBSTITUTE(SUBSTITUTE(SUBSTITUTE(SUBSTITUTE(SUBSTITUTE($A613,"-",""),"(",""),")",""),".",""),"+","")," ","")))</f>
      </c>
    </row>
    <row r="614" spans="1:11" x14ac:dyDescent="0.3">
      <c r="A614" s="28"/>
      <c r="B614" s="29"/>
      <c r="C614" s="30"/>
      <c r="D614" s="31"/>
      <c r="E614" s="33">
        <f>IF(OR($D614="",$K614=""),"",IF(COUNTIFS(Payments!$G$5:$G$2500,$K614,Payments!$C$5:$C$2500,"&lt;&gt;")=0,"",_xlfn.MAXIFS(Payments!$C$5:$C$2500,Payments!$G$5:$G$2500,$K614)))</f>
      </c>
      <c r="F614" s="34">
        <f>IF(OR($D614="",$K614=""),"",SUMIF(Payments!$G$5:$G$2500,$K614,Payments!$D$5:$D$2500))</f>
      </c>
      <c r="G614" s="36">
        <f>IF($D614="","",ROUND($D614-IF($F614="",0,$F614),2))</f>
      </c>
      <c r="H614" s="35">
        <f>IF(OR($D614="",$K614=""),"",COUNTIF(Payments!$G$5:$G$2500,$K614))</f>
      </c>
      <c r="I614" s="37">
        <f>IF($D614="","",IF(OR($F614="",$F614=0),"Pending",IF(ROUND($F614-$D614,2)&gt;0,"Overpaid",IF(ROUND($F614-$D614,2)=0,"Paid","Partial"))))</f>
      </c>
      <c r="J614" s="29"/>
      <c r="K614">
        <f>IF($A614="","","#"&amp;TRIM(SUBSTITUTE(SUBSTITUTE(SUBSTITUTE(SUBSTITUTE(SUBSTITUTE(SUBSTITUTE($A614,"-",""),"(",""),")",""),".",""),"+","")," ","")))</f>
      </c>
    </row>
    <row r="615" spans="1:11" x14ac:dyDescent="0.3">
      <c r="A615" s="28"/>
      <c r="B615" s="29"/>
      <c r="C615" s="30"/>
      <c r="D615" s="31"/>
      <c r="E615" s="33">
        <f>IF(OR($D615="",$K615=""),"",IF(COUNTIFS(Payments!$G$5:$G$2500,$K615,Payments!$C$5:$C$2500,"&lt;&gt;")=0,"",_xlfn.MAXIFS(Payments!$C$5:$C$2500,Payments!$G$5:$G$2500,$K615)))</f>
      </c>
      <c r="F615" s="34">
        <f>IF(OR($D615="",$K615=""),"",SUMIF(Payments!$G$5:$G$2500,$K615,Payments!$D$5:$D$2500))</f>
      </c>
      <c r="G615" s="36">
        <f>IF($D615="","",ROUND($D615-IF($F615="",0,$F615),2))</f>
      </c>
      <c r="H615" s="35">
        <f>IF(OR($D615="",$K615=""),"",COUNTIF(Payments!$G$5:$G$2500,$K615))</f>
      </c>
      <c r="I615" s="37">
        <f>IF($D615="","",IF(OR($F615="",$F615=0),"Pending",IF(ROUND($F615-$D615,2)&gt;0,"Overpaid",IF(ROUND($F615-$D615,2)=0,"Paid","Partial"))))</f>
      </c>
      <c r="J615" s="29"/>
      <c r="K615">
        <f>IF($A615="","","#"&amp;TRIM(SUBSTITUTE(SUBSTITUTE(SUBSTITUTE(SUBSTITUTE(SUBSTITUTE(SUBSTITUTE($A615,"-",""),"(",""),")",""),".",""),"+","")," ","")))</f>
      </c>
    </row>
    <row r="616" spans="1:11" x14ac:dyDescent="0.3">
      <c r="A616" s="28"/>
      <c r="B616" s="29"/>
      <c r="C616" s="30"/>
      <c r="D616" s="31"/>
      <c r="E616" s="33">
        <f>IF(OR($D616="",$K616=""),"",IF(COUNTIFS(Payments!$G$5:$G$2500,$K616,Payments!$C$5:$C$2500,"&lt;&gt;")=0,"",_xlfn.MAXIFS(Payments!$C$5:$C$2500,Payments!$G$5:$G$2500,$K616)))</f>
      </c>
      <c r="F616" s="34">
        <f>IF(OR($D616="",$K616=""),"",SUMIF(Payments!$G$5:$G$2500,$K616,Payments!$D$5:$D$2500))</f>
      </c>
      <c r="G616" s="36">
        <f>IF($D616="","",ROUND($D616-IF($F616="",0,$F616),2))</f>
      </c>
      <c r="H616" s="35">
        <f>IF(OR($D616="",$K616=""),"",COUNTIF(Payments!$G$5:$G$2500,$K616))</f>
      </c>
      <c r="I616" s="37">
        <f>IF($D616="","",IF(OR($F616="",$F616=0),"Pending",IF(ROUND($F616-$D616,2)&gt;0,"Overpaid",IF(ROUND($F616-$D616,2)=0,"Paid","Partial"))))</f>
      </c>
      <c r="J616" s="29"/>
      <c r="K616">
        <f>IF($A616="","","#"&amp;TRIM(SUBSTITUTE(SUBSTITUTE(SUBSTITUTE(SUBSTITUTE(SUBSTITUTE(SUBSTITUTE($A616,"-",""),"(",""),")",""),".",""),"+","")," ","")))</f>
      </c>
    </row>
    <row r="617" spans="1:11" x14ac:dyDescent="0.3">
      <c r="A617" s="28"/>
      <c r="B617" s="29"/>
      <c r="C617" s="30"/>
      <c r="D617" s="31"/>
      <c r="E617" s="33">
        <f>IF(OR($D617="",$K617=""),"",IF(COUNTIFS(Payments!$G$5:$G$2500,$K617,Payments!$C$5:$C$2500,"&lt;&gt;")=0,"",_xlfn.MAXIFS(Payments!$C$5:$C$2500,Payments!$G$5:$G$2500,$K617)))</f>
      </c>
      <c r="F617" s="34">
        <f>IF(OR($D617="",$K617=""),"",SUMIF(Payments!$G$5:$G$2500,$K617,Payments!$D$5:$D$2500))</f>
      </c>
      <c r="G617" s="36">
        <f>IF($D617="","",ROUND($D617-IF($F617="",0,$F617),2))</f>
      </c>
      <c r="H617" s="35">
        <f>IF(OR($D617="",$K617=""),"",COUNTIF(Payments!$G$5:$G$2500,$K617))</f>
      </c>
      <c r="I617" s="37">
        <f>IF($D617="","",IF(OR($F617="",$F617=0),"Pending",IF(ROUND($F617-$D617,2)&gt;0,"Overpaid",IF(ROUND($F617-$D617,2)=0,"Paid","Partial"))))</f>
      </c>
      <c r="J617" s="29"/>
      <c r="K617">
        <f>IF($A617="","","#"&amp;TRIM(SUBSTITUTE(SUBSTITUTE(SUBSTITUTE(SUBSTITUTE(SUBSTITUTE(SUBSTITUTE($A617,"-",""),"(",""),")",""),".",""),"+","")," ","")))</f>
      </c>
    </row>
    <row r="618" spans="1:11" x14ac:dyDescent="0.3">
      <c r="A618" s="28"/>
      <c r="B618" s="29"/>
      <c r="C618" s="30"/>
      <c r="D618" s="31"/>
      <c r="E618" s="33">
        <f>IF(OR($D618="",$K618=""),"",IF(COUNTIFS(Payments!$G$5:$G$2500,$K618,Payments!$C$5:$C$2500,"&lt;&gt;")=0,"",_xlfn.MAXIFS(Payments!$C$5:$C$2500,Payments!$G$5:$G$2500,$K618)))</f>
      </c>
      <c r="F618" s="34">
        <f>IF(OR($D618="",$K618=""),"",SUMIF(Payments!$G$5:$G$2500,$K618,Payments!$D$5:$D$2500))</f>
      </c>
      <c r="G618" s="36">
        <f>IF($D618="","",ROUND($D618-IF($F618="",0,$F618),2))</f>
      </c>
      <c r="H618" s="35">
        <f>IF(OR($D618="",$K618=""),"",COUNTIF(Payments!$G$5:$G$2500,$K618))</f>
      </c>
      <c r="I618" s="37">
        <f>IF($D618="","",IF(OR($F618="",$F618=0),"Pending",IF(ROUND($F618-$D618,2)&gt;0,"Overpaid",IF(ROUND($F618-$D618,2)=0,"Paid","Partial"))))</f>
      </c>
      <c r="J618" s="29"/>
      <c r="K618">
        <f>IF($A618="","","#"&amp;TRIM(SUBSTITUTE(SUBSTITUTE(SUBSTITUTE(SUBSTITUTE(SUBSTITUTE(SUBSTITUTE($A618,"-",""),"(",""),")",""),".",""),"+","")," ","")))</f>
      </c>
    </row>
    <row r="619" spans="1:11" x14ac:dyDescent="0.3">
      <c r="A619" s="28"/>
      <c r="B619" s="29"/>
      <c r="C619" s="30"/>
      <c r="D619" s="31"/>
      <c r="E619" s="33">
        <f>IF(OR($D619="",$K619=""),"",IF(COUNTIFS(Payments!$G$5:$G$2500,$K619,Payments!$C$5:$C$2500,"&lt;&gt;")=0,"",_xlfn.MAXIFS(Payments!$C$5:$C$2500,Payments!$G$5:$G$2500,$K619)))</f>
      </c>
      <c r="F619" s="34">
        <f>IF(OR($D619="",$K619=""),"",SUMIF(Payments!$G$5:$G$2500,$K619,Payments!$D$5:$D$2500))</f>
      </c>
      <c r="G619" s="36">
        <f>IF($D619="","",ROUND($D619-IF($F619="",0,$F619),2))</f>
      </c>
      <c r="H619" s="35">
        <f>IF(OR($D619="",$K619=""),"",COUNTIF(Payments!$G$5:$G$2500,$K619))</f>
      </c>
      <c r="I619" s="37">
        <f>IF($D619="","",IF(OR($F619="",$F619=0),"Pending",IF(ROUND($F619-$D619,2)&gt;0,"Overpaid",IF(ROUND($F619-$D619,2)=0,"Paid","Partial"))))</f>
      </c>
      <c r="J619" s="29"/>
      <c r="K619">
        <f>IF($A619="","","#"&amp;TRIM(SUBSTITUTE(SUBSTITUTE(SUBSTITUTE(SUBSTITUTE(SUBSTITUTE(SUBSTITUTE($A619,"-",""),"(",""),")",""),".",""),"+","")," ","")))</f>
      </c>
    </row>
    <row r="620" spans="1:11" x14ac:dyDescent="0.3">
      <c r="A620" s="28"/>
      <c r="B620" s="29"/>
      <c r="C620" s="30"/>
      <c r="D620" s="31"/>
      <c r="E620" s="33">
        <f>IF(OR($D620="",$K620=""),"",IF(COUNTIFS(Payments!$G$5:$G$2500,$K620,Payments!$C$5:$C$2500,"&lt;&gt;")=0,"",_xlfn.MAXIFS(Payments!$C$5:$C$2500,Payments!$G$5:$G$2500,$K620)))</f>
      </c>
      <c r="F620" s="34">
        <f>IF(OR($D620="",$K620=""),"",SUMIF(Payments!$G$5:$G$2500,$K620,Payments!$D$5:$D$2500))</f>
      </c>
      <c r="G620" s="36">
        <f>IF($D620="","",ROUND($D620-IF($F620="",0,$F620),2))</f>
      </c>
      <c r="H620" s="35">
        <f>IF(OR($D620="",$K620=""),"",COUNTIF(Payments!$G$5:$G$2500,$K620))</f>
      </c>
      <c r="I620" s="37">
        <f>IF($D620="","",IF(OR($F620="",$F620=0),"Pending",IF(ROUND($F620-$D620,2)&gt;0,"Overpaid",IF(ROUND($F620-$D620,2)=0,"Paid","Partial"))))</f>
      </c>
      <c r="J620" s="29"/>
      <c r="K620">
        <f>IF($A620="","","#"&amp;TRIM(SUBSTITUTE(SUBSTITUTE(SUBSTITUTE(SUBSTITUTE(SUBSTITUTE(SUBSTITUTE($A620,"-",""),"(",""),")",""),".",""),"+","")," ","")))</f>
      </c>
    </row>
    <row r="621" spans="1:11" x14ac:dyDescent="0.3">
      <c r="A621" s="28"/>
      <c r="B621" s="29"/>
      <c r="C621" s="30"/>
      <c r="D621" s="31"/>
      <c r="E621" s="33">
        <f>IF(OR($D621="",$K621=""),"",IF(COUNTIFS(Payments!$G$5:$G$2500,$K621,Payments!$C$5:$C$2500,"&lt;&gt;")=0,"",_xlfn.MAXIFS(Payments!$C$5:$C$2500,Payments!$G$5:$G$2500,$K621)))</f>
      </c>
      <c r="F621" s="34">
        <f>IF(OR($D621="",$K621=""),"",SUMIF(Payments!$G$5:$G$2500,$K621,Payments!$D$5:$D$2500))</f>
      </c>
      <c r="G621" s="36">
        <f>IF($D621="","",ROUND($D621-IF($F621="",0,$F621),2))</f>
      </c>
      <c r="H621" s="35">
        <f>IF(OR($D621="",$K621=""),"",COUNTIF(Payments!$G$5:$G$2500,$K621))</f>
      </c>
      <c r="I621" s="37">
        <f>IF($D621="","",IF(OR($F621="",$F621=0),"Pending",IF(ROUND($F621-$D621,2)&gt;0,"Overpaid",IF(ROUND($F621-$D621,2)=0,"Paid","Partial"))))</f>
      </c>
      <c r="J621" s="29"/>
      <c r="K621">
        <f>IF($A621="","","#"&amp;TRIM(SUBSTITUTE(SUBSTITUTE(SUBSTITUTE(SUBSTITUTE(SUBSTITUTE(SUBSTITUTE($A621,"-",""),"(",""),")",""),".",""),"+","")," ","")))</f>
      </c>
    </row>
    <row r="622" spans="1:11" x14ac:dyDescent="0.3">
      <c r="A622" s="28"/>
      <c r="B622" s="29"/>
      <c r="C622" s="30"/>
      <c r="D622" s="31"/>
      <c r="E622" s="33">
        <f>IF(OR($D622="",$K622=""),"",IF(COUNTIFS(Payments!$G$5:$G$2500,$K622,Payments!$C$5:$C$2500,"&lt;&gt;")=0,"",_xlfn.MAXIFS(Payments!$C$5:$C$2500,Payments!$G$5:$G$2500,$K622)))</f>
      </c>
      <c r="F622" s="34">
        <f>IF(OR($D622="",$K622=""),"",SUMIF(Payments!$G$5:$G$2500,$K622,Payments!$D$5:$D$2500))</f>
      </c>
      <c r="G622" s="36">
        <f>IF($D622="","",ROUND($D622-IF($F622="",0,$F622),2))</f>
      </c>
      <c r="H622" s="35">
        <f>IF(OR($D622="",$K622=""),"",COUNTIF(Payments!$G$5:$G$2500,$K622))</f>
      </c>
      <c r="I622" s="37">
        <f>IF($D622="","",IF(OR($F622="",$F622=0),"Pending",IF(ROUND($F622-$D622,2)&gt;0,"Overpaid",IF(ROUND($F622-$D622,2)=0,"Paid","Partial"))))</f>
      </c>
      <c r="J622" s="29"/>
      <c r="K622">
        <f>IF($A622="","","#"&amp;TRIM(SUBSTITUTE(SUBSTITUTE(SUBSTITUTE(SUBSTITUTE(SUBSTITUTE(SUBSTITUTE($A622,"-",""),"(",""),")",""),".",""),"+","")," ","")))</f>
      </c>
    </row>
    <row r="623" spans="1:11" x14ac:dyDescent="0.3">
      <c r="A623" s="28"/>
      <c r="B623" s="29"/>
      <c r="C623" s="30"/>
      <c r="D623" s="31"/>
      <c r="E623" s="33">
        <f>IF(OR($D623="",$K623=""),"",IF(COUNTIFS(Payments!$G$5:$G$2500,$K623,Payments!$C$5:$C$2500,"&lt;&gt;")=0,"",_xlfn.MAXIFS(Payments!$C$5:$C$2500,Payments!$G$5:$G$2500,$K623)))</f>
      </c>
      <c r="F623" s="34">
        <f>IF(OR($D623="",$K623=""),"",SUMIF(Payments!$G$5:$G$2500,$K623,Payments!$D$5:$D$2500))</f>
      </c>
      <c r="G623" s="36">
        <f>IF($D623="","",ROUND($D623-IF($F623="",0,$F623),2))</f>
      </c>
      <c r="H623" s="35">
        <f>IF(OR($D623="",$K623=""),"",COUNTIF(Payments!$G$5:$G$2500,$K623))</f>
      </c>
      <c r="I623" s="37">
        <f>IF($D623="","",IF(OR($F623="",$F623=0),"Pending",IF(ROUND($F623-$D623,2)&gt;0,"Overpaid",IF(ROUND($F623-$D623,2)=0,"Paid","Partial"))))</f>
      </c>
      <c r="J623" s="29"/>
      <c r="K623">
        <f>IF($A623="","","#"&amp;TRIM(SUBSTITUTE(SUBSTITUTE(SUBSTITUTE(SUBSTITUTE(SUBSTITUTE(SUBSTITUTE($A623,"-",""),"(",""),")",""),".",""),"+","")," ","")))</f>
      </c>
    </row>
    <row r="624" spans="1:11" x14ac:dyDescent="0.3">
      <c r="A624" s="28"/>
      <c r="B624" s="29"/>
      <c r="C624" s="30"/>
      <c r="D624" s="31"/>
      <c r="E624" s="33">
        <f>IF(OR($D624="",$K624=""),"",IF(COUNTIFS(Payments!$G$5:$G$2500,$K624,Payments!$C$5:$C$2500,"&lt;&gt;")=0,"",_xlfn.MAXIFS(Payments!$C$5:$C$2500,Payments!$G$5:$G$2500,$K624)))</f>
      </c>
      <c r="F624" s="34">
        <f>IF(OR($D624="",$K624=""),"",SUMIF(Payments!$G$5:$G$2500,$K624,Payments!$D$5:$D$2500))</f>
      </c>
      <c r="G624" s="36">
        <f>IF($D624="","",ROUND($D624-IF($F624="",0,$F624),2))</f>
      </c>
      <c r="H624" s="35">
        <f>IF(OR($D624="",$K624=""),"",COUNTIF(Payments!$G$5:$G$2500,$K624))</f>
      </c>
      <c r="I624" s="37">
        <f>IF($D624="","",IF(OR($F624="",$F624=0),"Pending",IF(ROUND($F624-$D624,2)&gt;0,"Overpaid",IF(ROUND($F624-$D624,2)=0,"Paid","Partial"))))</f>
      </c>
      <c r="J624" s="29"/>
      <c r="K624">
        <f>IF($A624="","","#"&amp;TRIM(SUBSTITUTE(SUBSTITUTE(SUBSTITUTE(SUBSTITUTE(SUBSTITUTE(SUBSTITUTE($A624,"-",""),"(",""),")",""),".",""),"+","")," ","")))</f>
      </c>
    </row>
    <row r="625" spans="1:11" x14ac:dyDescent="0.3">
      <c r="A625" s="28"/>
      <c r="B625" s="29"/>
      <c r="C625" s="30"/>
      <c r="D625" s="31"/>
      <c r="E625" s="33">
        <f>IF(OR($D625="",$K625=""),"",IF(COUNTIFS(Payments!$G$5:$G$2500,$K625,Payments!$C$5:$C$2500,"&lt;&gt;")=0,"",_xlfn.MAXIFS(Payments!$C$5:$C$2500,Payments!$G$5:$G$2500,$K625)))</f>
      </c>
      <c r="F625" s="34">
        <f>IF(OR($D625="",$K625=""),"",SUMIF(Payments!$G$5:$G$2500,$K625,Payments!$D$5:$D$2500))</f>
      </c>
      <c r="G625" s="36">
        <f>IF($D625="","",ROUND($D625-IF($F625="",0,$F625),2))</f>
      </c>
      <c r="H625" s="35">
        <f>IF(OR($D625="",$K625=""),"",COUNTIF(Payments!$G$5:$G$2500,$K625))</f>
      </c>
      <c r="I625" s="37">
        <f>IF($D625="","",IF(OR($F625="",$F625=0),"Pending",IF(ROUND($F625-$D625,2)&gt;0,"Overpaid",IF(ROUND($F625-$D625,2)=0,"Paid","Partial"))))</f>
      </c>
      <c r="J625" s="29"/>
      <c r="K625">
        <f>IF($A625="","","#"&amp;TRIM(SUBSTITUTE(SUBSTITUTE(SUBSTITUTE(SUBSTITUTE(SUBSTITUTE(SUBSTITUTE($A625,"-",""),"(",""),")",""),".",""),"+","")," ","")))</f>
      </c>
    </row>
    <row r="626" spans="1:11" x14ac:dyDescent="0.3">
      <c r="A626" s="28"/>
      <c r="B626" s="29"/>
      <c r="C626" s="30"/>
      <c r="D626" s="31"/>
      <c r="E626" s="33">
        <f>IF(OR($D626="",$K626=""),"",IF(COUNTIFS(Payments!$G$5:$G$2500,$K626,Payments!$C$5:$C$2500,"&lt;&gt;")=0,"",_xlfn.MAXIFS(Payments!$C$5:$C$2500,Payments!$G$5:$G$2500,$K626)))</f>
      </c>
      <c r="F626" s="34">
        <f>IF(OR($D626="",$K626=""),"",SUMIF(Payments!$G$5:$G$2500,$K626,Payments!$D$5:$D$2500))</f>
      </c>
      <c r="G626" s="36">
        <f>IF($D626="","",ROUND($D626-IF($F626="",0,$F626),2))</f>
      </c>
      <c r="H626" s="35">
        <f>IF(OR($D626="",$K626=""),"",COUNTIF(Payments!$G$5:$G$2500,$K626))</f>
      </c>
      <c r="I626" s="37">
        <f>IF($D626="","",IF(OR($F626="",$F626=0),"Pending",IF(ROUND($F626-$D626,2)&gt;0,"Overpaid",IF(ROUND($F626-$D626,2)=0,"Paid","Partial"))))</f>
      </c>
      <c r="J626" s="29"/>
      <c r="K626">
        <f>IF($A626="","","#"&amp;TRIM(SUBSTITUTE(SUBSTITUTE(SUBSTITUTE(SUBSTITUTE(SUBSTITUTE(SUBSTITUTE($A626,"-",""),"(",""),")",""),".",""),"+","")," ","")))</f>
      </c>
    </row>
    <row r="627" spans="1:11" x14ac:dyDescent="0.3">
      <c r="A627" s="28"/>
      <c r="B627" s="29"/>
      <c r="C627" s="30"/>
      <c r="D627" s="31"/>
      <c r="E627" s="33">
        <f>IF(OR($D627="",$K627=""),"",IF(COUNTIFS(Payments!$G$5:$G$2500,$K627,Payments!$C$5:$C$2500,"&lt;&gt;")=0,"",_xlfn.MAXIFS(Payments!$C$5:$C$2500,Payments!$G$5:$G$2500,$K627)))</f>
      </c>
      <c r="F627" s="34">
        <f>IF(OR($D627="",$K627=""),"",SUMIF(Payments!$G$5:$G$2500,$K627,Payments!$D$5:$D$2500))</f>
      </c>
      <c r="G627" s="36">
        <f>IF($D627="","",ROUND($D627-IF($F627="",0,$F627),2))</f>
      </c>
      <c r="H627" s="35">
        <f>IF(OR($D627="",$K627=""),"",COUNTIF(Payments!$G$5:$G$2500,$K627))</f>
      </c>
      <c r="I627" s="37">
        <f>IF($D627="","",IF(OR($F627="",$F627=0),"Pending",IF(ROUND($F627-$D627,2)&gt;0,"Overpaid",IF(ROUND($F627-$D627,2)=0,"Paid","Partial"))))</f>
      </c>
      <c r="J627" s="29"/>
      <c r="K627">
        <f>IF($A627="","","#"&amp;TRIM(SUBSTITUTE(SUBSTITUTE(SUBSTITUTE(SUBSTITUTE(SUBSTITUTE(SUBSTITUTE($A627,"-",""),"(",""),")",""),".",""),"+","")," ","")))</f>
      </c>
    </row>
    <row r="628" spans="1:11" x14ac:dyDescent="0.3">
      <c r="A628" s="28"/>
      <c r="B628" s="29"/>
      <c r="C628" s="30"/>
      <c r="D628" s="31"/>
      <c r="E628" s="33">
        <f>IF(OR($D628="",$K628=""),"",IF(COUNTIFS(Payments!$G$5:$G$2500,$K628,Payments!$C$5:$C$2500,"&lt;&gt;")=0,"",_xlfn.MAXIFS(Payments!$C$5:$C$2500,Payments!$G$5:$G$2500,$K628)))</f>
      </c>
      <c r="F628" s="34">
        <f>IF(OR($D628="",$K628=""),"",SUMIF(Payments!$G$5:$G$2500,$K628,Payments!$D$5:$D$2500))</f>
      </c>
      <c r="G628" s="36">
        <f>IF($D628="","",ROUND($D628-IF($F628="",0,$F628),2))</f>
      </c>
      <c r="H628" s="35">
        <f>IF(OR($D628="",$K628=""),"",COUNTIF(Payments!$G$5:$G$2500,$K628))</f>
      </c>
      <c r="I628" s="37">
        <f>IF($D628="","",IF(OR($F628="",$F628=0),"Pending",IF(ROUND($F628-$D628,2)&gt;0,"Overpaid",IF(ROUND($F628-$D628,2)=0,"Paid","Partial"))))</f>
      </c>
      <c r="J628" s="29"/>
      <c r="K628">
        <f>IF($A628="","","#"&amp;TRIM(SUBSTITUTE(SUBSTITUTE(SUBSTITUTE(SUBSTITUTE(SUBSTITUTE(SUBSTITUTE($A628,"-",""),"(",""),")",""),".",""),"+","")," ","")))</f>
      </c>
    </row>
    <row r="629" spans="1:11" x14ac:dyDescent="0.3">
      <c r="A629" s="28"/>
      <c r="B629" s="29"/>
      <c r="C629" s="30"/>
      <c r="D629" s="31"/>
      <c r="E629" s="33">
        <f>IF(OR($D629="",$K629=""),"",IF(COUNTIFS(Payments!$G$5:$G$2500,$K629,Payments!$C$5:$C$2500,"&lt;&gt;")=0,"",_xlfn.MAXIFS(Payments!$C$5:$C$2500,Payments!$G$5:$G$2500,$K629)))</f>
      </c>
      <c r="F629" s="34">
        <f>IF(OR($D629="",$K629=""),"",SUMIF(Payments!$G$5:$G$2500,$K629,Payments!$D$5:$D$2500))</f>
      </c>
      <c r="G629" s="36">
        <f>IF($D629="","",ROUND($D629-IF($F629="",0,$F629),2))</f>
      </c>
      <c r="H629" s="35">
        <f>IF(OR($D629="",$K629=""),"",COUNTIF(Payments!$G$5:$G$2500,$K629))</f>
      </c>
      <c r="I629" s="37">
        <f>IF($D629="","",IF(OR($F629="",$F629=0),"Pending",IF(ROUND($F629-$D629,2)&gt;0,"Overpaid",IF(ROUND($F629-$D629,2)=0,"Paid","Partial"))))</f>
      </c>
      <c r="J629" s="29"/>
      <c r="K629">
        <f>IF($A629="","","#"&amp;TRIM(SUBSTITUTE(SUBSTITUTE(SUBSTITUTE(SUBSTITUTE(SUBSTITUTE(SUBSTITUTE($A629,"-",""),"(",""),")",""),".",""),"+","")," ","")))</f>
      </c>
    </row>
    <row r="630" spans="1:11" x14ac:dyDescent="0.3">
      <c r="A630" s="28"/>
      <c r="B630" s="29"/>
      <c r="C630" s="30"/>
      <c r="D630" s="31"/>
      <c r="E630" s="33">
        <f>IF(OR($D630="",$K630=""),"",IF(COUNTIFS(Payments!$G$5:$G$2500,$K630,Payments!$C$5:$C$2500,"&lt;&gt;")=0,"",_xlfn.MAXIFS(Payments!$C$5:$C$2500,Payments!$G$5:$G$2500,$K630)))</f>
      </c>
      <c r="F630" s="34">
        <f>IF(OR($D630="",$K630=""),"",SUMIF(Payments!$G$5:$G$2500,$K630,Payments!$D$5:$D$2500))</f>
      </c>
      <c r="G630" s="36">
        <f>IF($D630="","",ROUND($D630-IF($F630="",0,$F630),2))</f>
      </c>
      <c r="H630" s="35">
        <f>IF(OR($D630="",$K630=""),"",COUNTIF(Payments!$G$5:$G$2500,$K630))</f>
      </c>
      <c r="I630" s="37">
        <f>IF($D630="","",IF(OR($F630="",$F630=0),"Pending",IF(ROUND($F630-$D630,2)&gt;0,"Overpaid",IF(ROUND($F630-$D630,2)=0,"Paid","Partial"))))</f>
      </c>
      <c r="J630" s="29"/>
      <c r="K630">
        <f>IF($A630="","","#"&amp;TRIM(SUBSTITUTE(SUBSTITUTE(SUBSTITUTE(SUBSTITUTE(SUBSTITUTE(SUBSTITUTE($A630,"-",""),"(",""),")",""),".",""),"+","")," ","")))</f>
      </c>
    </row>
    <row r="631" spans="1:11" x14ac:dyDescent="0.3">
      <c r="A631" s="28"/>
      <c r="B631" s="29"/>
      <c r="C631" s="30"/>
      <c r="D631" s="31"/>
      <c r="E631" s="33">
        <f>IF(OR($D631="",$K631=""),"",IF(COUNTIFS(Payments!$G$5:$G$2500,$K631,Payments!$C$5:$C$2500,"&lt;&gt;")=0,"",_xlfn.MAXIFS(Payments!$C$5:$C$2500,Payments!$G$5:$G$2500,$K631)))</f>
      </c>
      <c r="F631" s="34">
        <f>IF(OR($D631="",$K631=""),"",SUMIF(Payments!$G$5:$G$2500,$K631,Payments!$D$5:$D$2500))</f>
      </c>
      <c r="G631" s="36">
        <f>IF($D631="","",ROUND($D631-IF($F631="",0,$F631),2))</f>
      </c>
      <c r="H631" s="35">
        <f>IF(OR($D631="",$K631=""),"",COUNTIF(Payments!$G$5:$G$2500,$K631))</f>
      </c>
      <c r="I631" s="37">
        <f>IF($D631="","",IF(OR($F631="",$F631=0),"Pending",IF(ROUND($F631-$D631,2)&gt;0,"Overpaid",IF(ROUND($F631-$D631,2)=0,"Paid","Partial"))))</f>
      </c>
      <c r="J631" s="29"/>
      <c r="K631">
        <f>IF($A631="","","#"&amp;TRIM(SUBSTITUTE(SUBSTITUTE(SUBSTITUTE(SUBSTITUTE(SUBSTITUTE(SUBSTITUTE($A631,"-",""),"(",""),")",""),".",""),"+","")," ","")))</f>
      </c>
    </row>
    <row r="632" spans="1:11" x14ac:dyDescent="0.3">
      <c r="A632" s="28"/>
      <c r="B632" s="29"/>
      <c r="C632" s="30"/>
      <c r="D632" s="31"/>
      <c r="E632" s="33">
        <f>IF(OR($D632="",$K632=""),"",IF(COUNTIFS(Payments!$G$5:$G$2500,$K632,Payments!$C$5:$C$2500,"&lt;&gt;")=0,"",_xlfn.MAXIFS(Payments!$C$5:$C$2500,Payments!$G$5:$G$2500,$K632)))</f>
      </c>
      <c r="F632" s="34">
        <f>IF(OR($D632="",$K632=""),"",SUMIF(Payments!$G$5:$G$2500,$K632,Payments!$D$5:$D$2500))</f>
      </c>
      <c r="G632" s="36">
        <f>IF($D632="","",ROUND($D632-IF($F632="",0,$F632),2))</f>
      </c>
      <c r="H632" s="35">
        <f>IF(OR($D632="",$K632=""),"",COUNTIF(Payments!$G$5:$G$2500,$K632))</f>
      </c>
      <c r="I632" s="37">
        <f>IF($D632="","",IF(OR($F632="",$F632=0),"Pending",IF(ROUND($F632-$D632,2)&gt;0,"Overpaid",IF(ROUND($F632-$D632,2)=0,"Paid","Partial"))))</f>
      </c>
      <c r="J632" s="29"/>
      <c r="K632">
        <f>IF($A632="","","#"&amp;TRIM(SUBSTITUTE(SUBSTITUTE(SUBSTITUTE(SUBSTITUTE(SUBSTITUTE(SUBSTITUTE($A632,"-",""),"(",""),")",""),".",""),"+","")," ","")))</f>
      </c>
    </row>
    <row r="633" spans="1:11" x14ac:dyDescent="0.3">
      <c r="A633" s="28"/>
      <c r="B633" s="29"/>
      <c r="C633" s="30"/>
      <c r="D633" s="31"/>
      <c r="E633" s="33">
        <f>IF(OR($D633="",$K633=""),"",IF(COUNTIFS(Payments!$G$5:$G$2500,$K633,Payments!$C$5:$C$2500,"&lt;&gt;")=0,"",_xlfn.MAXIFS(Payments!$C$5:$C$2500,Payments!$G$5:$G$2500,$K633)))</f>
      </c>
      <c r="F633" s="34">
        <f>IF(OR($D633="",$K633=""),"",SUMIF(Payments!$G$5:$G$2500,$K633,Payments!$D$5:$D$2500))</f>
      </c>
      <c r="G633" s="36">
        <f>IF($D633="","",ROUND($D633-IF($F633="",0,$F633),2))</f>
      </c>
      <c r="H633" s="35">
        <f>IF(OR($D633="",$K633=""),"",COUNTIF(Payments!$G$5:$G$2500,$K633))</f>
      </c>
      <c r="I633" s="37">
        <f>IF($D633="","",IF(OR($F633="",$F633=0),"Pending",IF(ROUND($F633-$D633,2)&gt;0,"Overpaid",IF(ROUND($F633-$D633,2)=0,"Paid","Partial"))))</f>
      </c>
      <c r="J633" s="29"/>
      <c r="K633">
        <f>IF($A633="","","#"&amp;TRIM(SUBSTITUTE(SUBSTITUTE(SUBSTITUTE(SUBSTITUTE(SUBSTITUTE(SUBSTITUTE($A633,"-",""),"(",""),")",""),".",""),"+","")," ","")))</f>
      </c>
    </row>
    <row r="634" spans="1:11" x14ac:dyDescent="0.3">
      <c r="A634" s="28"/>
      <c r="B634" s="29"/>
      <c r="C634" s="30"/>
      <c r="D634" s="31"/>
      <c r="E634" s="33">
        <f>IF(OR($D634="",$K634=""),"",IF(COUNTIFS(Payments!$G$5:$G$2500,$K634,Payments!$C$5:$C$2500,"&lt;&gt;")=0,"",_xlfn.MAXIFS(Payments!$C$5:$C$2500,Payments!$G$5:$G$2500,$K634)))</f>
      </c>
      <c r="F634" s="34">
        <f>IF(OR($D634="",$K634=""),"",SUMIF(Payments!$G$5:$G$2500,$K634,Payments!$D$5:$D$2500))</f>
      </c>
      <c r="G634" s="36">
        <f>IF($D634="","",ROUND($D634-IF($F634="",0,$F634),2))</f>
      </c>
      <c r="H634" s="35">
        <f>IF(OR($D634="",$K634=""),"",COUNTIF(Payments!$G$5:$G$2500,$K634))</f>
      </c>
      <c r="I634" s="37">
        <f>IF($D634="","",IF(OR($F634="",$F634=0),"Pending",IF(ROUND($F634-$D634,2)&gt;0,"Overpaid",IF(ROUND($F634-$D634,2)=0,"Paid","Partial"))))</f>
      </c>
      <c r="J634" s="29"/>
      <c r="K634">
        <f>IF($A634="","","#"&amp;TRIM(SUBSTITUTE(SUBSTITUTE(SUBSTITUTE(SUBSTITUTE(SUBSTITUTE(SUBSTITUTE($A634,"-",""),"(",""),")",""),".",""),"+","")," ","")))</f>
      </c>
    </row>
    <row r="635" spans="1:11" x14ac:dyDescent="0.3">
      <c r="A635" s="28"/>
      <c r="B635" s="29"/>
      <c r="C635" s="30"/>
      <c r="D635" s="31"/>
      <c r="E635" s="33">
        <f>IF(OR($D635="",$K635=""),"",IF(COUNTIFS(Payments!$G$5:$G$2500,$K635,Payments!$C$5:$C$2500,"&lt;&gt;")=0,"",_xlfn.MAXIFS(Payments!$C$5:$C$2500,Payments!$G$5:$G$2500,$K635)))</f>
      </c>
      <c r="F635" s="34">
        <f>IF(OR($D635="",$K635=""),"",SUMIF(Payments!$G$5:$G$2500,$K635,Payments!$D$5:$D$2500))</f>
      </c>
      <c r="G635" s="36">
        <f>IF($D635="","",ROUND($D635-IF($F635="",0,$F635),2))</f>
      </c>
      <c r="H635" s="35">
        <f>IF(OR($D635="",$K635=""),"",COUNTIF(Payments!$G$5:$G$2500,$K635))</f>
      </c>
      <c r="I635" s="37">
        <f>IF($D635="","",IF(OR($F635="",$F635=0),"Pending",IF(ROUND($F635-$D635,2)&gt;0,"Overpaid",IF(ROUND($F635-$D635,2)=0,"Paid","Partial"))))</f>
      </c>
      <c r="J635" s="29"/>
      <c r="K635">
        <f>IF($A635="","","#"&amp;TRIM(SUBSTITUTE(SUBSTITUTE(SUBSTITUTE(SUBSTITUTE(SUBSTITUTE(SUBSTITUTE($A635,"-",""),"(",""),")",""),".",""),"+","")," ","")))</f>
      </c>
    </row>
    <row r="636" spans="1:11" x14ac:dyDescent="0.3">
      <c r="A636" s="28"/>
      <c r="B636" s="29"/>
      <c r="C636" s="30"/>
      <c r="D636" s="31"/>
      <c r="E636" s="33">
        <f>IF(OR($D636="",$K636=""),"",IF(COUNTIFS(Payments!$G$5:$G$2500,$K636,Payments!$C$5:$C$2500,"&lt;&gt;")=0,"",_xlfn.MAXIFS(Payments!$C$5:$C$2500,Payments!$G$5:$G$2500,$K636)))</f>
      </c>
      <c r="F636" s="34">
        <f>IF(OR($D636="",$K636=""),"",SUMIF(Payments!$G$5:$G$2500,$K636,Payments!$D$5:$D$2500))</f>
      </c>
      <c r="G636" s="36">
        <f>IF($D636="","",ROUND($D636-IF($F636="",0,$F636),2))</f>
      </c>
      <c r="H636" s="35">
        <f>IF(OR($D636="",$K636=""),"",COUNTIF(Payments!$G$5:$G$2500,$K636))</f>
      </c>
      <c r="I636" s="37">
        <f>IF($D636="","",IF(OR($F636="",$F636=0),"Pending",IF(ROUND($F636-$D636,2)&gt;0,"Overpaid",IF(ROUND($F636-$D636,2)=0,"Paid","Partial"))))</f>
      </c>
      <c r="J636" s="29"/>
      <c r="K636">
        <f>IF($A636="","","#"&amp;TRIM(SUBSTITUTE(SUBSTITUTE(SUBSTITUTE(SUBSTITUTE(SUBSTITUTE(SUBSTITUTE($A636,"-",""),"(",""),")",""),".",""),"+","")," ","")))</f>
      </c>
    </row>
    <row r="637" spans="1:11" x14ac:dyDescent="0.3">
      <c r="A637" s="28"/>
      <c r="B637" s="29"/>
      <c r="C637" s="30"/>
      <c r="D637" s="31"/>
      <c r="E637" s="33">
        <f>IF(OR($D637="",$K637=""),"",IF(COUNTIFS(Payments!$G$5:$G$2500,$K637,Payments!$C$5:$C$2500,"&lt;&gt;")=0,"",_xlfn.MAXIFS(Payments!$C$5:$C$2500,Payments!$G$5:$G$2500,$K637)))</f>
      </c>
      <c r="F637" s="34">
        <f>IF(OR($D637="",$K637=""),"",SUMIF(Payments!$G$5:$G$2500,$K637,Payments!$D$5:$D$2500))</f>
      </c>
      <c r="G637" s="36">
        <f>IF($D637="","",ROUND($D637-IF($F637="",0,$F637),2))</f>
      </c>
      <c r="H637" s="35">
        <f>IF(OR($D637="",$K637=""),"",COUNTIF(Payments!$G$5:$G$2500,$K637))</f>
      </c>
      <c r="I637" s="37">
        <f>IF($D637="","",IF(OR($F637="",$F637=0),"Pending",IF(ROUND($F637-$D637,2)&gt;0,"Overpaid",IF(ROUND($F637-$D637,2)=0,"Paid","Partial"))))</f>
      </c>
      <c r="J637" s="29"/>
      <c r="K637">
        <f>IF($A637="","","#"&amp;TRIM(SUBSTITUTE(SUBSTITUTE(SUBSTITUTE(SUBSTITUTE(SUBSTITUTE(SUBSTITUTE($A637,"-",""),"(",""),")",""),".",""),"+","")," ","")))</f>
      </c>
    </row>
    <row r="638" spans="1:11" x14ac:dyDescent="0.3">
      <c r="A638" s="28"/>
      <c r="B638" s="29"/>
      <c r="C638" s="30"/>
      <c r="D638" s="31"/>
      <c r="E638" s="33">
        <f>IF(OR($D638="",$K638=""),"",IF(COUNTIFS(Payments!$G$5:$G$2500,$K638,Payments!$C$5:$C$2500,"&lt;&gt;")=0,"",_xlfn.MAXIFS(Payments!$C$5:$C$2500,Payments!$G$5:$G$2500,$K638)))</f>
      </c>
      <c r="F638" s="34">
        <f>IF(OR($D638="",$K638=""),"",SUMIF(Payments!$G$5:$G$2500,$K638,Payments!$D$5:$D$2500))</f>
      </c>
      <c r="G638" s="36">
        <f>IF($D638="","",ROUND($D638-IF($F638="",0,$F638),2))</f>
      </c>
      <c r="H638" s="35">
        <f>IF(OR($D638="",$K638=""),"",COUNTIF(Payments!$G$5:$G$2500,$K638))</f>
      </c>
      <c r="I638" s="37">
        <f>IF($D638="","",IF(OR($F638="",$F638=0),"Pending",IF(ROUND($F638-$D638,2)&gt;0,"Overpaid",IF(ROUND($F638-$D638,2)=0,"Paid","Partial"))))</f>
      </c>
      <c r="J638" s="29"/>
      <c r="K638">
        <f>IF($A638="","","#"&amp;TRIM(SUBSTITUTE(SUBSTITUTE(SUBSTITUTE(SUBSTITUTE(SUBSTITUTE(SUBSTITUTE($A638,"-",""),"(",""),")",""),".",""),"+","")," ","")))</f>
      </c>
    </row>
    <row r="639" spans="1:11" x14ac:dyDescent="0.3">
      <c r="A639" s="28"/>
      <c r="B639" s="29"/>
      <c r="C639" s="30"/>
      <c r="D639" s="31"/>
      <c r="E639" s="33">
        <f>IF(OR($D639="",$K639=""),"",IF(COUNTIFS(Payments!$G$5:$G$2500,$K639,Payments!$C$5:$C$2500,"&lt;&gt;")=0,"",_xlfn.MAXIFS(Payments!$C$5:$C$2500,Payments!$G$5:$G$2500,$K639)))</f>
      </c>
      <c r="F639" s="34">
        <f>IF(OR($D639="",$K639=""),"",SUMIF(Payments!$G$5:$G$2500,$K639,Payments!$D$5:$D$2500))</f>
      </c>
      <c r="G639" s="36">
        <f>IF($D639="","",ROUND($D639-IF($F639="",0,$F639),2))</f>
      </c>
      <c r="H639" s="35">
        <f>IF(OR($D639="",$K639=""),"",COUNTIF(Payments!$G$5:$G$2500,$K639))</f>
      </c>
      <c r="I639" s="37">
        <f>IF($D639="","",IF(OR($F639="",$F639=0),"Pending",IF(ROUND($F639-$D639,2)&gt;0,"Overpaid",IF(ROUND($F639-$D639,2)=0,"Paid","Partial"))))</f>
      </c>
      <c r="J639" s="29"/>
      <c r="K639">
        <f>IF($A639="","","#"&amp;TRIM(SUBSTITUTE(SUBSTITUTE(SUBSTITUTE(SUBSTITUTE(SUBSTITUTE(SUBSTITUTE($A639,"-",""),"(",""),")",""),".",""),"+","")," ","")))</f>
      </c>
    </row>
    <row r="640" spans="1:11" x14ac:dyDescent="0.3">
      <c r="A640" s="28"/>
      <c r="B640" s="29"/>
      <c r="C640" s="30"/>
      <c r="D640" s="31"/>
      <c r="E640" s="33">
        <f>IF(OR($D640="",$K640=""),"",IF(COUNTIFS(Payments!$G$5:$G$2500,$K640,Payments!$C$5:$C$2500,"&lt;&gt;")=0,"",_xlfn.MAXIFS(Payments!$C$5:$C$2500,Payments!$G$5:$G$2500,$K640)))</f>
      </c>
      <c r="F640" s="34">
        <f>IF(OR($D640="",$K640=""),"",SUMIF(Payments!$G$5:$G$2500,$K640,Payments!$D$5:$D$2500))</f>
      </c>
      <c r="G640" s="36">
        <f>IF($D640="","",ROUND($D640-IF($F640="",0,$F640),2))</f>
      </c>
      <c r="H640" s="35">
        <f>IF(OR($D640="",$K640=""),"",COUNTIF(Payments!$G$5:$G$2500,$K640))</f>
      </c>
      <c r="I640" s="37">
        <f>IF($D640="","",IF(OR($F640="",$F640=0),"Pending",IF(ROUND($F640-$D640,2)&gt;0,"Overpaid",IF(ROUND($F640-$D640,2)=0,"Paid","Partial"))))</f>
      </c>
      <c r="J640" s="29"/>
      <c r="K640">
        <f>IF($A640="","","#"&amp;TRIM(SUBSTITUTE(SUBSTITUTE(SUBSTITUTE(SUBSTITUTE(SUBSTITUTE(SUBSTITUTE($A640,"-",""),"(",""),")",""),".",""),"+","")," ","")))</f>
      </c>
    </row>
    <row r="641" spans="1:11" x14ac:dyDescent="0.3">
      <c r="A641" s="28"/>
      <c r="B641" s="29"/>
      <c r="C641" s="30"/>
      <c r="D641" s="31"/>
      <c r="E641" s="33">
        <f>IF(OR($D641="",$K641=""),"",IF(COUNTIFS(Payments!$G$5:$G$2500,$K641,Payments!$C$5:$C$2500,"&lt;&gt;")=0,"",_xlfn.MAXIFS(Payments!$C$5:$C$2500,Payments!$G$5:$G$2500,$K641)))</f>
      </c>
      <c r="F641" s="34">
        <f>IF(OR($D641="",$K641=""),"",SUMIF(Payments!$G$5:$G$2500,$K641,Payments!$D$5:$D$2500))</f>
      </c>
      <c r="G641" s="36">
        <f>IF($D641="","",ROUND($D641-IF($F641="",0,$F641),2))</f>
      </c>
      <c r="H641" s="35">
        <f>IF(OR($D641="",$K641=""),"",COUNTIF(Payments!$G$5:$G$2500,$K641))</f>
      </c>
      <c r="I641" s="37">
        <f>IF($D641="","",IF(OR($F641="",$F641=0),"Pending",IF(ROUND($F641-$D641,2)&gt;0,"Overpaid",IF(ROUND($F641-$D641,2)=0,"Paid","Partial"))))</f>
      </c>
      <c r="J641" s="29"/>
      <c r="K641">
        <f>IF($A641="","","#"&amp;TRIM(SUBSTITUTE(SUBSTITUTE(SUBSTITUTE(SUBSTITUTE(SUBSTITUTE(SUBSTITUTE($A641,"-",""),"(",""),")",""),".",""),"+","")," ","")))</f>
      </c>
    </row>
    <row r="642" spans="1:11" x14ac:dyDescent="0.3">
      <c r="A642" s="28"/>
      <c r="B642" s="29"/>
      <c r="C642" s="30"/>
      <c r="D642" s="31"/>
      <c r="E642" s="33">
        <f>IF(OR($D642="",$K642=""),"",IF(COUNTIFS(Payments!$G$5:$G$2500,$K642,Payments!$C$5:$C$2500,"&lt;&gt;")=0,"",_xlfn.MAXIFS(Payments!$C$5:$C$2500,Payments!$G$5:$G$2500,$K642)))</f>
      </c>
      <c r="F642" s="34">
        <f>IF(OR($D642="",$K642=""),"",SUMIF(Payments!$G$5:$G$2500,$K642,Payments!$D$5:$D$2500))</f>
      </c>
      <c r="G642" s="36">
        <f>IF($D642="","",ROUND($D642-IF($F642="",0,$F642),2))</f>
      </c>
      <c r="H642" s="35">
        <f>IF(OR($D642="",$K642=""),"",COUNTIF(Payments!$G$5:$G$2500,$K642))</f>
      </c>
      <c r="I642" s="37">
        <f>IF($D642="","",IF(OR($F642="",$F642=0),"Pending",IF(ROUND($F642-$D642,2)&gt;0,"Overpaid",IF(ROUND($F642-$D642,2)=0,"Paid","Partial"))))</f>
      </c>
      <c r="J642" s="29"/>
      <c r="K642">
        <f>IF($A642="","","#"&amp;TRIM(SUBSTITUTE(SUBSTITUTE(SUBSTITUTE(SUBSTITUTE(SUBSTITUTE(SUBSTITUTE($A642,"-",""),"(",""),")",""),".",""),"+","")," ","")))</f>
      </c>
    </row>
    <row r="643" spans="1:11" x14ac:dyDescent="0.3">
      <c r="A643" s="28"/>
      <c r="B643" s="29"/>
      <c r="C643" s="30"/>
      <c r="D643" s="31"/>
      <c r="E643" s="33">
        <f>IF(OR($D643="",$K643=""),"",IF(COUNTIFS(Payments!$G$5:$G$2500,$K643,Payments!$C$5:$C$2500,"&lt;&gt;")=0,"",_xlfn.MAXIFS(Payments!$C$5:$C$2500,Payments!$G$5:$G$2500,$K643)))</f>
      </c>
      <c r="F643" s="34">
        <f>IF(OR($D643="",$K643=""),"",SUMIF(Payments!$G$5:$G$2500,$K643,Payments!$D$5:$D$2500))</f>
      </c>
      <c r="G643" s="36">
        <f>IF($D643="","",ROUND($D643-IF($F643="",0,$F643),2))</f>
      </c>
      <c r="H643" s="35">
        <f>IF(OR($D643="",$K643=""),"",COUNTIF(Payments!$G$5:$G$2500,$K643))</f>
      </c>
      <c r="I643" s="37">
        <f>IF($D643="","",IF(OR($F643="",$F643=0),"Pending",IF(ROUND($F643-$D643,2)&gt;0,"Overpaid",IF(ROUND($F643-$D643,2)=0,"Paid","Partial"))))</f>
      </c>
      <c r="J643" s="29"/>
      <c r="K643">
        <f>IF($A643="","","#"&amp;TRIM(SUBSTITUTE(SUBSTITUTE(SUBSTITUTE(SUBSTITUTE(SUBSTITUTE(SUBSTITUTE($A643,"-",""),"(",""),")",""),".",""),"+","")," ","")))</f>
      </c>
    </row>
    <row r="644" spans="1:11" x14ac:dyDescent="0.3">
      <c r="A644" s="28"/>
      <c r="B644" s="29"/>
      <c r="C644" s="30"/>
      <c r="D644" s="31"/>
      <c r="E644" s="33">
        <f>IF(OR($D644="",$K644=""),"",IF(COUNTIFS(Payments!$G$5:$G$2500,$K644,Payments!$C$5:$C$2500,"&lt;&gt;")=0,"",_xlfn.MAXIFS(Payments!$C$5:$C$2500,Payments!$G$5:$G$2500,$K644)))</f>
      </c>
      <c r="F644" s="34">
        <f>IF(OR($D644="",$K644=""),"",SUMIF(Payments!$G$5:$G$2500,$K644,Payments!$D$5:$D$2500))</f>
      </c>
      <c r="G644" s="36">
        <f>IF($D644="","",ROUND($D644-IF($F644="",0,$F644),2))</f>
      </c>
      <c r="H644" s="35">
        <f>IF(OR($D644="",$K644=""),"",COUNTIF(Payments!$G$5:$G$2500,$K644))</f>
      </c>
      <c r="I644" s="37">
        <f>IF($D644="","",IF(OR($F644="",$F644=0),"Pending",IF(ROUND($F644-$D644,2)&gt;0,"Overpaid",IF(ROUND($F644-$D644,2)=0,"Paid","Partial"))))</f>
      </c>
      <c r="J644" s="29"/>
      <c r="K644">
        <f>IF($A644="","","#"&amp;TRIM(SUBSTITUTE(SUBSTITUTE(SUBSTITUTE(SUBSTITUTE(SUBSTITUTE(SUBSTITUTE($A644,"-",""),"(",""),")",""),".",""),"+","")," ","")))</f>
      </c>
    </row>
    <row r="645" spans="1:11" x14ac:dyDescent="0.3">
      <c r="A645" s="28"/>
      <c r="B645" s="29"/>
      <c r="C645" s="30"/>
      <c r="D645" s="31"/>
      <c r="E645" s="33">
        <f>IF(OR($D645="",$K645=""),"",IF(COUNTIFS(Payments!$G$5:$G$2500,$K645,Payments!$C$5:$C$2500,"&lt;&gt;")=0,"",_xlfn.MAXIFS(Payments!$C$5:$C$2500,Payments!$G$5:$G$2500,$K645)))</f>
      </c>
      <c r="F645" s="34">
        <f>IF(OR($D645="",$K645=""),"",SUMIF(Payments!$G$5:$G$2500,$K645,Payments!$D$5:$D$2500))</f>
      </c>
      <c r="G645" s="36">
        <f>IF($D645="","",ROUND($D645-IF($F645="",0,$F645),2))</f>
      </c>
      <c r="H645" s="35">
        <f>IF(OR($D645="",$K645=""),"",COUNTIF(Payments!$G$5:$G$2500,$K645))</f>
      </c>
      <c r="I645" s="37">
        <f>IF($D645="","",IF(OR($F645="",$F645=0),"Pending",IF(ROUND($F645-$D645,2)&gt;0,"Overpaid",IF(ROUND($F645-$D645,2)=0,"Paid","Partial"))))</f>
      </c>
      <c r="J645" s="29"/>
      <c r="K645">
        <f>IF($A645="","","#"&amp;TRIM(SUBSTITUTE(SUBSTITUTE(SUBSTITUTE(SUBSTITUTE(SUBSTITUTE(SUBSTITUTE($A645,"-",""),"(",""),")",""),".",""),"+","")," ","")))</f>
      </c>
    </row>
    <row r="646" spans="1:11" x14ac:dyDescent="0.3">
      <c r="A646" s="28"/>
      <c r="B646" s="29"/>
      <c r="C646" s="30"/>
      <c r="D646" s="31"/>
      <c r="E646" s="33">
        <f>IF(OR($D646="",$K646=""),"",IF(COUNTIFS(Payments!$G$5:$G$2500,$K646,Payments!$C$5:$C$2500,"&lt;&gt;")=0,"",_xlfn.MAXIFS(Payments!$C$5:$C$2500,Payments!$G$5:$G$2500,$K646)))</f>
      </c>
      <c r="F646" s="34">
        <f>IF(OR($D646="",$K646=""),"",SUMIF(Payments!$G$5:$G$2500,$K646,Payments!$D$5:$D$2500))</f>
      </c>
      <c r="G646" s="36">
        <f>IF($D646="","",ROUND($D646-IF($F646="",0,$F646),2))</f>
      </c>
      <c r="H646" s="35">
        <f>IF(OR($D646="",$K646=""),"",COUNTIF(Payments!$G$5:$G$2500,$K646))</f>
      </c>
      <c r="I646" s="37">
        <f>IF($D646="","",IF(OR($F646="",$F646=0),"Pending",IF(ROUND($F646-$D646,2)&gt;0,"Overpaid",IF(ROUND($F646-$D646,2)=0,"Paid","Partial"))))</f>
      </c>
      <c r="J646" s="29"/>
      <c r="K646">
        <f>IF($A646="","","#"&amp;TRIM(SUBSTITUTE(SUBSTITUTE(SUBSTITUTE(SUBSTITUTE(SUBSTITUTE(SUBSTITUTE($A646,"-",""),"(",""),")",""),".",""),"+","")," ","")))</f>
      </c>
    </row>
    <row r="647" spans="1:11" x14ac:dyDescent="0.3">
      <c r="A647" s="28"/>
      <c r="B647" s="29"/>
      <c r="C647" s="30"/>
      <c r="D647" s="31"/>
      <c r="E647" s="33">
        <f>IF(OR($D647="",$K647=""),"",IF(COUNTIFS(Payments!$G$5:$G$2500,$K647,Payments!$C$5:$C$2500,"&lt;&gt;")=0,"",_xlfn.MAXIFS(Payments!$C$5:$C$2500,Payments!$G$5:$G$2500,$K647)))</f>
      </c>
      <c r="F647" s="34">
        <f>IF(OR($D647="",$K647=""),"",SUMIF(Payments!$G$5:$G$2500,$K647,Payments!$D$5:$D$2500))</f>
      </c>
      <c r="G647" s="36">
        <f>IF($D647="","",ROUND($D647-IF($F647="",0,$F647),2))</f>
      </c>
      <c r="H647" s="35">
        <f>IF(OR($D647="",$K647=""),"",COUNTIF(Payments!$G$5:$G$2500,$K647))</f>
      </c>
      <c r="I647" s="37">
        <f>IF($D647="","",IF(OR($F647="",$F647=0),"Pending",IF(ROUND($F647-$D647,2)&gt;0,"Overpaid",IF(ROUND($F647-$D647,2)=0,"Paid","Partial"))))</f>
      </c>
      <c r="J647" s="29"/>
      <c r="K647">
        <f>IF($A647="","","#"&amp;TRIM(SUBSTITUTE(SUBSTITUTE(SUBSTITUTE(SUBSTITUTE(SUBSTITUTE(SUBSTITUTE($A647,"-",""),"(",""),")",""),".",""),"+","")," ","")))</f>
      </c>
    </row>
    <row r="648" spans="1:11" x14ac:dyDescent="0.3">
      <c r="A648" s="28"/>
      <c r="B648" s="29"/>
      <c r="C648" s="30"/>
      <c r="D648" s="31"/>
      <c r="E648" s="33">
        <f>IF(OR($D648="",$K648=""),"",IF(COUNTIFS(Payments!$G$5:$G$2500,$K648,Payments!$C$5:$C$2500,"&lt;&gt;")=0,"",_xlfn.MAXIFS(Payments!$C$5:$C$2500,Payments!$G$5:$G$2500,$K648)))</f>
      </c>
      <c r="F648" s="34">
        <f>IF(OR($D648="",$K648=""),"",SUMIF(Payments!$G$5:$G$2500,$K648,Payments!$D$5:$D$2500))</f>
      </c>
      <c r="G648" s="36">
        <f>IF($D648="","",ROUND($D648-IF($F648="",0,$F648),2))</f>
      </c>
      <c r="H648" s="35">
        <f>IF(OR($D648="",$K648=""),"",COUNTIF(Payments!$G$5:$G$2500,$K648))</f>
      </c>
      <c r="I648" s="37">
        <f>IF($D648="","",IF(OR($F648="",$F648=0),"Pending",IF(ROUND($F648-$D648,2)&gt;0,"Overpaid",IF(ROUND($F648-$D648,2)=0,"Paid","Partial"))))</f>
      </c>
      <c r="J648" s="29"/>
      <c r="K648">
        <f>IF($A648="","","#"&amp;TRIM(SUBSTITUTE(SUBSTITUTE(SUBSTITUTE(SUBSTITUTE(SUBSTITUTE(SUBSTITUTE($A648,"-",""),"(",""),")",""),".",""),"+","")," ","")))</f>
      </c>
    </row>
    <row r="649" spans="1:11" x14ac:dyDescent="0.3">
      <c r="A649" s="28"/>
      <c r="B649" s="29"/>
      <c r="C649" s="30"/>
      <c r="D649" s="31"/>
      <c r="E649" s="33">
        <f>IF(OR($D649="",$K649=""),"",IF(COUNTIFS(Payments!$G$5:$G$2500,$K649,Payments!$C$5:$C$2500,"&lt;&gt;")=0,"",_xlfn.MAXIFS(Payments!$C$5:$C$2500,Payments!$G$5:$G$2500,$K649)))</f>
      </c>
      <c r="F649" s="34">
        <f>IF(OR($D649="",$K649=""),"",SUMIF(Payments!$G$5:$G$2500,$K649,Payments!$D$5:$D$2500))</f>
      </c>
      <c r="G649" s="36">
        <f>IF($D649="","",ROUND($D649-IF($F649="",0,$F649),2))</f>
      </c>
      <c r="H649" s="35">
        <f>IF(OR($D649="",$K649=""),"",COUNTIF(Payments!$G$5:$G$2500,$K649))</f>
      </c>
      <c r="I649" s="37">
        <f>IF($D649="","",IF(OR($F649="",$F649=0),"Pending",IF(ROUND($F649-$D649,2)&gt;0,"Overpaid",IF(ROUND($F649-$D649,2)=0,"Paid","Partial"))))</f>
      </c>
      <c r="J649" s="29"/>
      <c r="K649">
        <f>IF($A649="","","#"&amp;TRIM(SUBSTITUTE(SUBSTITUTE(SUBSTITUTE(SUBSTITUTE(SUBSTITUTE(SUBSTITUTE($A649,"-",""),"(",""),")",""),".",""),"+","")," ","")))</f>
      </c>
    </row>
    <row r="650" spans="1:11" x14ac:dyDescent="0.3">
      <c r="A650" s="28"/>
      <c r="B650" s="29"/>
      <c r="C650" s="30"/>
      <c r="D650" s="31"/>
      <c r="E650" s="33">
        <f>IF(OR($D650="",$K650=""),"",IF(COUNTIFS(Payments!$G$5:$G$2500,$K650,Payments!$C$5:$C$2500,"&lt;&gt;")=0,"",_xlfn.MAXIFS(Payments!$C$5:$C$2500,Payments!$G$5:$G$2500,$K650)))</f>
      </c>
      <c r="F650" s="34">
        <f>IF(OR($D650="",$K650=""),"",SUMIF(Payments!$G$5:$G$2500,$K650,Payments!$D$5:$D$2500))</f>
      </c>
      <c r="G650" s="36">
        <f>IF($D650="","",ROUND($D650-IF($F650="",0,$F650),2))</f>
      </c>
      <c r="H650" s="35">
        <f>IF(OR($D650="",$K650=""),"",COUNTIF(Payments!$G$5:$G$2500,$K650))</f>
      </c>
      <c r="I650" s="37">
        <f>IF($D650="","",IF(OR($F650="",$F650=0),"Pending",IF(ROUND($F650-$D650,2)&gt;0,"Overpaid",IF(ROUND($F650-$D650,2)=0,"Paid","Partial"))))</f>
      </c>
      <c r="J650" s="29"/>
      <c r="K650">
        <f>IF($A650="","","#"&amp;TRIM(SUBSTITUTE(SUBSTITUTE(SUBSTITUTE(SUBSTITUTE(SUBSTITUTE(SUBSTITUTE($A650,"-",""),"(",""),")",""),".",""),"+","")," ","")))</f>
      </c>
    </row>
    <row r="651" spans="1:11" x14ac:dyDescent="0.3">
      <c r="A651" s="28"/>
      <c r="B651" s="29"/>
      <c r="C651" s="30"/>
      <c r="D651" s="31"/>
      <c r="E651" s="33">
        <f>IF(OR($D651="",$K651=""),"",IF(COUNTIFS(Payments!$G$5:$G$2500,$K651,Payments!$C$5:$C$2500,"&lt;&gt;")=0,"",_xlfn.MAXIFS(Payments!$C$5:$C$2500,Payments!$G$5:$G$2500,$K651)))</f>
      </c>
      <c r="F651" s="34">
        <f>IF(OR($D651="",$K651=""),"",SUMIF(Payments!$G$5:$G$2500,$K651,Payments!$D$5:$D$2500))</f>
      </c>
      <c r="G651" s="36">
        <f>IF($D651="","",ROUND($D651-IF($F651="",0,$F651),2))</f>
      </c>
      <c r="H651" s="35">
        <f>IF(OR($D651="",$K651=""),"",COUNTIF(Payments!$G$5:$G$2500,$K651))</f>
      </c>
      <c r="I651" s="37">
        <f>IF($D651="","",IF(OR($F651="",$F651=0),"Pending",IF(ROUND($F651-$D651,2)&gt;0,"Overpaid",IF(ROUND($F651-$D651,2)=0,"Paid","Partial"))))</f>
      </c>
      <c r="J651" s="29"/>
      <c r="K651">
        <f>IF($A651="","","#"&amp;TRIM(SUBSTITUTE(SUBSTITUTE(SUBSTITUTE(SUBSTITUTE(SUBSTITUTE(SUBSTITUTE($A651,"-",""),"(",""),")",""),".",""),"+","")," ","")))</f>
      </c>
    </row>
    <row r="652" spans="1:11" x14ac:dyDescent="0.3">
      <c r="A652" s="28"/>
      <c r="B652" s="29"/>
      <c r="C652" s="30"/>
      <c r="D652" s="31"/>
      <c r="E652" s="33">
        <f>IF(OR($D652="",$K652=""),"",IF(COUNTIFS(Payments!$G$5:$G$2500,$K652,Payments!$C$5:$C$2500,"&lt;&gt;")=0,"",_xlfn.MAXIFS(Payments!$C$5:$C$2500,Payments!$G$5:$G$2500,$K652)))</f>
      </c>
      <c r="F652" s="34">
        <f>IF(OR($D652="",$K652=""),"",SUMIF(Payments!$G$5:$G$2500,$K652,Payments!$D$5:$D$2500))</f>
      </c>
      <c r="G652" s="36">
        <f>IF($D652="","",ROUND($D652-IF($F652="",0,$F652),2))</f>
      </c>
      <c r="H652" s="35">
        <f>IF(OR($D652="",$K652=""),"",COUNTIF(Payments!$G$5:$G$2500,$K652))</f>
      </c>
      <c r="I652" s="37">
        <f>IF($D652="","",IF(OR($F652="",$F652=0),"Pending",IF(ROUND($F652-$D652,2)&gt;0,"Overpaid",IF(ROUND($F652-$D652,2)=0,"Paid","Partial"))))</f>
      </c>
      <c r="J652" s="29"/>
      <c r="K652">
        <f>IF($A652="","","#"&amp;TRIM(SUBSTITUTE(SUBSTITUTE(SUBSTITUTE(SUBSTITUTE(SUBSTITUTE(SUBSTITUTE($A652,"-",""),"(",""),")",""),".",""),"+","")," ","")))</f>
      </c>
    </row>
    <row r="653" spans="1:11" x14ac:dyDescent="0.3">
      <c r="A653" s="28"/>
      <c r="B653" s="29"/>
      <c r="C653" s="30"/>
      <c r="D653" s="31"/>
      <c r="E653" s="33">
        <f>IF(OR($D653="",$K653=""),"",IF(COUNTIFS(Payments!$G$5:$G$2500,$K653,Payments!$C$5:$C$2500,"&lt;&gt;")=0,"",_xlfn.MAXIFS(Payments!$C$5:$C$2500,Payments!$G$5:$G$2500,$K653)))</f>
      </c>
      <c r="F653" s="34">
        <f>IF(OR($D653="",$K653=""),"",SUMIF(Payments!$G$5:$G$2500,$K653,Payments!$D$5:$D$2500))</f>
      </c>
      <c r="G653" s="36">
        <f>IF($D653="","",ROUND($D653-IF($F653="",0,$F653),2))</f>
      </c>
      <c r="H653" s="35">
        <f>IF(OR($D653="",$K653=""),"",COUNTIF(Payments!$G$5:$G$2500,$K653))</f>
      </c>
      <c r="I653" s="37">
        <f>IF($D653="","",IF(OR($F653="",$F653=0),"Pending",IF(ROUND($F653-$D653,2)&gt;0,"Overpaid",IF(ROUND($F653-$D653,2)=0,"Paid","Partial"))))</f>
      </c>
      <c r="J653" s="29"/>
      <c r="K653">
        <f>IF($A653="","","#"&amp;TRIM(SUBSTITUTE(SUBSTITUTE(SUBSTITUTE(SUBSTITUTE(SUBSTITUTE(SUBSTITUTE($A653,"-",""),"(",""),")",""),".",""),"+","")," ","")))</f>
      </c>
    </row>
    <row r="654" spans="1:11" x14ac:dyDescent="0.3">
      <c r="A654" s="28"/>
      <c r="B654" s="29"/>
      <c r="C654" s="30"/>
      <c r="D654" s="31"/>
      <c r="E654" s="33">
        <f>IF(OR($D654="",$K654=""),"",IF(COUNTIFS(Payments!$G$5:$G$2500,$K654,Payments!$C$5:$C$2500,"&lt;&gt;")=0,"",_xlfn.MAXIFS(Payments!$C$5:$C$2500,Payments!$G$5:$G$2500,$K654)))</f>
      </c>
      <c r="F654" s="34">
        <f>IF(OR($D654="",$K654=""),"",SUMIF(Payments!$G$5:$G$2500,$K654,Payments!$D$5:$D$2500))</f>
      </c>
      <c r="G654" s="36">
        <f>IF($D654="","",ROUND($D654-IF($F654="",0,$F654),2))</f>
      </c>
      <c r="H654" s="35">
        <f>IF(OR($D654="",$K654=""),"",COUNTIF(Payments!$G$5:$G$2500,$K654))</f>
      </c>
      <c r="I654" s="37">
        <f>IF($D654="","",IF(OR($F654="",$F654=0),"Pending",IF(ROUND($F654-$D654,2)&gt;0,"Overpaid",IF(ROUND($F654-$D654,2)=0,"Paid","Partial"))))</f>
      </c>
      <c r="J654" s="29"/>
      <c r="K654">
        <f>IF($A654="","","#"&amp;TRIM(SUBSTITUTE(SUBSTITUTE(SUBSTITUTE(SUBSTITUTE(SUBSTITUTE(SUBSTITUTE($A654,"-",""),"(",""),")",""),".",""),"+","")," ","")))</f>
      </c>
    </row>
    <row r="655" spans="1:11" x14ac:dyDescent="0.3">
      <c r="A655" s="28"/>
      <c r="B655" s="29"/>
      <c r="C655" s="30"/>
      <c r="D655" s="31"/>
      <c r="E655" s="33">
        <f>IF(OR($D655="",$K655=""),"",IF(COUNTIFS(Payments!$G$5:$G$2500,$K655,Payments!$C$5:$C$2500,"&lt;&gt;")=0,"",_xlfn.MAXIFS(Payments!$C$5:$C$2500,Payments!$G$5:$G$2500,$K655)))</f>
      </c>
      <c r="F655" s="34">
        <f>IF(OR($D655="",$K655=""),"",SUMIF(Payments!$G$5:$G$2500,$K655,Payments!$D$5:$D$2500))</f>
      </c>
      <c r="G655" s="36">
        <f>IF($D655="","",ROUND($D655-IF($F655="",0,$F655),2))</f>
      </c>
      <c r="H655" s="35">
        <f>IF(OR($D655="",$K655=""),"",COUNTIF(Payments!$G$5:$G$2500,$K655))</f>
      </c>
      <c r="I655" s="37">
        <f>IF($D655="","",IF(OR($F655="",$F655=0),"Pending",IF(ROUND($F655-$D655,2)&gt;0,"Overpaid",IF(ROUND($F655-$D655,2)=0,"Paid","Partial"))))</f>
      </c>
      <c r="J655" s="29"/>
      <c r="K655">
        <f>IF($A655="","","#"&amp;TRIM(SUBSTITUTE(SUBSTITUTE(SUBSTITUTE(SUBSTITUTE(SUBSTITUTE(SUBSTITUTE($A655,"-",""),"(",""),")",""),".",""),"+","")," ","")))</f>
      </c>
    </row>
    <row r="656" spans="1:11" x14ac:dyDescent="0.3">
      <c r="A656" s="28"/>
      <c r="B656" s="29"/>
      <c r="C656" s="30"/>
      <c r="D656" s="31"/>
      <c r="E656" s="33">
        <f>IF(OR($D656="",$K656=""),"",IF(COUNTIFS(Payments!$G$5:$G$2500,$K656,Payments!$C$5:$C$2500,"&lt;&gt;")=0,"",_xlfn.MAXIFS(Payments!$C$5:$C$2500,Payments!$G$5:$G$2500,$K656)))</f>
      </c>
      <c r="F656" s="34">
        <f>IF(OR($D656="",$K656=""),"",SUMIF(Payments!$G$5:$G$2500,$K656,Payments!$D$5:$D$2500))</f>
      </c>
      <c r="G656" s="36">
        <f>IF($D656="","",ROUND($D656-IF($F656="",0,$F656),2))</f>
      </c>
      <c r="H656" s="35">
        <f>IF(OR($D656="",$K656=""),"",COUNTIF(Payments!$G$5:$G$2500,$K656))</f>
      </c>
      <c r="I656" s="37">
        <f>IF($D656="","",IF(OR($F656="",$F656=0),"Pending",IF(ROUND($F656-$D656,2)&gt;0,"Overpaid",IF(ROUND($F656-$D656,2)=0,"Paid","Partial"))))</f>
      </c>
      <c r="J656" s="29"/>
      <c r="K656">
        <f>IF($A656="","","#"&amp;TRIM(SUBSTITUTE(SUBSTITUTE(SUBSTITUTE(SUBSTITUTE(SUBSTITUTE(SUBSTITUTE($A656,"-",""),"(",""),")",""),".",""),"+","")," ","")))</f>
      </c>
    </row>
    <row r="657" spans="1:11" x14ac:dyDescent="0.3">
      <c r="A657" s="28"/>
      <c r="B657" s="29"/>
      <c r="C657" s="30"/>
      <c r="D657" s="31"/>
      <c r="E657" s="33">
        <f>IF(OR($D657="",$K657=""),"",IF(COUNTIFS(Payments!$G$5:$G$2500,$K657,Payments!$C$5:$C$2500,"&lt;&gt;")=0,"",_xlfn.MAXIFS(Payments!$C$5:$C$2500,Payments!$G$5:$G$2500,$K657)))</f>
      </c>
      <c r="F657" s="34">
        <f>IF(OR($D657="",$K657=""),"",SUMIF(Payments!$G$5:$G$2500,$K657,Payments!$D$5:$D$2500))</f>
      </c>
      <c r="G657" s="36">
        <f>IF($D657="","",ROUND($D657-IF($F657="",0,$F657),2))</f>
      </c>
      <c r="H657" s="35">
        <f>IF(OR($D657="",$K657=""),"",COUNTIF(Payments!$G$5:$G$2500,$K657))</f>
      </c>
      <c r="I657" s="37">
        <f>IF($D657="","",IF(OR($F657="",$F657=0),"Pending",IF(ROUND($F657-$D657,2)&gt;0,"Overpaid",IF(ROUND($F657-$D657,2)=0,"Paid","Partial"))))</f>
      </c>
      <c r="J657" s="29"/>
      <c r="K657">
        <f>IF($A657="","","#"&amp;TRIM(SUBSTITUTE(SUBSTITUTE(SUBSTITUTE(SUBSTITUTE(SUBSTITUTE(SUBSTITUTE($A657,"-",""),"(",""),")",""),".",""),"+","")," ","")))</f>
      </c>
    </row>
    <row r="658" spans="1:11" x14ac:dyDescent="0.3">
      <c r="A658" s="28"/>
      <c r="B658" s="29"/>
      <c r="C658" s="30"/>
      <c r="D658" s="31"/>
      <c r="E658" s="33">
        <f>IF(OR($D658="",$K658=""),"",IF(COUNTIFS(Payments!$G$5:$G$2500,$K658,Payments!$C$5:$C$2500,"&lt;&gt;")=0,"",_xlfn.MAXIFS(Payments!$C$5:$C$2500,Payments!$G$5:$G$2500,$K658)))</f>
      </c>
      <c r="F658" s="34">
        <f>IF(OR($D658="",$K658=""),"",SUMIF(Payments!$G$5:$G$2500,$K658,Payments!$D$5:$D$2500))</f>
      </c>
      <c r="G658" s="36">
        <f>IF($D658="","",ROUND($D658-IF($F658="",0,$F658),2))</f>
      </c>
      <c r="H658" s="35">
        <f>IF(OR($D658="",$K658=""),"",COUNTIF(Payments!$G$5:$G$2500,$K658))</f>
      </c>
      <c r="I658" s="37">
        <f>IF($D658="","",IF(OR($F658="",$F658=0),"Pending",IF(ROUND($F658-$D658,2)&gt;0,"Overpaid",IF(ROUND($F658-$D658,2)=0,"Paid","Partial"))))</f>
      </c>
      <c r="J658" s="29"/>
      <c r="K658">
        <f>IF($A658="","","#"&amp;TRIM(SUBSTITUTE(SUBSTITUTE(SUBSTITUTE(SUBSTITUTE(SUBSTITUTE(SUBSTITUTE($A658,"-",""),"(",""),")",""),".",""),"+","")," ","")))</f>
      </c>
    </row>
    <row r="659" spans="1:11" x14ac:dyDescent="0.3">
      <c r="A659" s="28"/>
      <c r="B659" s="29"/>
      <c r="C659" s="30"/>
      <c r="D659" s="31"/>
      <c r="E659" s="33">
        <f>IF(OR($D659="",$K659=""),"",IF(COUNTIFS(Payments!$G$5:$G$2500,$K659,Payments!$C$5:$C$2500,"&lt;&gt;")=0,"",_xlfn.MAXIFS(Payments!$C$5:$C$2500,Payments!$G$5:$G$2500,$K659)))</f>
      </c>
      <c r="F659" s="34">
        <f>IF(OR($D659="",$K659=""),"",SUMIF(Payments!$G$5:$G$2500,$K659,Payments!$D$5:$D$2500))</f>
      </c>
      <c r="G659" s="36">
        <f>IF($D659="","",ROUND($D659-IF($F659="",0,$F659),2))</f>
      </c>
      <c r="H659" s="35">
        <f>IF(OR($D659="",$K659=""),"",COUNTIF(Payments!$G$5:$G$2500,$K659))</f>
      </c>
      <c r="I659" s="37">
        <f>IF($D659="","",IF(OR($F659="",$F659=0),"Pending",IF(ROUND($F659-$D659,2)&gt;0,"Overpaid",IF(ROUND($F659-$D659,2)=0,"Paid","Partial"))))</f>
      </c>
      <c r="J659" s="29"/>
      <c r="K659">
        <f>IF($A659="","","#"&amp;TRIM(SUBSTITUTE(SUBSTITUTE(SUBSTITUTE(SUBSTITUTE(SUBSTITUTE(SUBSTITUTE($A659,"-",""),"(",""),")",""),".",""),"+","")," ","")))</f>
      </c>
    </row>
    <row r="660" spans="1:11" x14ac:dyDescent="0.3">
      <c r="A660" s="28"/>
      <c r="B660" s="29"/>
      <c r="C660" s="30"/>
      <c r="D660" s="31"/>
      <c r="E660" s="33">
        <f>IF(OR($D660="",$K660=""),"",IF(COUNTIFS(Payments!$G$5:$G$2500,$K660,Payments!$C$5:$C$2500,"&lt;&gt;")=0,"",_xlfn.MAXIFS(Payments!$C$5:$C$2500,Payments!$G$5:$G$2500,$K660)))</f>
      </c>
      <c r="F660" s="34">
        <f>IF(OR($D660="",$K660=""),"",SUMIF(Payments!$G$5:$G$2500,$K660,Payments!$D$5:$D$2500))</f>
      </c>
      <c r="G660" s="36">
        <f>IF($D660="","",ROUND($D660-IF($F660="",0,$F660),2))</f>
      </c>
      <c r="H660" s="35">
        <f>IF(OR($D660="",$K660=""),"",COUNTIF(Payments!$G$5:$G$2500,$K660))</f>
      </c>
      <c r="I660" s="37">
        <f>IF($D660="","",IF(OR($F660="",$F660=0),"Pending",IF(ROUND($F660-$D660,2)&gt;0,"Overpaid",IF(ROUND($F660-$D660,2)=0,"Paid","Partial"))))</f>
      </c>
      <c r="J660" s="29"/>
      <c r="K660">
        <f>IF($A660="","","#"&amp;TRIM(SUBSTITUTE(SUBSTITUTE(SUBSTITUTE(SUBSTITUTE(SUBSTITUTE(SUBSTITUTE($A660,"-",""),"(",""),")",""),".",""),"+","")," ","")))</f>
      </c>
    </row>
    <row r="661" spans="1:11" x14ac:dyDescent="0.3">
      <c r="A661" s="28"/>
      <c r="B661" s="29"/>
      <c r="C661" s="30"/>
      <c r="D661" s="31"/>
      <c r="E661" s="33">
        <f>IF(OR($D661="",$K661=""),"",IF(COUNTIFS(Payments!$G$5:$G$2500,$K661,Payments!$C$5:$C$2500,"&lt;&gt;")=0,"",_xlfn.MAXIFS(Payments!$C$5:$C$2500,Payments!$G$5:$G$2500,$K661)))</f>
      </c>
      <c r="F661" s="34">
        <f>IF(OR($D661="",$K661=""),"",SUMIF(Payments!$G$5:$G$2500,$K661,Payments!$D$5:$D$2500))</f>
      </c>
      <c r="G661" s="36">
        <f>IF($D661="","",ROUND($D661-IF($F661="",0,$F661),2))</f>
      </c>
      <c r="H661" s="35">
        <f>IF(OR($D661="",$K661=""),"",COUNTIF(Payments!$G$5:$G$2500,$K661))</f>
      </c>
      <c r="I661" s="37">
        <f>IF($D661="","",IF(OR($F661="",$F661=0),"Pending",IF(ROUND($F661-$D661,2)&gt;0,"Overpaid",IF(ROUND($F661-$D661,2)=0,"Paid","Partial"))))</f>
      </c>
      <c r="J661" s="29"/>
      <c r="K661">
        <f>IF($A661="","","#"&amp;TRIM(SUBSTITUTE(SUBSTITUTE(SUBSTITUTE(SUBSTITUTE(SUBSTITUTE(SUBSTITUTE($A661,"-",""),"(",""),")",""),".",""),"+","")," ","")))</f>
      </c>
    </row>
    <row r="662" spans="1:11" x14ac:dyDescent="0.3">
      <c r="A662" s="28"/>
      <c r="B662" s="29"/>
      <c r="C662" s="30"/>
      <c r="D662" s="31"/>
      <c r="E662" s="33">
        <f>IF(OR($D662="",$K662=""),"",IF(COUNTIFS(Payments!$G$5:$G$2500,$K662,Payments!$C$5:$C$2500,"&lt;&gt;")=0,"",_xlfn.MAXIFS(Payments!$C$5:$C$2500,Payments!$G$5:$G$2500,$K662)))</f>
      </c>
      <c r="F662" s="34">
        <f>IF(OR($D662="",$K662=""),"",SUMIF(Payments!$G$5:$G$2500,$K662,Payments!$D$5:$D$2500))</f>
      </c>
      <c r="G662" s="36">
        <f>IF($D662="","",ROUND($D662-IF($F662="",0,$F662),2))</f>
      </c>
      <c r="H662" s="35">
        <f>IF(OR($D662="",$K662=""),"",COUNTIF(Payments!$G$5:$G$2500,$K662))</f>
      </c>
      <c r="I662" s="37">
        <f>IF($D662="","",IF(OR($F662="",$F662=0),"Pending",IF(ROUND($F662-$D662,2)&gt;0,"Overpaid",IF(ROUND($F662-$D662,2)=0,"Paid","Partial"))))</f>
      </c>
      <c r="J662" s="29"/>
      <c r="K662">
        <f>IF($A662="","","#"&amp;TRIM(SUBSTITUTE(SUBSTITUTE(SUBSTITUTE(SUBSTITUTE(SUBSTITUTE(SUBSTITUTE($A662,"-",""),"(",""),")",""),".",""),"+","")," ","")))</f>
      </c>
    </row>
    <row r="663" spans="1:11" x14ac:dyDescent="0.3">
      <c r="A663" s="28"/>
      <c r="B663" s="29"/>
      <c r="C663" s="30"/>
      <c r="D663" s="31"/>
      <c r="E663" s="33">
        <f>IF(OR($D663="",$K663=""),"",IF(COUNTIFS(Payments!$G$5:$G$2500,$K663,Payments!$C$5:$C$2500,"&lt;&gt;")=0,"",_xlfn.MAXIFS(Payments!$C$5:$C$2500,Payments!$G$5:$G$2500,$K663)))</f>
      </c>
      <c r="F663" s="34">
        <f>IF(OR($D663="",$K663=""),"",SUMIF(Payments!$G$5:$G$2500,$K663,Payments!$D$5:$D$2500))</f>
      </c>
      <c r="G663" s="36">
        <f>IF($D663="","",ROUND($D663-IF($F663="",0,$F663),2))</f>
      </c>
      <c r="H663" s="35">
        <f>IF(OR($D663="",$K663=""),"",COUNTIF(Payments!$G$5:$G$2500,$K663))</f>
      </c>
      <c r="I663" s="37">
        <f>IF($D663="","",IF(OR($F663="",$F663=0),"Pending",IF(ROUND($F663-$D663,2)&gt;0,"Overpaid",IF(ROUND($F663-$D663,2)=0,"Paid","Partial"))))</f>
      </c>
      <c r="J663" s="29"/>
      <c r="K663">
        <f>IF($A663="","","#"&amp;TRIM(SUBSTITUTE(SUBSTITUTE(SUBSTITUTE(SUBSTITUTE(SUBSTITUTE(SUBSTITUTE($A663,"-",""),"(",""),")",""),".",""),"+","")," ","")))</f>
      </c>
    </row>
    <row r="664" spans="1:11" x14ac:dyDescent="0.3">
      <c r="A664" s="28"/>
      <c r="B664" s="29"/>
      <c r="C664" s="30"/>
      <c r="D664" s="31"/>
      <c r="E664" s="33">
        <f>IF(OR($D664="",$K664=""),"",IF(COUNTIFS(Payments!$G$5:$G$2500,$K664,Payments!$C$5:$C$2500,"&lt;&gt;")=0,"",_xlfn.MAXIFS(Payments!$C$5:$C$2500,Payments!$G$5:$G$2500,$K664)))</f>
      </c>
      <c r="F664" s="34">
        <f>IF(OR($D664="",$K664=""),"",SUMIF(Payments!$G$5:$G$2500,$K664,Payments!$D$5:$D$2500))</f>
      </c>
      <c r="G664" s="36">
        <f>IF($D664="","",ROUND($D664-IF($F664="",0,$F664),2))</f>
      </c>
      <c r="H664" s="35">
        <f>IF(OR($D664="",$K664=""),"",COUNTIF(Payments!$G$5:$G$2500,$K664))</f>
      </c>
      <c r="I664" s="37">
        <f>IF($D664="","",IF(OR($F664="",$F664=0),"Pending",IF(ROUND($F664-$D664,2)&gt;0,"Overpaid",IF(ROUND($F664-$D664,2)=0,"Paid","Partial"))))</f>
      </c>
      <c r="J664" s="29"/>
      <c r="K664">
        <f>IF($A664="","","#"&amp;TRIM(SUBSTITUTE(SUBSTITUTE(SUBSTITUTE(SUBSTITUTE(SUBSTITUTE(SUBSTITUTE($A664,"-",""),"(",""),")",""),".",""),"+","")," ","")))</f>
      </c>
    </row>
    <row r="665" spans="1:11" x14ac:dyDescent="0.3">
      <c r="A665" s="28"/>
      <c r="B665" s="29"/>
      <c r="C665" s="30"/>
      <c r="D665" s="31"/>
      <c r="E665" s="33">
        <f>IF(OR($D665="",$K665=""),"",IF(COUNTIFS(Payments!$G$5:$G$2500,$K665,Payments!$C$5:$C$2500,"&lt;&gt;")=0,"",_xlfn.MAXIFS(Payments!$C$5:$C$2500,Payments!$G$5:$G$2500,$K665)))</f>
      </c>
      <c r="F665" s="34">
        <f>IF(OR($D665="",$K665=""),"",SUMIF(Payments!$G$5:$G$2500,$K665,Payments!$D$5:$D$2500))</f>
      </c>
      <c r="G665" s="36">
        <f>IF($D665="","",ROUND($D665-IF($F665="",0,$F665),2))</f>
      </c>
      <c r="H665" s="35">
        <f>IF(OR($D665="",$K665=""),"",COUNTIF(Payments!$G$5:$G$2500,$K665))</f>
      </c>
      <c r="I665" s="37">
        <f>IF($D665="","",IF(OR($F665="",$F665=0),"Pending",IF(ROUND($F665-$D665,2)&gt;0,"Overpaid",IF(ROUND($F665-$D665,2)=0,"Paid","Partial"))))</f>
      </c>
      <c r="J665" s="29"/>
      <c r="K665">
        <f>IF($A665="","","#"&amp;TRIM(SUBSTITUTE(SUBSTITUTE(SUBSTITUTE(SUBSTITUTE(SUBSTITUTE(SUBSTITUTE($A665,"-",""),"(",""),")",""),".",""),"+","")," ","")))</f>
      </c>
    </row>
    <row r="666" spans="1:11" x14ac:dyDescent="0.3">
      <c r="A666" s="28"/>
      <c r="B666" s="29"/>
      <c r="C666" s="30"/>
      <c r="D666" s="31"/>
      <c r="E666" s="33">
        <f>IF(OR($D666="",$K666=""),"",IF(COUNTIFS(Payments!$G$5:$G$2500,$K666,Payments!$C$5:$C$2500,"&lt;&gt;")=0,"",_xlfn.MAXIFS(Payments!$C$5:$C$2500,Payments!$G$5:$G$2500,$K666)))</f>
      </c>
      <c r="F666" s="34">
        <f>IF(OR($D666="",$K666=""),"",SUMIF(Payments!$G$5:$G$2500,$K666,Payments!$D$5:$D$2500))</f>
      </c>
      <c r="G666" s="36">
        <f>IF($D666="","",ROUND($D666-IF($F666="",0,$F666),2))</f>
      </c>
      <c r="H666" s="35">
        <f>IF(OR($D666="",$K666=""),"",COUNTIF(Payments!$G$5:$G$2500,$K666))</f>
      </c>
      <c r="I666" s="37">
        <f>IF($D666="","",IF(OR($F666="",$F666=0),"Pending",IF(ROUND($F666-$D666,2)&gt;0,"Overpaid",IF(ROUND($F666-$D666,2)=0,"Paid","Partial"))))</f>
      </c>
      <c r="J666" s="29"/>
      <c r="K666">
        <f>IF($A666="","","#"&amp;TRIM(SUBSTITUTE(SUBSTITUTE(SUBSTITUTE(SUBSTITUTE(SUBSTITUTE(SUBSTITUTE($A666,"-",""),"(",""),")",""),".",""),"+","")," ","")))</f>
      </c>
    </row>
    <row r="667" spans="1:11" x14ac:dyDescent="0.3">
      <c r="A667" s="28"/>
      <c r="B667" s="29"/>
      <c r="C667" s="30"/>
      <c r="D667" s="31"/>
      <c r="E667" s="33">
        <f>IF(OR($D667="",$K667=""),"",IF(COUNTIFS(Payments!$G$5:$G$2500,$K667,Payments!$C$5:$C$2500,"&lt;&gt;")=0,"",_xlfn.MAXIFS(Payments!$C$5:$C$2500,Payments!$G$5:$G$2500,$K667)))</f>
      </c>
      <c r="F667" s="34">
        <f>IF(OR($D667="",$K667=""),"",SUMIF(Payments!$G$5:$G$2500,$K667,Payments!$D$5:$D$2500))</f>
      </c>
      <c r="G667" s="36">
        <f>IF($D667="","",ROUND($D667-IF($F667="",0,$F667),2))</f>
      </c>
      <c r="H667" s="35">
        <f>IF(OR($D667="",$K667=""),"",COUNTIF(Payments!$G$5:$G$2500,$K667))</f>
      </c>
      <c r="I667" s="37">
        <f>IF($D667="","",IF(OR($F667="",$F667=0),"Pending",IF(ROUND($F667-$D667,2)&gt;0,"Overpaid",IF(ROUND($F667-$D667,2)=0,"Paid","Partial"))))</f>
      </c>
      <c r="J667" s="29"/>
      <c r="K667">
        <f>IF($A667="","","#"&amp;TRIM(SUBSTITUTE(SUBSTITUTE(SUBSTITUTE(SUBSTITUTE(SUBSTITUTE(SUBSTITUTE($A667,"-",""),"(",""),")",""),".",""),"+","")," ","")))</f>
      </c>
    </row>
    <row r="668" spans="1:11" x14ac:dyDescent="0.3">
      <c r="A668" s="28"/>
      <c r="B668" s="29"/>
      <c r="C668" s="30"/>
      <c r="D668" s="31"/>
      <c r="E668" s="33">
        <f>IF(OR($D668="",$K668=""),"",IF(COUNTIFS(Payments!$G$5:$G$2500,$K668,Payments!$C$5:$C$2500,"&lt;&gt;")=0,"",_xlfn.MAXIFS(Payments!$C$5:$C$2500,Payments!$G$5:$G$2500,$K668)))</f>
      </c>
      <c r="F668" s="34">
        <f>IF(OR($D668="",$K668=""),"",SUMIF(Payments!$G$5:$G$2500,$K668,Payments!$D$5:$D$2500))</f>
      </c>
      <c r="G668" s="36">
        <f>IF($D668="","",ROUND($D668-IF($F668="",0,$F668),2))</f>
      </c>
      <c r="H668" s="35">
        <f>IF(OR($D668="",$K668=""),"",COUNTIF(Payments!$G$5:$G$2500,$K668))</f>
      </c>
      <c r="I668" s="37">
        <f>IF($D668="","",IF(OR($F668="",$F668=0),"Pending",IF(ROUND($F668-$D668,2)&gt;0,"Overpaid",IF(ROUND($F668-$D668,2)=0,"Paid","Partial"))))</f>
      </c>
      <c r="J668" s="29"/>
      <c r="K668">
        <f>IF($A668="","","#"&amp;TRIM(SUBSTITUTE(SUBSTITUTE(SUBSTITUTE(SUBSTITUTE(SUBSTITUTE(SUBSTITUTE($A668,"-",""),"(",""),")",""),".",""),"+","")," ","")))</f>
      </c>
    </row>
    <row r="669" spans="1:11" x14ac:dyDescent="0.3">
      <c r="A669" s="28"/>
      <c r="B669" s="29"/>
      <c r="C669" s="30"/>
      <c r="D669" s="31"/>
      <c r="E669" s="33">
        <f>IF(OR($D669="",$K669=""),"",IF(COUNTIFS(Payments!$G$5:$G$2500,$K669,Payments!$C$5:$C$2500,"&lt;&gt;")=0,"",_xlfn.MAXIFS(Payments!$C$5:$C$2500,Payments!$G$5:$G$2500,$K669)))</f>
      </c>
      <c r="F669" s="34">
        <f>IF(OR($D669="",$K669=""),"",SUMIF(Payments!$G$5:$G$2500,$K669,Payments!$D$5:$D$2500))</f>
      </c>
      <c r="G669" s="36">
        <f>IF($D669="","",ROUND($D669-IF($F669="",0,$F669),2))</f>
      </c>
      <c r="H669" s="35">
        <f>IF(OR($D669="",$K669=""),"",COUNTIF(Payments!$G$5:$G$2500,$K669))</f>
      </c>
      <c r="I669" s="37">
        <f>IF($D669="","",IF(OR($F669="",$F669=0),"Pending",IF(ROUND($F669-$D669,2)&gt;0,"Overpaid",IF(ROUND($F669-$D669,2)=0,"Paid","Partial"))))</f>
      </c>
      <c r="J669" s="29"/>
      <c r="K669">
        <f>IF($A669="","","#"&amp;TRIM(SUBSTITUTE(SUBSTITUTE(SUBSTITUTE(SUBSTITUTE(SUBSTITUTE(SUBSTITUTE($A669,"-",""),"(",""),")",""),".",""),"+","")," ","")))</f>
      </c>
    </row>
    <row r="670" spans="1:11" x14ac:dyDescent="0.3">
      <c r="A670" s="28"/>
      <c r="B670" s="29"/>
      <c r="C670" s="30"/>
      <c r="D670" s="31"/>
      <c r="E670" s="33">
        <f>IF(OR($D670="",$K670=""),"",IF(COUNTIFS(Payments!$G$5:$G$2500,$K670,Payments!$C$5:$C$2500,"&lt;&gt;")=0,"",_xlfn.MAXIFS(Payments!$C$5:$C$2500,Payments!$G$5:$G$2500,$K670)))</f>
      </c>
      <c r="F670" s="34">
        <f>IF(OR($D670="",$K670=""),"",SUMIF(Payments!$G$5:$G$2500,$K670,Payments!$D$5:$D$2500))</f>
      </c>
      <c r="G670" s="36">
        <f>IF($D670="","",ROUND($D670-IF($F670="",0,$F670),2))</f>
      </c>
      <c r="H670" s="35">
        <f>IF(OR($D670="",$K670=""),"",COUNTIF(Payments!$G$5:$G$2500,$K670))</f>
      </c>
      <c r="I670" s="37">
        <f>IF($D670="","",IF(OR($F670="",$F670=0),"Pending",IF(ROUND($F670-$D670,2)&gt;0,"Overpaid",IF(ROUND($F670-$D670,2)=0,"Paid","Partial"))))</f>
      </c>
      <c r="J670" s="29"/>
      <c r="K670">
        <f>IF($A670="","","#"&amp;TRIM(SUBSTITUTE(SUBSTITUTE(SUBSTITUTE(SUBSTITUTE(SUBSTITUTE(SUBSTITUTE($A670,"-",""),"(",""),")",""),".",""),"+","")," ","")))</f>
      </c>
    </row>
    <row r="671" spans="1:11" x14ac:dyDescent="0.3">
      <c r="A671" s="28"/>
      <c r="B671" s="29"/>
      <c r="C671" s="30"/>
      <c r="D671" s="31"/>
      <c r="E671" s="33">
        <f>IF(OR($D671="",$K671=""),"",IF(COUNTIFS(Payments!$G$5:$G$2500,$K671,Payments!$C$5:$C$2500,"&lt;&gt;")=0,"",_xlfn.MAXIFS(Payments!$C$5:$C$2500,Payments!$G$5:$G$2500,$K671)))</f>
      </c>
      <c r="F671" s="34">
        <f>IF(OR($D671="",$K671=""),"",SUMIF(Payments!$G$5:$G$2500,$K671,Payments!$D$5:$D$2500))</f>
      </c>
      <c r="G671" s="36">
        <f>IF($D671="","",ROUND($D671-IF($F671="",0,$F671),2))</f>
      </c>
      <c r="H671" s="35">
        <f>IF(OR($D671="",$K671=""),"",COUNTIF(Payments!$G$5:$G$2500,$K671))</f>
      </c>
      <c r="I671" s="37">
        <f>IF($D671="","",IF(OR($F671="",$F671=0),"Pending",IF(ROUND($F671-$D671,2)&gt;0,"Overpaid",IF(ROUND($F671-$D671,2)=0,"Paid","Partial"))))</f>
      </c>
      <c r="J671" s="29"/>
      <c r="K671">
        <f>IF($A671="","","#"&amp;TRIM(SUBSTITUTE(SUBSTITUTE(SUBSTITUTE(SUBSTITUTE(SUBSTITUTE(SUBSTITUTE($A671,"-",""),"(",""),")",""),".",""),"+","")," ","")))</f>
      </c>
    </row>
    <row r="672" spans="1:11" x14ac:dyDescent="0.3">
      <c r="A672" s="28"/>
      <c r="B672" s="29"/>
      <c r="C672" s="30"/>
      <c r="D672" s="31"/>
      <c r="E672" s="33">
        <f>IF(OR($D672="",$K672=""),"",IF(COUNTIFS(Payments!$G$5:$G$2500,$K672,Payments!$C$5:$C$2500,"&lt;&gt;")=0,"",_xlfn.MAXIFS(Payments!$C$5:$C$2500,Payments!$G$5:$G$2500,$K672)))</f>
      </c>
      <c r="F672" s="34">
        <f>IF(OR($D672="",$K672=""),"",SUMIF(Payments!$G$5:$G$2500,$K672,Payments!$D$5:$D$2500))</f>
      </c>
      <c r="G672" s="36">
        <f>IF($D672="","",ROUND($D672-IF($F672="",0,$F672),2))</f>
      </c>
      <c r="H672" s="35">
        <f>IF(OR($D672="",$K672=""),"",COUNTIF(Payments!$G$5:$G$2500,$K672))</f>
      </c>
      <c r="I672" s="37">
        <f>IF($D672="","",IF(OR($F672="",$F672=0),"Pending",IF(ROUND($F672-$D672,2)&gt;0,"Overpaid",IF(ROUND($F672-$D672,2)=0,"Paid","Partial"))))</f>
      </c>
      <c r="J672" s="29"/>
      <c r="K672">
        <f>IF($A672="","","#"&amp;TRIM(SUBSTITUTE(SUBSTITUTE(SUBSTITUTE(SUBSTITUTE(SUBSTITUTE(SUBSTITUTE($A672,"-",""),"(",""),")",""),".",""),"+","")," ","")))</f>
      </c>
    </row>
    <row r="673" spans="1:11" x14ac:dyDescent="0.3">
      <c r="A673" s="28"/>
      <c r="B673" s="29"/>
      <c r="C673" s="30"/>
      <c r="D673" s="31"/>
      <c r="E673" s="33">
        <f>IF(OR($D673="",$K673=""),"",IF(COUNTIFS(Payments!$G$5:$G$2500,$K673,Payments!$C$5:$C$2500,"&lt;&gt;")=0,"",_xlfn.MAXIFS(Payments!$C$5:$C$2500,Payments!$G$5:$G$2500,$K673)))</f>
      </c>
      <c r="F673" s="34">
        <f>IF(OR($D673="",$K673=""),"",SUMIF(Payments!$G$5:$G$2500,$K673,Payments!$D$5:$D$2500))</f>
      </c>
      <c r="G673" s="36">
        <f>IF($D673="","",ROUND($D673-IF($F673="",0,$F673),2))</f>
      </c>
      <c r="H673" s="35">
        <f>IF(OR($D673="",$K673=""),"",COUNTIF(Payments!$G$5:$G$2500,$K673))</f>
      </c>
      <c r="I673" s="37">
        <f>IF($D673="","",IF(OR($F673="",$F673=0),"Pending",IF(ROUND($F673-$D673,2)&gt;0,"Overpaid",IF(ROUND($F673-$D673,2)=0,"Paid","Partial"))))</f>
      </c>
      <c r="J673" s="29"/>
      <c r="K673">
        <f>IF($A673="","","#"&amp;TRIM(SUBSTITUTE(SUBSTITUTE(SUBSTITUTE(SUBSTITUTE(SUBSTITUTE(SUBSTITUTE($A673,"-",""),"(",""),")",""),".",""),"+","")," ","")))</f>
      </c>
    </row>
    <row r="674" spans="1:11" x14ac:dyDescent="0.3">
      <c r="A674" s="28"/>
      <c r="B674" s="29"/>
      <c r="C674" s="30"/>
      <c r="D674" s="31"/>
      <c r="E674" s="33">
        <f>IF(OR($D674="",$K674=""),"",IF(COUNTIFS(Payments!$G$5:$G$2500,$K674,Payments!$C$5:$C$2500,"&lt;&gt;")=0,"",_xlfn.MAXIFS(Payments!$C$5:$C$2500,Payments!$G$5:$G$2500,$K674)))</f>
      </c>
      <c r="F674" s="34">
        <f>IF(OR($D674="",$K674=""),"",SUMIF(Payments!$G$5:$G$2500,$K674,Payments!$D$5:$D$2500))</f>
      </c>
      <c r="G674" s="36">
        <f>IF($D674="","",ROUND($D674-IF($F674="",0,$F674),2))</f>
      </c>
      <c r="H674" s="35">
        <f>IF(OR($D674="",$K674=""),"",COUNTIF(Payments!$G$5:$G$2500,$K674))</f>
      </c>
      <c r="I674" s="37">
        <f>IF($D674="","",IF(OR($F674="",$F674=0),"Pending",IF(ROUND($F674-$D674,2)&gt;0,"Overpaid",IF(ROUND($F674-$D674,2)=0,"Paid","Partial"))))</f>
      </c>
      <c r="J674" s="29"/>
      <c r="K674">
        <f>IF($A674="","","#"&amp;TRIM(SUBSTITUTE(SUBSTITUTE(SUBSTITUTE(SUBSTITUTE(SUBSTITUTE(SUBSTITUTE($A674,"-",""),"(",""),")",""),".",""),"+","")," ","")))</f>
      </c>
    </row>
    <row r="675" spans="1:11" x14ac:dyDescent="0.3">
      <c r="A675" s="28"/>
      <c r="B675" s="29"/>
      <c r="C675" s="30"/>
      <c r="D675" s="31"/>
      <c r="E675" s="33">
        <f>IF(OR($D675="",$K675=""),"",IF(COUNTIFS(Payments!$G$5:$G$2500,$K675,Payments!$C$5:$C$2500,"&lt;&gt;")=0,"",_xlfn.MAXIFS(Payments!$C$5:$C$2500,Payments!$G$5:$G$2500,$K675)))</f>
      </c>
      <c r="F675" s="34">
        <f>IF(OR($D675="",$K675=""),"",SUMIF(Payments!$G$5:$G$2500,$K675,Payments!$D$5:$D$2500))</f>
      </c>
      <c r="G675" s="36">
        <f>IF($D675="","",ROUND($D675-IF($F675="",0,$F675),2))</f>
      </c>
      <c r="H675" s="35">
        <f>IF(OR($D675="",$K675=""),"",COUNTIF(Payments!$G$5:$G$2500,$K675))</f>
      </c>
      <c r="I675" s="37">
        <f>IF($D675="","",IF(OR($F675="",$F675=0),"Pending",IF(ROUND($F675-$D675,2)&gt;0,"Overpaid",IF(ROUND($F675-$D675,2)=0,"Paid","Partial"))))</f>
      </c>
      <c r="J675" s="29"/>
      <c r="K675">
        <f>IF($A675="","","#"&amp;TRIM(SUBSTITUTE(SUBSTITUTE(SUBSTITUTE(SUBSTITUTE(SUBSTITUTE(SUBSTITUTE($A675,"-",""),"(",""),")",""),".",""),"+","")," ","")))</f>
      </c>
    </row>
    <row r="676" spans="1:11" x14ac:dyDescent="0.3">
      <c r="A676" s="28"/>
      <c r="B676" s="29"/>
      <c r="C676" s="30"/>
      <c r="D676" s="31"/>
      <c r="E676" s="33">
        <f>IF(OR($D676="",$K676=""),"",IF(COUNTIFS(Payments!$G$5:$G$2500,$K676,Payments!$C$5:$C$2500,"&lt;&gt;")=0,"",_xlfn.MAXIFS(Payments!$C$5:$C$2500,Payments!$G$5:$G$2500,$K676)))</f>
      </c>
      <c r="F676" s="34">
        <f>IF(OR($D676="",$K676=""),"",SUMIF(Payments!$G$5:$G$2500,$K676,Payments!$D$5:$D$2500))</f>
      </c>
      <c r="G676" s="36">
        <f>IF($D676="","",ROUND($D676-IF($F676="",0,$F676),2))</f>
      </c>
      <c r="H676" s="35">
        <f>IF(OR($D676="",$K676=""),"",COUNTIF(Payments!$G$5:$G$2500,$K676))</f>
      </c>
      <c r="I676" s="37">
        <f>IF($D676="","",IF(OR($F676="",$F676=0),"Pending",IF(ROUND($F676-$D676,2)&gt;0,"Overpaid",IF(ROUND($F676-$D676,2)=0,"Paid","Partial"))))</f>
      </c>
      <c r="J676" s="29"/>
      <c r="K676">
        <f>IF($A676="","","#"&amp;TRIM(SUBSTITUTE(SUBSTITUTE(SUBSTITUTE(SUBSTITUTE(SUBSTITUTE(SUBSTITUTE($A676,"-",""),"(",""),")",""),".",""),"+","")," ","")))</f>
      </c>
    </row>
    <row r="677" spans="1:11" x14ac:dyDescent="0.3">
      <c r="A677" s="28"/>
      <c r="B677" s="29"/>
      <c r="C677" s="30"/>
      <c r="D677" s="31"/>
      <c r="E677" s="33">
        <f>IF(OR($D677="",$K677=""),"",IF(COUNTIFS(Payments!$G$5:$G$2500,$K677,Payments!$C$5:$C$2500,"&lt;&gt;")=0,"",_xlfn.MAXIFS(Payments!$C$5:$C$2500,Payments!$G$5:$G$2500,$K677)))</f>
      </c>
      <c r="F677" s="34">
        <f>IF(OR($D677="",$K677=""),"",SUMIF(Payments!$G$5:$G$2500,$K677,Payments!$D$5:$D$2500))</f>
      </c>
      <c r="G677" s="36">
        <f>IF($D677="","",ROUND($D677-IF($F677="",0,$F677),2))</f>
      </c>
      <c r="H677" s="35">
        <f>IF(OR($D677="",$K677=""),"",COUNTIF(Payments!$G$5:$G$2500,$K677))</f>
      </c>
      <c r="I677" s="37">
        <f>IF($D677="","",IF(OR($F677="",$F677=0),"Pending",IF(ROUND($F677-$D677,2)&gt;0,"Overpaid",IF(ROUND($F677-$D677,2)=0,"Paid","Partial"))))</f>
      </c>
      <c r="J677" s="29"/>
      <c r="K677">
        <f>IF($A677="","","#"&amp;TRIM(SUBSTITUTE(SUBSTITUTE(SUBSTITUTE(SUBSTITUTE(SUBSTITUTE(SUBSTITUTE($A677,"-",""),"(",""),")",""),".",""),"+","")," ","")))</f>
      </c>
    </row>
    <row r="678" spans="1:11" x14ac:dyDescent="0.3">
      <c r="A678" s="28"/>
      <c r="B678" s="29"/>
      <c r="C678" s="30"/>
      <c r="D678" s="31"/>
      <c r="E678" s="33">
        <f>IF(OR($D678="",$K678=""),"",IF(COUNTIFS(Payments!$G$5:$G$2500,$K678,Payments!$C$5:$C$2500,"&lt;&gt;")=0,"",_xlfn.MAXIFS(Payments!$C$5:$C$2500,Payments!$G$5:$G$2500,$K678)))</f>
      </c>
      <c r="F678" s="34">
        <f>IF(OR($D678="",$K678=""),"",SUMIF(Payments!$G$5:$G$2500,$K678,Payments!$D$5:$D$2500))</f>
      </c>
      <c r="G678" s="36">
        <f>IF($D678="","",ROUND($D678-IF($F678="",0,$F678),2))</f>
      </c>
      <c r="H678" s="35">
        <f>IF(OR($D678="",$K678=""),"",COUNTIF(Payments!$G$5:$G$2500,$K678))</f>
      </c>
      <c r="I678" s="37">
        <f>IF($D678="","",IF(OR($F678="",$F678=0),"Pending",IF(ROUND($F678-$D678,2)&gt;0,"Overpaid",IF(ROUND($F678-$D678,2)=0,"Paid","Partial"))))</f>
      </c>
      <c r="J678" s="29"/>
      <c r="K678">
        <f>IF($A678="","","#"&amp;TRIM(SUBSTITUTE(SUBSTITUTE(SUBSTITUTE(SUBSTITUTE(SUBSTITUTE(SUBSTITUTE($A678,"-",""),"(",""),")",""),".",""),"+","")," ","")))</f>
      </c>
    </row>
    <row r="679" spans="1:11" x14ac:dyDescent="0.3">
      <c r="A679" s="28"/>
      <c r="B679" s="29"/>
      <c r="C679" s="30"/>
      <c r="D679" s="31"/>
      <c r="E679" s="33">
        <f>IF(OR($D679="",$K679=""),"",IF(COUNTIFS(Payments!$G$5:$G$2500,$K679,Payments!$C$5:$C$2500,"&lt;&gt;")=0,"",_xlfn.MAXIFS(Payments!$C$5:$C$2500,Payments!$G$5:$G$2500,$K679)))</f>
      </c>
      <c r="F679" s="34">
        <f>IF(OR($D679="",$K679=""),"",SUMIF(Payments!$G$5:$G$2500,$K679,Payments!$D$5:$D$2500))</f>
      </c>
      <c r="G679" s="36">
        <f>IF($D679="","",ROUND($D679-IF($F679="",0,$F679),2))</f>
      </c>
      <c r="H679" s="35">
        <f>IF(OR($D679="",$K679=""),"",COUNTIF(Payments!$G$5:$G$2500,$K679))</f>
      </c>
      <c r="I679" s="37">
        <f>IF($D679="","",IF(OR($F679="",$F679=0),"Pending",IF(ROUND($F679-$D679,2)&gt;0,"Overpaid",IF(ROUND($F679-$D679,2)=0,"Paid","Partial"))))</f>
      </c>
      <c r="J679" s="29"/>
      <c r="K679">
        <f>IF($A679="","","#"&amp;TRIM(SUBSTITUTE(SUBSTITUTE(SUBSTITUTE(SUBSTITUTE(SUBSTITUTE(SUBSTITUTE($A679,"-",""),"(",""),")",""),".",""),"+","")," ","")))</f>
      </c>
    </row>
    <row r="680" spans="1:11" x14ac:dyDescent="0.3">
      <c r="A680" s="28"/>
      <c r="B680" s="29"/>
      <c r="C680" s="30"/>
      <c r="D680" s="31"/>
      <c r="E680" s="33">
        <f>IF(OR($D680="",$K680=""),"",IF(COUNTIFS(Payments!$G$5:$G$2500,$K680,Payments!$C$5:$C$2500,"&lt;&gt;")=0,"",_xlfn.MAXIFS(Payments!$C$5:$C$2500,Payments!$G$5:$G$2500,$K680)))</f>
      </c>
      <c r="F680" s="34">
        <f>IF(OR($D680="",$K680=""),"",SUMIF(Payments!$G$5:$G$2500,$K680,Payments!$D$5:$D$2500))</f>
      </c>
      <c r="G680" s="36">
        <f>IF($D680="","",ROUND($D680-IF($F680="",0,$F680),2))</f>
      </c>
      <c r="H680" s="35">
        <f>IF(OR($D680="",$K680=""),"",COUNTIF(Payments!$G$5:$G$2500,$K680))</f>
      </c>
      <c r="I680" s="37">
        <f>IF($D680="","",IF(OR($F680="",$F680=0),"Pending",IF(ROUND($F680-$D680,2)&gt;0,"Overpaid",IF(ROUND($F680-$D680,2)=0,"Paid","Partial"))))</f>
      </c>
      <c r="J680" s="29"/>
      <c r="K680">
        <f>IF($A680="","","#"&amp;TRIM(SUBSTITUTE(SUBSTITUTE(SUBSTITUTE(SUBSTITUTE(SUBSTITUTE(SUBSTITUTE($A680,"-",""),"(",""),")",""),".",""),"+","")," ","")))</f>
      </c>
    </row>
    <row r="681" spans="1:11" x14ac:dyDescent="0.3">
      <c r="A681" s="28"/>
      <c r="B681" s="29"/>
      <c r="C681" s="30"/>
      <c r="D681" s="31"/>
      <c r="E681" s="33">
        <f>IF(OR($D681="",$K681=""),"",IF(COUNTIFS(Payments!$G$5:$G$2500,$K681,Payments!$C$5:$C$2500,"&lt;&gt;")=0,"",_xlfn.MAXIFS(Payments!$C$5:$C$2500,Payments!$G$5:$G$2500,$K681)))</f>
      </c>
      <c r="F681" s="34">
        <f>IF(OR($D681="",$K681=""),"",SUMIF(Payments!$G$5:$G$2500,$K681,Payments!$D$5:$D$2500))</f>
      </c>
      <c r="G681" s="36">
        <f>IF($D681="","",ROUND($D681-IF($F681="",0,$F681),2))</f>
      </c>
      <c r="H681" s="35">
        <f>IF(OR($D681="",$K681=""),"",COUNTIF(Payments!$G$5:$G$2500,$K681))</f>
      </c>
      <c r="I681" s="37">
        <f>IF($D681="","",IF(OR($F681="",$F681=0),"Pending",IF(ROUND($F681-$D681,2)&gt;0,"Overpaid",IF(ROUND($F681-$D681,2)=0,"Paid","Partial"))))</f>
      </c>
      <c r="J681" s="29"/>
      <c r="K681">
        <f>IF($A681="","","#"&amp;TRIM(SUBSTITUTE(SUBSTITUTE(SUBSTITUTE(SUBSTITUTE(SUBSTITUTE(SUBSTITUTE($A681,"-",""),"(",""),")",""),".",""),"+","")," ","")))</f>
      </c>
    </row>
    <row r="682" spans="1:11" x14ac:dyDescent="0.3">
      <c r="A682" s="28"/>
      <c r="B682" s="29"/>
      <c r="C682" s="30"/>
      <c r="D682" s="31"/>
      <c r="E682" s="33">
        <f>IF(OR($D682="",$K682=""),"",IF(COUNTIFS(Payments!$G$5:$G$2500,$K682,Payments!$C$5:$C$2500,"&lt;&gt;")=0,"",_xlfn.MAXIFS(Payments!$C$5:$C$2500,Payments!$G$5:$G$2500,$K682)))</f>
      </c>
      <c r="F682" s="34">
        <f>IF(OR($D682="",$K682=""),"",SUMIF(Payments!$G$5:$G$2500,$K682,Payments!$D$5:$D$2500))</f>
      </c>
      <c r="G682" s="36">
        <f>IF($D682="","",ROUND($D682-IF($F682="",0,$F682),2))</f>
      </c>
      <c r="H682" s="35">
        <f>IF(OR($D682="",$K682=""),"",COUNTIF(Payments!$G$5:$G$2500,$K682))</f>
      </c>
      <c r="I682" s="37">
        <f>IF($D682="","",IF(OR($F682="",$F682=0),"Pending",IF(ROUND($F682-$D682,2)&gt;0,"Overpaid",IF(ROUND($F682-$D682,2)=0,"Paid","Partial"))))</f>
      </c>
      <c r="J682" s="29"/>
      <c r="K682">
        <f>IF($A682="","","#"&amp;TRIM(SUBSTITUTE(SUBSTITUTE(SUBSTITUTE(SUBSTITUTE(SUBSTITUTE(SUBSTITUTE($A682,"-",""),"(",""),")",""),".",""),"+","")," ","")))</f>
      </c>
    </row>
    <row r="683" spans="1:11" x14ac:dyDescent="0.3">
      <c r="A683" s="28"/>
      <c r="B683" s="29"/>
      <c r="C683" s="30"/>
      <c r="D683" s="31"/>
      <c r="E683" s="33">
        <f>IF(OR($D683="",$K683=""),"",IF(COUNTIFS(Payments!$G$5:$G$2500,$K683,Payments!$C$5:$C$2500,"&lt;&gt;")=0,"",_xlfn.MAXIFS(Payments!$C$5:$C$2500,Payments!$G$5:$G$2500,$K683)))</f>
      </c>
      <c r="F683" s="34">
        <f>IF(OR($D683="",$K683=""),"",SUMIF(Payments!$G$5:$G$2500,$K683,Payments!$D$5:$D$2500))</f>
      </c>
      <c r="G683" s="36">
        <f>IF($D683="","",ROUND($D683-IF($F683="",0,$F683),2))</f>
      </c>
      <c r="H683" s="35">
        <f>IF(OR($D683="",$K683=""),"",COUNTIF(Payments!$G$5:$G$2500,$K683))</f>
      </c>
      <c r="I683" s="37">
        <f>IF($D683="","",IF(OR($F683="",$F683=0),"Pending",IF(ROUND($F683-$D683,2)&gt;0,"Overpaid",IF(ROUND($F683-$D683,2)=0,"Paid","Partial"))))</f>
      </c>
      <c r="J683" s="29"/>
      <c r="K683">
        <f>IF($A683="","","#"&amp;TRIM(SUBSTITUTE(SUBSTITUTE(SUBSTITUTE(SUBSTITUTE(SUBSTITUTE(SUBSTITUTE($A683,"-",""),"(",""),")",""),".",""),"+","")," ","")))</f>
      </c>
    </row>
    <row r="684" spans="1:11" x14ac:dyDescent="0.3">
      <c r="A684" s="28"/>
      <c r="B684" s="29"/>
      <c r="C684" s="30"/>
      <c r="D684" s="31"/>
      <c r="E684" s="33">
        <f>IF(OR($D684="",$K684=""),"",IF(COUNTIFS(Payments!$G$5:$G$2500,$K684,Payments!$C$5:$C$2500,"&lt;&gt;")=0,"",_xlfn.MAXIFS(Payments!$C$5:$C$2500,Payments!$G$5:$G$2500,$K684)))</f>
      </c>
      <c r="F684" s="34">
        <f>IF(OR($D684="",$K684=""),"",SUMIF(Payments!$G$5:$G$2500,$K684,Payments!$D$5:$D$2500))</f>
      </c>
      <c r="G684" s="36">
        <f>IF($D684="","",ROUND($D684-IF($F684="",0,$F684),2))</f>
      </c>
      <c r="H684" s="35">
        <f>IF(OR($D684="",$K684=""),"",COUNTIF(Payments!$G$5:$G$2500,$K684))</f>
      </c>
      <c r="I684" s="37">
        <f>IF($D684="","",IF(OR($F684="",$F684=0),"Pending",IF(ROUND($F684-$D684,2)&gt;0,"Overpaid",IF(ROUND($F684-$D684,2)=0,"Paid","Partial"))))</f>
      </c>
      <c r="J684" s="29"/>
      <c r="K684">
        <f>IF($A684="","","#"&amp;TRIM(SUBSTITUTE(SUBSTITUTE(SUBSTITUTE(SUBSTITUTE(SUBSTITUTE(SUBSTITUTE($A684,"-",""),"(",""),")",""),".",""),"+","")," ","")))</f>
      </c>
    </row>
    <row r="685" spans="1:11" x14ac:dyDescent="0.3">
      <c r="A685" s="28"/>
      <c r="B685" s="29"/>
      <c r="C685" s="30"/>
      <c r="D685" s="31"/>
      <c r="E685" s="33">
        <f>IF(OR($D685="",$K685=""),"",IF(COUNTIFS(Payments!$G$5:$G$2500,$K685,Payments!$C$5:$C$2500,"&lt;&gt;")=0,"",_xlfn.MAXIFS(Payments!$C$5:$C$2500,Payments!$G$5:$G$2500,$K685)))</f>
      </c>
      <c r="F685" s="34">
        <f>IF(OR($D685="",$K685=""),"",SUMIF(Payments!$G$5:$G$2500,$K685,Payments!$D$5:$D$2500))</f>
      </c>
      <c r="G685" s="36">
        <f>IF($D685="","",ROUND($D685-IF($F685="",0,$F685),2))</f>
      </c>
      <c r="H685" s="35">
        <f>IF(OR($D685="",$K685=""),"",COUNTIF(Payments!$G$5:$G$2500,$K685))</f>
      </c>
      <c r="I685" s="37">
        <f>IF($D685="","",IF(OR($F685="",$F685=0),"Pending",IF(ROUND($F685-$D685,2)&gt;0,"Overpaid",IF(ROUND($F685-$D685,2)=0,"Paid","Partial"))))</f>
      </c>
      <c r="J685" s="29"/>
      <c r="K685">
        <f>IF($A685="","","#"&amp;TRIM(SUBSTITUTE(SUBSTITUTE(SUBSTITUTE(SUBSTITUTE(SUBSTITUTE(SUBSTITUTE($A685,"-",""),"(",""),")",""),".",""),"+","")," ","")))</f>
      </c>
    </row>
    <row r="686" spans="1:11" x14ac:dyDescent="0.3">
      <c r="A686" s="28"/>
      <c r="B686" s="29"/>
      <c r="C686" s="30"/>
      <c r="D686" s="31"/>
      <c r="E686" s="33">
        <f>IF(OR($D686="",$K686=""),"",IF(COUNTIFS(Payments!$G$5:$G$2500,$K686,Payments!$C$5:$C$2500,"&lt;&gt;")=0,"",_xlfn.MAXIFS(Payments!$C$5:$C$2500,Payments!$G$5:$G$2500,$K686)))</f>
      </c>
      <c r="F686" s="34">
        <f>IF(OR($D686="",$K686=""),"",SUMIF(Payments!$G$5:$G$2500,$K686,Payments!$D$5:$D$2500))</f>
      </c>
      <c r="G686" s="36">
        <f>IF($D686="","",ROUND($D686-IF($F686="",0,$F686),2))</f>
      </c>
      <c r="H686" s="35">
        <f>IF(OR($D686="",$K686=""),"",COUNTIF(Payments!$G$5:$G$2500,$K686))</f>
      </c>
      <c r="I686" s="37">
        <f>IF($D686="","",IF(OR($F686="",$F686=0),"Pending",IF(ROUND($F686-$D686,2)&gt;0,"Overpaid",IF(ROUND($F686-$D686,2)=0,"Paid","Partial"))))</f>
      </c>
      <c r="J686" s="29"/>
      <c r="K686">
        <f>IF($A686="","","#"&amp;TRIM(SUBSTITUTE(SUBSTITUTE(SUBSTITUTE(SUBSTITUTE(SUBSTITUTE(SUBSTITUTE($A686,"-",""),"(",""),")",""),".",""),"+","")," ","")))</f>
      </c>
    </row>
    <row r="687" spans="1:11" x14ac:dyDescent="0.3">
      <c r="A687" s="28"/>
      <c r="B687" s="29"/>
      <c r="C687" s="30"/>
      <c r="D687" s="31"/>
      <c r="E687" s="33">
        <f>IF(OR($D687="",$K687=""),"",IF(COUNTIFS(Payments!$G$5:$G$2500,$K687,Payments!$C$5:$C$2500,"&lt;&gt;")=0,"",_xlfn.MAXIFS(Payments!$C$5:$C$2500,Payments!$G$5:$G$2500,$K687)))</f>
      </c>
      <c r="F687" s="34">
        <f>IF(OR($D687="",$K687=""),"",SUMIF(Payments!$G$5:$G$2500,$K687,Payments!$D$5:$D$2500))</f>
      </c>
      <c r="G687" s="36">
        <f>IF($D687="","",ROUND($D687-IF($F687="",0,$F687),2))</f>
      </c>
      <c r="H687" s="35">
        <f>IF(OR($D687="",$K687=""),"",COUNTIF(Payments!$G$5:$G$2500,$K687))</f>
      </c>
      <c r="I687" s="37">
        <f>IF($D687="","",IF(OR($F687="",$F687=0),"Pending",IF(ROUND($F687-$D687,2)&gt;0,"Overpaid",IF(ROUND($F687-$D687,2)=0,"Paid","Partial"))))</f>
      </c>
      <c r="J687" s="29"/>
      <c r="K687">
        <f>IF($A687="","","#"&amp;TRIM(SUBSTITUTE(SUBSTITUTE(SUBSTITUTE(SUBSTITUTE(SUBSTITUTE(SUBSTITUTE($A687,"-",""),"(",""),")",""),".",""),"+","")," ","")))</f>
      </c>
    </row>
    <row r="688" spans="1:11" x14ac:dyDescent="0.3">
      <c r="A688" s="28"/>
      <c r="B688" s="29"/>
      <c r="C688" s="30"/>
      <c r="D688" s="31"/>
      <c r="E688" s="33">
        <f>IF(OR($D688="",$K688=""),"",IF(COUNTIFS(Payments!$G$5:$G$2500,$K688,Payments!$C$5:$C$2500,"&lt;&gt;")=0,"",_xlfn.MAXIFS(Payments!$C$5:$C$2500,Payments!$G$5:$G$2500,$K688)))</f>
      </c>
      <c r="F688" s="34">
        <f>IF(OR($D688="",$K688=""),"",SUMIF(Payments!$G$5:$G$2500,$K688,Payments!$D$5:$D$2500))</f>
      </c>
      <c r="G688" s="36">
        <f>IF($D688="","",ROUND($D688-IF($F688="",0,$F688),2))</f>
      </c>
      <c r="H688" s="35">
        <f>IF(OR($D688="",$K688=""),"",COUNTIF(Payments!$G$5:$G$2500,$K688))</f>
      </c>
      <c r="I688" s="37">
        <f>IF($D688="","",IF(OR($F688="",$F688=0),"Pending",IF(ROUND($F688-$D688,2)&gt;0,"Overpaid",IF(ROUND($F688-$D688,2)=0,"Paid","Partial"))))</f>
      </c>
      <c r="J688" s="29"/>
      <c r="K688">
        <f>IF($A688="","","#"&amp;TRIM(SUBSTITUTE(SUBSTITUTE(SUBSTITUTE(SUBSTITUTE(SUBSTITUTE(SUBSTITUTE($A688,"-",""),"(",""),")",""),".",""),"+","")," ","")))</f>
      </c>
    </row>
    <row r="689" spans="1:11" x14ac:dyDescent="0.3">
      <c r="A689" s="28"/>
      <c r="B689" s="29"/>
      <c r="C689" s="30"/>
      <c r="D689" s="31"/>
      <c r="E689" s="33">
        <f>IF(OR($D689="",$K689=""),"",IF(COUNTIFS(Payments!$G$5:$G$2500,$K689,Payments!$C$5:$C$2500,"&lt;&gt;")=0,"",_xlfn.MAXIFS(Payments!$C$5:$C$2500,Payments!$G$5:$G$2500,$K689)))</f>
      </c>
      <c r="F689" s="34">
        <f>IF(OR($D689="",$K689=""),"",SUMIF(Payments!$G$5:$G$2500,$K689,Payments!$D$5:$D$2500))</f>
      </c>
      <c r="G689" s="36">
        <f>IF($D689="","",ROUND($D689-IF($F689="",0,$F689),2))</f>
      </c>
      <c r="H689" s="35">
        <f>IF(OR($D689="",$K689=""),"",COUNTIF(Payments!$G$5:$G$2500,$K689))</f>
      </c>
      <c r="I689" s="37">
        <f>IF($D689="","",IF(OR($F689="",$F689=0),"Pending",IF(ROUND($F689-$D689,2)&gt;0,"Overpaid",IF(ROUND($F689-$D689,2)=0,"Paid","Partial"))))</f>
      </c>
      <c r="J689" s="29"/>
      <c r="K689">
        <f>IF($A689="","","#"&amp;TRIM(SUBSTITUTE(SUBSTITUTE(SUBSTITUTE(SUBSTITUTE(SUBSTITUTE(SUBSTITUTE($A689,"-",""),"(",""),")",""),".",""),"+","")," ","")))</f>
      </c>
    </row>
    <row r="690" spans="1:11" x14ac:dyDescent="0.3">
      <c r="A690" s="28"/>
      <c r="B690" s="29"/>
      <c r="C690" s="30"/>
      <c r="D690" s="31"/>
      <c r="E690" s="33">
        <f>IF(OR($D690="",$K690=""),"",IF(COUNTIFS(Payments!$G$5:$G$2500,$K690,Payments!$C$5:$C$2500,"&lt;&gt;")=0,"",_xlfn.MAXIFS(Payments!$C$5:$C$2500,Payments!$G$5:$G$2500,$K690)))</f>
      </c>
      <c r="F690" s="34">
        <f>IF(OR($D690="",$K690=""),"",SUMIF(Payments!$G$5:$G$2500,$K690,Payments!$D$5:$D$2500))</f>
      </c>
      <c r="G690" s="36">
        <f>IF($D690="","",ROUND($D690-IF($F690="",0,$F690),2))</f>
      </c>
      <c r="H690" s="35">
        <f>IF(OR($D690="",$K690=""),"",COUNTIF(Payments!$G$5:$G$2500,$K690))</f>
      </c>
      <c r="I690" s="37">
        <f>IF($D690="","",IF(OR($F690="",$F690=0),"Pending",IF(ROUND($F690-$D690,2)&gt;0,"Overpaid",IF(ROUND($F690-$D690,2)=0,"Paid","Partial"))))</f>
      </c>
      <c r="J690" s="29"/>
      <c r="K690">
        <f>IF($A690="","","#"&amp;TRIM(SUBSTITUTE(SUBSTITUTE(SUBSTITUTE(SUBSTITUTE(SUBSTITUTE(SUBSTITUTE($A690,"-",""),"(",""),")",""),".",""),"+","")," ","")))</f>
      </c>
    </row>
    <row r="691" spans="1:11" x14ac:dyDescent="0.3">
      <c r="A691" s="28"/>
      <c r="B691" s="29"/>
      <c r="C691" s="30"/>
      <c r="D691" s="31"/>
      <c r="E691" s="33">
        <f>IF(OR($D691="",$K691=""),"",IF(COUNTIFS(Payments!$G$5:$G$2500,$K691,Payments!$C$5:$C$2500,"&lt;&gt;")=0,"",_xlfn.MAXIFS(Payments!$C$5:$C$2500,Payments!$G$5:$G$2500,$K691)))</f>
      </c>
      <c r="F691" s="34">
        <f>IF(OR($D691="",$K691=""),"",SUMIF(Payments!$G$5:$G$2500,$K691,Payments!$D$5:$D$2500))</f>
      </c>
      <c r="G691" s="36">
        <f>IF($D691="","",ROUND($D691-IF($F691="",0,$F691),2))</f>
      </c>
      <c r="H691" s="35">
        <f>IF(OR($D691="",$K691=""),"",COUNTIF(Payments!$G$5:$G$2500,$K691))</f>
      </c>
      <c r="I691" s="37">
        <f>IF($D691="","",IF(OR($F691="",$F691=0),"Pending",IF(ROUND($F691-$D691,2)&gt;0,"Overpaid",IF(ROUND($F691-$D691,2)=0,"Paid","Partial"))))</f>
      </c>
      <c r="J691" s="29"/>
      <c r="K691">
        <f>IF($A691="","","#"&amp;TRIM(SUBSTITUTE(SUBSTITUTE(SUBSTITUTE(SUBSTITUTE(SUBSTITUTE(SUBSTITUTE($A691,"-",""),"(",""),")",""),".",""),"+","")," ","")))</f>
      </c>
    </row>
    <row r="692" spans="1:11" x14ac:dyDescent="0.3">
      <c r="A692" s="28"/>
      <c r="B692" s="29"/>
      <c r="C692" s="30"/>
      <c r="D692" s="31"/>
      <c r="E692" s="33">
        <f>IF(OR($D692="",$K692=""),"",IF(COUNTIFS(Payments!$G$5:$G$2500,$K692,Payments!$C$5:$C$2500,"&lt;&gt;")=0,"",_xlfn.MAXIFS(Payments!$C$5:$C$2500,Payments!$G$5:$G$2500,$K692)))</f>
      </c>
      <c r="F692" s="34">
        <f>IF(OR($D692="",$K692=""),"",SUMIF(Payments!$G$5:$G$2500,$K692,Payments!$D$5:$D$2500))</f>
      </c>
      <c r="G692" s="36">
        <f>IF($D692="","",ROUND($D692-IF($F692="",0,$F692),2))</f>
      </c>
      <c r="H692" s="35">
        <f>IF(OR($D692="",$K692=""),"",COUNTIF(Payments!$G$5:$G$2500,$K692))</f>
      </c>
      <c r="I692" s="37">
        <f>IF($D692="","",IF(OR($F692="",$F692=0),"Pending",IF(ROUND($F692-$D692,2)&gt;0,"Overpaid",IF(ROUND($F692-$D692,2)=0,"Paid","Partial"))))</f>
      </c>
      <c r="J692" s="29"/>
      <c r="K692">
        <f>IF($A692="","","#"&amp;TRIM(SUBSTITUTE(SUBSTITUTE(SUBSTITUTE(SUBSTITUTE(SUBSTITUTE(SUBSTITUTE($A692,"-",""),"(",""),")",""),".",""),"+","")," ","")))</f>
      </c>
    </row>
    <row r="693" spans="1:11" x14ac:dyDescent="0.3">
      <c r="A693" s="28"/>
      <c r="B693" s="29"/>
      <c r="C693" s="30"/>
      <c r="D693" s="31"/>
      <c r="E693" s="33">
        <f>IF(OR($D693="",$K693=""),"",IF(COUNTIFS(Payments!$G$5:$G$2500,$K693,Payments!$C$5:$C$2500,"&lt;&gt;")=0,"",_xlfn.MAXIFS(Payments!$C$5:$C$2500,Payments!$G$5:$G$2500,$K693)))</f>
      </c>
      <c r="F693" s="34">
        <f>IF(OR($D693="",$K693=""),"",SUMIF(Payments!$G$5:$G$2500,$K693,Payments!$D$5:$D$2500))</f>
      </c>
      <c r="G693" s="36">
        <f>IF($D693="","",ROUND($D693-IF($F693="",0,$F693),2))</f>
      </c>
      <c r="H693" s="35">
        <f>IF(OR($D693="",$K693=""),"",COUNTIF(Payments!$G$5:$G$2500,$K693))</f>
      </c>
      <c r="I693" s="37">
        <f>IF($D693="","",IF(OR($F693="",$F693=0),"Pending",IF(ROUND($F693-$D693,2)&gt;0,"Overpaid",IF(ROUND($F693-$D693,2)=0,"Paid","Partial"))))</f>
      </c>
      <c r="J693" s="29"/>
      <c r="K693">
        <f>IF($A693="","","#"&amp;TRIM(SUBSTITUTE(SUBSTITUTE(SUBSTITUTE(SUBSTITUTE(SUBSTITUTE(SUBSTITUTE($A693,"-",""),"(",""),")",""),".",""),"+","")," ","")))</f>
      </c>
    </row>
    <row r="694" spans="1:11" x14ac:dyDescent="0.3">
      <c r="A694" s="28"/>
      <c r="B694" s="29"/>
      <c r="C694" s="30"/>
      <c r="D694" s="31"/>
      <c r="E694" s="33">
        <f>IF(OR($D694="",$K694=""),"",IF(COUNTIFS(Payments!$G$5:$G$2500,$K694,Payments!$C$5:$C$2500,"&lt;&gt;")=0,"",_xlfn.MAXIFS(Payments!$C$5:$C$2500,Payments!$G$5:$G$2500,$K694)))</f>
      </c>
      <c r="F694" s="34">
        <f>IF(OR($D694="",$K694=""),"",SUMIF(Payments!$G$5:$G$2500,$K694,Payments!$D$5:$D$2500))</f>
      </c>
      <c r="G694" s="36">
        <f>IF($D694="","",ROUND($D694-IF($F694="",0,$F694),2))</f>
      </c>
      <c r="H694" s="35">
        <f>IF(OR($D694="",$K694=""),"",COUNTIF(Payments!$G$5:$G$2500,$K694))</f>
      </c>
      <c r="I694" s="37">
        <f>IF($D694="","",IF(OR($F694="",$F694=0),"Pending",IF(ROUND($F694-$D694,2)&gt;0,"Overpaid",IF(ROUND($F694-$D694,2)=0,"Paid","Partial"))))</f>
      </c>
      <c r="J694" s="29"/>
      <c r="K694">
        <f>IF($A694="","","#"&amp;TRIM(SUBSTITUTE(SUBSTITUTE(SUBSTITUTE(SUBSTITUTE(SUBSTITUTE(SUBSTITUTE($A694,"-",""),"(",""),")",""),".",""),"+","")," ","")))</f>
      </c>
    </row>
    <row r="695" spans="1:11" x14ac:dyDescent="0.3">
      <c r="A695" s="28"/>
      <c r="B695" s="29"/>
      <c r="C695" s="30"/>
      <c r="D695" s="31"/>
      <c r="E695" s="33">
        <f>IF(OR($D695="",$K695=""),"",IF(COUNTIFS(Payments!$G$5:$G$2500,$K695,Payments!$C$5:$C$2500,"&lt;&gt;")=0,"",_xlfn.MAXIFS(Payments!$C$5:$C$2500,Payments!$G$5:$G$2500,$K695)))</f>
      </c>
      <c r="F695" s="34">
        <f>IF(OR($D695="",$K695=""),"",SUMIF(Payments!$G$5:$G$2500,$K695,Payments!$D$5:$D$2500))</f>
      </c>
      <c r="G695" s="36">
        <f>IF($D695="","",ROUND($D695-IF($F695="",0,$F695),2))</f>
      </c>
      <c r="H695" s="35">
        <f>IF(OR($D695="",$K695=""),"",COUNTIF(Payments!$G$5:$G$2500,$K695))</f>
      </c>
      <c r="I695" s="37">
        <f>IF($D695="","",IF(OR($F695="",$F695=0),"Pending",IF(ROUND($F695-$D695,2)&gt;0,"Overpaid",IF(ROUND($F695-$D695,2)=0,"Paid","Partial"))))</f>
      </c>
      <c r="J695" s="29"/>
      <c r="K695">
        <f>IF($A695="","","#"&amp;TRIM(SUBSTITUTE(SUBSTITUTE(SUBSTITUTE(SUBSTITUTE(SUBSTITUTE(SUBSTITUTE($A695,"-",""),"(",""),")",""),".",""),"+","")," ","")))</f>
      </c>
    </row>
    <row r="696" spans="1:11" x14ac:dyDescent="0.3">
      <c r="A696" s="28"/>
      <c r="B696" s="29"/>
      <c r="C696" s="30"/>
      <c r="D696" s="31"/>
      <c r="E696" s="33">
        <f>IF(OR($D696="",$K696=""),"",IF(COUNTIFS(Payments!$G$5:$G$2500,$K696,Payments!$C$5:$C$2500,"&lt;&gt;")=0,"",_xlfn.MAXIFS(Payments!$C$5:$C$2500,Payments!$G$5:$G$2500,$K696)))</f>
      </c>
      <c r="F696" s="34">
        <f>IF(OR($D696="",$K696=""),"",SUMIF(Payments!$G$5:$G$2500,$K696,Payments!$D$5:$D$2500))</f>
      </c>
      <c r="G696" s="36">
        <f>IF($D696="","",ROUND($D696-IF($F696="",0,$F696),2))</f>
      </c>
      <c r="H696" s="35">
        <f>IF(OR($D696="",$K696=""),"",COUNTIF(Payments!$G$5:$G$2500,$K696))</f>
      </c>
      <c r="I696" s="37">
        <f>IF($D696="","",IF(OR($F696="",$F696=0),"Pending",IF(ROUND($F696-$D696,2)&gt;0,"Overpaid",IF(ROUND($F696-$D696,2)=0,"Paid","Partial"))))</f>
      </c>
      <c r="J696" s="29"/>
      <c r="K696">
        <f>IF($A696="","","#"&amp;TRIM(SUBSTITUTE(SUBSTITUTE(SUBSTITUTE(SUBSTITUTE(SUBSTITUTE(SUBSTITUTE($A696,"-",""),"(",""),")",""),".",""),"+","")," ","")))</f>
      </c>
    </row>
    <row r="697" spans="1:11" x14ac:dyDescent="0.3">
      <c r="A697" s="28"/>
      <c r="B697" s="29"/>
      <c r="C697" s="30"/>
      <c r="D697" s="31"/>
      <c r="E697" s="33">
        <f>IF(OR($D697="",$K697=""),"",IF(COUNTIFS(Payments!$G$5:$G$2500,$K697,Payments!$C$5:$C$2500,"&lt;&gt;")=0,"",_xlfn.MAXIFS(Payments!$C$5:$C$2500,Payments!$G$5:$G$2500,$K697)))</f>
      </c>
      <c r="F697" s="34">
        <f>IF(OR($D697="",$K697=""),"",SUMIF(Payments!$G$5:$G$2500,$K697,Payments!$D$5:$D$2500))</f>
      </c>
      <c r="G697" s="36">
        <f>IF($D697="","",ROUND($D697-IF($F697="",0,$F697),2))</f>
      </c>
      <c r="H697" s="35">
        <f>IF(OR($D697="",$K697=""),"",COUNTIF(Payments!$G$5:$G$2500,$K697))</f>
      </c>
      <c r="I697" s="37">
        <f>IF($D697="","",IF(OR($F697="",$F697=0),"Pending",IF(ROUND($F697-$D697,2)&gt;0,"Overpaid",IF(ROUND($F697-$D697,2)=0,"Paid","Partial"))))</f>
      </c>
      <c r="J697" s="29"/>
      <c r="K697">
        <f>IF($A697="","","#"&amp;TRIM(SUBSTITUTE(SUBSTITUTE(SUBSTITUTE(SUBSTITUTE(SUBSTITUTE(SUBSTITUTE($A697,"-",""),"(",""),")",""),".",""),"+","")," ","")))</f>
      </c>
    </row>
    <row r="698" spans="1:11" x14ac:dyDescent="0.3">
      <c r="A698" s="28"/>
      <c r="B698" s="29"/>
      <c r="C698" s="30"/>
      <c r="D698" s="31"/>
      <c r="E698" s="33">
        <f>IF(OR($D698="",$K698=""),"",IF(COUNTIFS(Payments!$G$5:$G$2500,$K698,Payments!$C$5:$C$2500,"&lt;&gt;")=0,"",_xlfn.MAXIFS(Payments!$C$5:$C$2500,Payments!$G$5:$G$2500,$K698)))</f>
      </c>
      <c r="F698" s="34">
        <f>IF(OR($D698="",$K698=""),"",SUMIF(Payments!$G$5:$G$2500,$K698,Payments!$D$5:$D$2500))</f>
      </c>
      <c r="G698" s="36">
        <f>IF($D698="","",ROUND($D698-IF($F698="",0,$F698),2))</f>
      </c>
      <c r="H698" s="35">
        <f>IF(OR($D698="",$K698=""),"",COUNTIF(Payments!$G$5:$G$2500,$K698))</f>
      </c>
      <c r="I698" s="37">
        <f>IF($D698="","",IF(OR($F698="",$F698=0),"Pending",IF(ROUND($F698-$D698,2)&gt;0,"Overpaid",IF(ROUND($F698-$D698,2)=0,"Paid","Partial"))))</f>
      </c>
      <c r="J698" s="29"/>
      <c r="K698">
        <f>IF($A698="","","#"&amp;TRIM(SUBSTITUTE(SUBSTITUTE(SUBSTITUTE(SUBSTITUTE(SUBSTITUTE(SUBSTITUTE($A698,"-",""),"(",""),")",""),".",""),"+","")," ","")))</f>
      </c>
    </row>
    <row r="699" spans="1:11" x14ac:dyDescent="0.3">
      <c r="A699" s="28"/>
      <c r="B699" s="29"/>
      <c r="C699" s="30"/>
      <c r="D699" s="31"/>
      <c r="E699" s="33">
        <f>IF(OR($D699="",$K699=""),"",IF(COUNTIFS(Payments!$G$5:$G$2500,$K699,Payments!$C$5:$C$2500,"&lt;&gt;")=0,"",_xlfn.MAXIFS(Payments!$C$5:$C$2500,Payments!$G$5:$G$2500,$K699)))</f>
      </c>
      <c r="F699" s="34">
        <f>IF(OR($D699="",$K699=""),"",SUMIF(Payments!$G$5:$G$2500,$K699,Payments!$D$5:$D$2500))</f>
      </c>
      <c r="G699" s="36">
        <f>IF($D699="","",ROUND($D699-IF($F699="",0,$F699),2))</f>
      </c>
      <c r="H699" s="35">
        <f>IF(OR($D699="",$K699=""),"",COUNTIF(Payments!$G$5:$G$2500,$K699))</f>
      </c>
      <c r="I699" s="37">
        <f>IF($D699="","",IF(OR($F699="",$F699=0),"Pending",IF(ROUND($F699-$D699,2)&gt;0,"Overpaid",IF(ROUND($F699-$D699,2)=0,"Paid","Partial"))))</f>
      </c>
      <c r="J699" s="29"/>
      <c r="K699">
        <f>IF($A699="","","#"&amp;TRIM(SUBSTITUTE(SUBSTITUTE(SUBSTITUTE(SUBSTITUTE(SUBSTITUTE(SUBSTITUTE($A699,"-",""),"(",""),")",""),".",""),"+","")," ","")))</f>
      </c>
    </row>
    <row r="700" spans="1:11" x14ac:dyDescent="0.3">
      <c r="A700" s="28"/>
      <c r="B700" s="29"/>
      <c r="C700" s="30"/>
      <c r="D700" s="31"/>
      <c r="E700" s="33">
        <f>IF(OR($D700="",$K700=""),"",IF(COUNTIFS(Payments!$G$5:$G$2500,$K700,Payments!$C$5:$C$2500,"&lt;&gt;")=0,"",_xlfn.MAXIFS(Payments!$C$5:$C$2500,Payments!$G$5:$G$2500,$K700)))</f>
      </c>
      <c r="F700" s="34">
        <f>IF(OR($D700="",$K700=""),"",SUMIF(Payments!$G$5:$G$2500,$K700,Payments!$D$5:$D$2500))</f>
      </c>
      <c r="G700" s="36">
        <f>IF($D700="","",ROUND($D700-IF($F700="",0,$F700),2))</f>
      </c>
      <c r="H700" s="35">
        <f>IF(OR($D700="",$K700=""),"",COUNTIF(Payments!$G$5:$G$2500,$K700))</f>
      </c>
      <c r="I700" s="37">
        <f>IF($D700="","",IF(OR($F700="",$F700=0),"Pending",IF(ROUND($F700-$D700,2)&gt;0,"Overpaid",IF(ROUND($F700-$D700,2)=0,"Paid","Partial"))))</f>
      </c>
      <c r="J700" s="29"/>
      <c r="K700">
        <f>IF($A700="","","#"&amp;TRIM(SUBSTITUTE(SUBSTITUTE(SUBSTITUTE(SUBSTITUTE(SUBSTITUTE(SUBSTITUTE($A700,"-",""),"(",""),")",""),".",""),"+","")," ","")))</f>
      </c>
    </row>
    <row r="701" spans="1:11" x14ac:dyDescent="0.3">
      <c r="A701" s="28"/>
      <c r="B701" s="29"/>
      <c r="C701" s="30"/>
      <c r="D701" s="31"/>
      <c r="E701" s="33">
        <f>IF(OR($D701="",$K701=""),"",IF(COUNTIFS(Payments!$G$5:$G$2500,$K701,Payments!$C$5:$C$2500,"&lt;&gt;")=0,"",_xlfn.MAXIFS(Payments!$C$5:$C$2500,Payments!$G$5:$G$2500,$K701)))</f>
      </c>
      <c r="F701" s="34">
        <f>IF(OR($D701="",$K701=""),"",SUMIF(Payments!$G$5:$G$2500,$K701,Payments!$D$5:$D$2500))</f>
      </c>
      <c r="G701" s="36">
        <f>IF($D701="","",ROUND($D701-IF($F701="",0,$F701),2))</f>
      </c>
      <c r="H701" s="35">
        <f>IF(OR($D701="",$K701=""),"",COUNTIF(Payments!$G$5:$G$2500,$K701))</f>
      </c>
      <c r="I701" s="37">
        <f>IF($D701="","",IF(OR($F701="",$F701=0),"Pending",IF(ROUND($F701-$D701,2)&gt;0,"Overpaid",IF(ROUND($F701-$D701,2)=0,"Paid","Partial"))))</f>
      </c>
      <c r="J701" s="29"/>
      <c r="K701">
        <f>IF($A701="","","#"&amp;TRIM(SUBSTITUTE(SUBSTITUTE(SUBSTITUTE(SUBSTITUTE(SUBSTITUTE(SUBSTITUTE($A701,"-",""),"(",""),")",""),".",""),"+","")," ","")))</f>
      </c>
    </row>
    <row r="702" spans="1:11" x14ac:dyDescent="0.3">
      <c r="A702" s="28"/>
      <c r="B702" s="29"/>
      <c r="C702" s="30"/>
      <c r="D702" s="31"/>
      <c r="E702" s="33">
        <f>IF(OR($D702="",$K702=""),"",IF(COUNTIFS(Payments!$G$5:$G$2500,$K702,Payments!$C$5:$C$2500,"&lt;&gt;")=0,"",_xlfn.MAXIFS(Payments!$C$5:$C$2500,Payments!$G$5:$G$2500,$K702)))</f>
      </c>
      <c r="F702" s="34">
        <f>IF(OR($D702="",$K702=""),"",SUMIF(Payments!$G$5:$G$2500,$K702,Payments!$D$5:$D$2500))</f>
      </c>
      <c r="G702" s="36">
        <f>IF($D702="","",ROUND($D702-IF($F702="",0,$F702),2))</f>
      </c>
      <c r="H702" s="35">
        <f>IF(OR($D702="",$K702=""),"",COUNTIF(Payments!$G$5:$G$2500,$K702))</f>
      </c>
      <c r="I702" s="37">
        <f>IF($D702="","",IF(OR($F702="",$F702=0),"Pending",IF(ROUND($F702-$D702,2)&gt;0,"Overpaid",IF(ROUND($F702-$D702,2)=0,"Paid","Partial"))))</f>
      </c>
      <c r="J702" s="29"/>
      <c r="K702">
        <f>IF($A702="","","#"&amp;TRIM(SUBSTITUTE(SUBSTITUTE(SUBSTITUTE(SUBSTITUTE(SUBSTITUTE(SUBSTITUTE($A702,"-",""),"(",""),")",""),".",""),"+","")," ","")))</f>
      </c>
    </row>
    <row r="703" spans="1:11" x14ac:dyDescent="0.3">
      <c r="A703" s="28"/>
      <c r="B703" s="29"/>
      <c r="C703" s="30"/>
      <c r="D703" s="31"/>
      <c r="E703" s="33">
        <f>IF(OR($D703="",$K703=""),"",IF(COUNTIFS(Payments!$G$5:$G$2500,$K703,Payments!$C$5:$C$2500,"&lt;&gt;")=0,"",_xlfn.MAXIFS(Payments!$C$5:$C$2500,Payments!$G$5:$G$2500,$K703)))</f>
      </c>
      <c r="F703" s="34">
        <f>IF(OR($D703="",$K703=""),"",SUMIF(Payments!$G$5:$G$2500,$K703,Payments!$D$5:$D$2500))</f>
      </c>
      <c r="G703" s="36">
        <f>IF($D703="","",ROUND($D703-IF($F703="",0,$F703),2))</f>
      </c>
      <c r="H703" s="35">
        <f>IF(OR($D703="",$K703=""),"",COUNTIF(Payments!$G$5:$G$2500,$K703))</f>
      </c>
      <c r="I703" s="37">
        <f>IF($D703="","",IF(OR($F703="",$F703=0),"Pending",IF(ROUND($F703-$D703,2)&gt;0,"Overpaid",IF(ROUND($F703-$D703,2)=0,"Paid","Partial"))))</f>
      </c>
      <c r="J703" s="29"/>
      <c r="K703">
        <f>IF($A703="","","#"&amp;TRIM(SUBSTITUTE(SUBSTITUTE(SUBSTITUTE(SUBSTITUTE(SUBSTITUTE(SUBSTITUTE($A703,"-",""),"(",""),")",""),".",""),"+","")," ","")))</f>
      </c>
    </row>
    <row r="704" spans="1:11" x14ac:dyDescent="0.3">
      <c r="A704" s="28"/>
      <c r="B704" s="29"/>
      <c r="C704" s="30"/>
      <c r="D704" s="31"/>
      <c r="E704" s="33">
        <f>IF(OR($D704="",$K704=""),"",IF(COUNTIFS(Payments!$G$5:$G$2500,$K704,Payments!$C$5:$C$2500,"&lt;&gt;")=0,"",_xlfn.MAXIFS(Payments!$C$5:$C$2500,Payments!$G$5:$G$2500,$K704)))</f>
      </c>
      <c r="F704" s="34">
        <f>IF(OR($D704="",$K704=""),"",SUMIF(Payments!$G$5:$G$2500,$K704,Payments!$D$5:$D$2500))</f>
      </c>
      <c r="G704" s="36">
        <f>IF($D704="","",ROUND($D704-IF($F704="",0,$F704),2))</f>
      </c>
      <c r="H704" s="35">
        <f>IF(OR($D704="",$K704=""),"",COUNTIF(Payments!$G$5:$G$2500,$K704))</f>
      </c>
      <c r="I704" s="37">
        <f>IF($D704="","",IF(OR($F704="",$F704=0),"Pending",IF(ROUND($F704-$D704,2)&gt;0,"Overpaid",IF(ROUND($F704-$D704,2)=0,"Paid","Partial"))))</f>
      </c>
      <c r="J704" s="29"/>
      <c r="K704">
        <f>IF($A704="","","#"&amp;TRIM(SUBSTITUTE(SUBSTITUTE(SUBSTITUTE(SUBSTITUTE(SUBSTITUTE(SUBSTITUTE($A704,"-",""),"(",""),")",""),".",""),"+","")," ","")))</f>
      </c>
    </row>
    <row r="705" spans="1:11" x14ac:dyDescent="0.3">
      <c r="A705" s="28"/>
      <c r="B705" s="29"/>
      <c r="C705" s="30"/>
      <c r="D705" s="31"/>
      <c r="E705" s="33">
        <f>IF(OR($D705="",$K705=""),"",IF(COUNTIFS(Payments!$G$5:$G$2500,$K705,Payments!$C$5:$C$2500,"&lt;&gt;")=0,"",_xlfn.MAXIFS(Payments!$C$5:$C$2500,Payments!$G$5:$G$2500,$K705)))</f>
      </c>
      <c r="F705" s="34">
        <f>IF(OR($D705="",$K705=""),"",SUMIF(Payments!$G$5:$G$2500,$K705,Payments!$D$5:$D$2500))</f>
      </c>
      <c r="G705" s="36">
        <f>IF($D705="","",ROUND($D705-IF($F705="",0,$F705),2))</f>
      </c>
      <c r="H705" s="35">
        <f>IF(OR($D705="",$K705=""),"",COUNTIF(Payments!$G$5:$G$2500,$K705))</f>
      </c>
      <c r="I705" s="37">
        <f>IF($D705="","",IF(OR($F705="",$F705=0),"Pending",IF(ROUND($F705-$D705,2)&gt;0,"Overpaid",IF(ROUND($F705-$D705,2)=0,"Paid","Partial"))))</f>
      </c>
      <c r="J705" s="29"/>
      <c r="K705">
        <f>IF($A705="","","#"&amp;TRIM(SUBSTITUTE(SUBSTITUTE(SUBSTITUTE(SUBSTITUTE(SUBSTITUTE(SUBSTITUTE($A705,"-",""),"(",""),")",""),".",""),"+","")," ","")))</f>
      </c>
    </row>
    <row r="706" spans="1:11" x14ac:dyDescent="0.3">
      <c r="A706" s="28"/>
      <c r="B706" s="29"/>
      <c r="C706" s="30"/>
      <c r="D706" s="31"/>
      <c r="E706" s="33">
        <f>IF(OR($D706="",$K706=""),"",IF(COUNTIFS(Payments!$G$5:$G$2500,$K706,Payments!$C$5:$C$2500,"&lt;&gt;")=0,"",_xlfn.MAXIFS(Payments!$C$5:$C$2500,Payments!$G$5:$G$2500,$K706)))</f>
      </c>
      <c r="F706" s="34">
        <f>IF(OR($D706="",$K706=""),"",SUMIF(Payments!$G$5:$G$2500,$K706,Payments!$D$5:$D$2500))</f>
      </c>
      <c r="G706" s="36">
        <f>IF($D706="","",ROUND($D706-IF($F706="",0,$F706),2))</f>
      </c>
      <c r="H706" s="35">
        <f>IF(OR($D706="",$K706=""),"",COUNTIF(Payments!$G$5:$G$2500,$K706))</f>
      </c>
      <c r="I706" s="37">
        <f>IF($D706="","",IF(OR($F706="",$F706=0),"Pending",IF(ROUND($F706-$D706,2)&gt;0,"Overpaid",IF(ROUND($F706-$D706,2)=0,"Paid","Partial"))))</f>
      </c>
      <c r="J706" s="29"/>
      <c r="K706">
        <f>IF($A706="","","#"&amp;TRIM(SUBSTITUTE(SUBSTITUTE(SUBSTITUTE(SUBSTITUTE(SUBSTITUTE(SUBSTITUTE($A706,"-",""),"(",""),")",""),".",""),"+","")," ","")))</f>
      </c>
    </row>
    <row r="707" spans="1:11" x14ac:dyDescent="0.3">
      <c r="A707" s="28"/>
      <c r="B707" s="29"/>
      <c r="C707" s="30"/>
      <c r="D707" s="31"/>
      <c r="E707" s="33">
        <f>IF(OR($D707="",$K707=""),"",IF(COUNTIFS(Payments!$G$5:$G$2500,$K707,Payments!$C$5:$C$2500,"&lt;&gt;")=0,"",_xlfn.MAXIFS(Payments!$C$5:$C$2500,Payments!$G$5:$G$2500,$K707)))</f>
      </c>
      <c r="F707" s="34">
        <f>IF(OR($D707="",$K707=""),"",SUMIF(Payments!$G$5:$G$2500,$K707,Payments!$D$5:$D$2500))</f>
      </c>
      <c r="G707" s="36">
        <f>IF($D707="","",ROUND($D707-IF($F707="",0,$F707),2))</f>
      </c>
      <c r="H707" s="35">
        <f>IF(OR($D707="",$K707=""),"",COUNTIF(Payments!$G$5:$G$2500,$K707))</f>
      </c>
      <c r="I707" s="37">
        <f>IF($D707="","",IF(OR($F707="",$F707=0),"Pending",IF(ROUND($F707-$D707,2)&gt;0,"Overpaid",IF(ROUND($F707-$D707,2)=0,"Paid","Partial"))))</f>
      </c>
      <c r="J707" s="29"/>
      <c r="K707">
        <f>IF($A707="","","#"&amp;TRIM(SUBSTITUTE(SUBSTITUTE(SUBSTITUTE(SUBSTITUTE(SUBSTITUTE(SUBSTITUTE($A707,"-",""),"(",""),")",""),".",""),"+","")," ","")))</f>
      </c>
    </row>
    <row r="708" spans="1:11" x14ac:dyDescent="0.3">
      <c r="A708" s="28"/>
      <c r="B708" s="29"/>
      <c r="C708" s="30"/>
      <c r="D708" s="31"/>
      <c r="E708" s="33">
        <f>IF(OR($D708="",$K708=""),"",IF(COUNTIFS(Payments!$G$5:$G$2500,$K708,Payments!$C$5:$C$2500,"&lt;&gt;")=0,"",_xlfn.MAXIFS(Payments!$C$5:$C$2500,Payments!$G$5:$G$2500,$K708)))</f>
      </c>
      <c r="F708" s="34">
        <f>IF(OR($D708="",$K708=""),"",SUMIF(Payments!$G$5:$G$2500,$K708,Payments!$D$5:$D$2500))</f>
      </c>
      <c r="G708" s="36">
        <f>IF($D708="","",ROUND($D708-IF($F708="",0,$F708),2))</f>
      </c>
      <c r="H708" s="35">
        <f>IF(OR($D708="",$K708=""),"",COUNTIF(Payments!$G$5:$G$2500,$K708))</f>
      </c>
      <c r="I708" s="37">
        <f>IF($D708="","",IF(OR($F708="",$F708=0),"Pending",IF(ROUND($F708-$D708,2)&gt;0,"Overpaid",IF(ROUND($F708-$D708,2)=0,"Paid","Partial"))))</f>
      </c>
      <c r="J708" s="29"/>
      <c r="K708">
        <f>IF($A708="","","#"&amp;TRIM(SUBSTITUTE(SUBSTITUTE(SUBSTITUTE(SUBSTITUTE(SUBSTITUTE(SUBSTITUTE($A708,"-",""),"(",""),")",""),".",""),"+","")," ","")))</f>
      </c>
    </row>
    <row r="709" spans="1:11" x14ac:dyDescent="0.3">
      <c r="A709" s="28"/>
      <c r="B709" s="29"/>
      <c r="C709" s="30"/>
      <c r="D709" s="31"/>
      <c r="E709" s="33">
        <f>IF(OR($D709="",$K709=""),"",IF(COUNTIFS(Payments!$G$5:$G$2500,$K709,Payments!$C$5:$C$2500,"&lt;&gt;")=0,"",_xlfn.MAXIFS(Payments!$C$5:$C$2500,Payments!$G$5:$G$2500,$K709)))</f>
      </c>
      <c r="F709" s="34">
        <f>IF(OR($D709="",$K709=""),"",SUMIF(Payments!$G$5:$G$2500,$K709,Payments!$D$5:$D$2500))</f>
      </c>
      <c r="G709" s="36">
        <f>IF($D709="","",ROUND($D709-IF($F709="",0,$F709),2))</f>
      </c>
      <c r="H709" s="35">
        <f>IF(OR($D709="",$K709=""),"",COUNTIF(Payments!$G$5:$G$2500,$K709))</f>
      </c>
      <c r="I709" s="37">
        <f>IF($D709="","",IF(OR($F709="",$F709=0),"Pending",IF(ROUND($F709-$D709,2)&gt;0,"Overpaid",IF(ROUND($F709-$D709,2)=0,"Paid","Partial"))))</f>
      </c>
      <c r="J709" s="29"/>
      <c r="K709">
        <f>IF($A709="","","#"&amp;TRIM(SUBSTITUTE(SUBSTITUTE(SUBSTITUTE(SUBSTITUTE(SUBSTITUTE(SUBSTITUTE($A709,"-",""),"(",""),")",""),".",""),"+","")," ","")))</f>
      </c>
    </row>
    <row r="710" spans="1:11" x14ac:dyDescent="0.3">
      <c r="A710" s="28"/>
      <c r="B710" s="29"/>
      <c r="C710" s="30"/>
      <c r="D710" s="31"/>
      <c r="E710" s="33">
        <f>IF(OR($D710="",$K710=""),"",IF(COUNTIFS(Payments!$G$5:$G$2500,$K710,Payments!$C$5:$C$2500,"&lt;&gt;")=0,"",_xlfn.MAXIFS(Payments!$C$5:$C$2500,Payments!$G$5:$G$2500,$K710)))</f>
      </c>
      <c r="F710" s="34">
        <f>IF(OR($D710="",$K710=""),"",SUMIF(Payments!$G$5:$G$2500,$K710,Payments!$D$5:$D$2500))</f>
      </c>
      <c r="G710" s="36">
        <f>IF($D710="","",ROUND($D710-IF($F710="",0,$F710),2))</f>
      </c>
      <c r="H710" s="35">
        <f>IF(OR($D710="",$K710=""),"",COUNTIF(Payments!$G$5:$G$2500,$K710))</f>
      </c>
      <c r="I710" s="37">
        <f>IF($D710="","",IF(OR($F710="",$F710=0),"Pending",IF(ROUND($F710-$D710,2)&gt;0,"Overpaid",IF(ROUND($F710-$D710,2)=0,"Paid","Partial"))))</f>
      </c>
      <c r="J710" s="29"/>
      <c r="K710">
        <f>IF($A710="","","#"&amp;TRIM(SUBSTITUTE(SUBSTITUTE(SUBSTITUTE(SUBSTITUTE(SUBSTITUTE(SUBSTITUTE($A710,"-",""),"(",""),")",""),".",""),"+","")," ","")))</f>
      </c>
    </row>
    <row r="711" spans="1:11" x14ac:dyDescent="0.3">
      <c r="A711" s="28"/>
      <c r="B711" s="29"/>
      <c r="C711" s="30"/>
      <c r="D711" s="31"/>
      <c r="E711" s="33">
        <f>IF(OR($D711="",$K711=""),"",IF(COUNTIFS(Payments!$G$5:$G$2500,$K711,Payments!$C$5:$C$2500,"&lt;&gt;")=0,"",_xlfn.MAXIFS(Payments!$C$5:$C$2500,Payments!$G$5:$G$2500,$K711)))</f>
      </c>
      <c r="F711" s="34">
        <f>IF(OR($D711="",$K711=""),"",SUMIF(Payments!$G$5:$G$2500,$K711,Payments!$D$5:$D$2500))</f>
      </c>
      <c r="G711" s="36">
        <f>IF($D711="","",ROUND($D711-IF($F711="",0,$F711),2))</f>
      </c>
      <c r="H711" s="35">
        <f>IF(OR($D711="",$K711=""),"",COUNTIF(Payments!$G$5:$G$2500,$K711))</f>
      </c>
      <c r="I711" s="37">
        <f>IF($D711="","",IF(OR($F711="",$F711=0),"Pending",IF(ROUND($F711-$D711,2)&gt;0,"Overpaid",IF(ROUND($F711-$D711,2)=0,"Paid","Partial"))))</f>
      </c>
      <c r="J711" s="29"/>
      <c r="K711">
        <f>IF($A711="","","#"&amp;TRIM(SUBSTITUTE(SUBSTITUTE(SUBSTITUTE(SUBSTITUTE(SUBSTITUTE(SUBSTITUTE($A711,"-",""),"(",""),")",""),".",""),"+","")," ","")))</f>
      </c>
    </row>
    <row r="712" spans="1:11" x14ac:dyDescent="0.3">
      <c r="A712" s="28"/>
      <c r="B712" s="29"/>
      <c r="C712" s="30"/>
      <c r="D712" s="31"/>
      <c r="E712" s="33">
        <f>IF(OR($D712="",$K712=""),"",IF(COUNTIFS(Payments!$G$5:$G$2500,$K712,Payments!$C$5:$C$2500,"&lt;&gt;")=0,"",_xlfn.MAXIFS(Payments!$C$5:$C$2500,Payments!$G$5:$G$2500,$K712)))</f>
      </c>
      <c r="F712" s="34">
        <f>IF(OR($D712="",$K712=""),"",SUMIF(Payments!$G$5:$G$2500,$K712,Payments!$D$5:$D$2500))</f>
      </c>
      <c r="G712" s="36">
        <f>IF($D712="","",ROUND($D712-IF($F712="",0,$F712),2))</f>
      </c>
      <c r="H712" s="35">
        <f>IF(OR($D712="",$K712=""),"",COUNTIF(Payments!$G$5:$G$2500,$K712))</f>
      </c>
      <c r="I712" s="37">
        <f>IF($D712="","",IF(OR($F712="",$F712=0),"Pending",IF(ROUND($F712-$D712,2)&gt;0,"Overpaid",IF(ROUND($F712-$D712,2)=0,"Paid","Partial"))))</f>
      </c>
      <c r="J712" s="29"/>
      <c r="K712">
        <f>IF($A712="","","#"&amp;TRIM(SUBSTITUTE(SUBSTITUTE(SUBSTITUTE(SUBSTITUTE(SUBSTITUTE(SUBSTITUTE($A712,"-",""),"(",""),")",""),".",""),"+","")," ","")))</f>
      </c>
    </row>
    <row r="713" spans="1:11" x14ac:dyDescent="0.3">
      <c r="A713" s="28"/>
      <c r="B713" s="29"/>
      <c r="C713" s="30"/>
      <c r="D713" s="31"/>
      <c r="E713" s="33">
        <f>IF(OR($D713="",$K713=""),"",IF(COUNTIFS(Payments!$G$5:$G$2500,$K713,Payments!$C$5:$C$2500,"&lt;&gt;")=0,"",_xlfn.MAXIFS(Payments!$C$5:$C$2500,Payments!$G$5:$G$2500,$K713)))</f>
      </c>
      <c r="F713" s="34">
        <f>IF(OR($D713="",$K713=""),"",SUMIF(Payments!$G$5:$G$2500,$K713,Payments!$D$5:$D$2500))</f>
      </c>
      <c r="G713" s="36">
        <f>IF($D713="","",ROUND($D713-IF($F713="",0,$F713),2))</f>
      </c>
      <c r="H713" s="35">
        <f>IF(OR($D713="",$K713=""),"",COUNTIF(Payments!$G$5:$G$2500,$K713))</f>
      </c>
      <c r="I713" s="37">
        <f>IF($D713="","",IF(OR($F713="",$F713=0),"Pending",IF(ROUND($F713-$D713,2)&gt;0,"Overpaid",IF(ROUND($F713-$D713,2)=0,"Paid","Partial"))))</f>
      </c>
      <c r="J713" s="29"/>
      <c r="K713">
        <f>IF($A713="","","#"&amp;TRIM(SUBSTITUTE(SUBSTITUTE(SUBSTITUTE(SUBSTITUTE(SUBSTITUTE(SUBSTITUTE($A713,"-",""),"(",""),")",""),".",""),"+","")," ","")))</f>
      </c>
    </row>
    <row r="714" spans="1:11" x14ac:dyDescent="0.3">
      <c r="A714" s="28"/>
      <c r="B714" s="29"/>
      <c r="C714" s="30"/>
      <c r="D714" s="31"/>
      <c r="E714" s="33">
        <f>IF(OR($D714="",$K714=""),"",IF(COUNTIFS(Payments!$G$5:$G$2500,$K714,Payments!$C$5:$C$2500,"&lt;&gt;")=0,"",_xlfn.MAXIFS(Payments!$C$5:$C$2500,Payments!$G$5:$G$2500,$K714)))</f>
      </c>
      <c r="F714" s="34">
        <f>IF(OR($D714="",$K714=""),"",SUMIF(Payments!$G$5:$G$2500,$K714,Payments!$D$5:$D$2500))</f>
      </c>
      <c r="G714" s="36">
        <f>IF($D714="","",ROUND($D714-IF($F714="",0,$F714),2))</f>
      </c>
      <c r="H714" s="35">
        <f>IF(OR($D714="",$K714=""),"",COUNTIF(Payments!$G$5:$G$2500,$K714))</f>
      </c>
      <c r="I714" s="37">
        <f>IF($D714="","",IF(OR($F714="",$F714=0),"Pending",IF(ROUND($F714-$D714,2)&gt;0,"Overpaid",IF(ROUND($F714-$D714,2)=0,"Paid","Partial"))))</f>
      </c>
      <c r="J714" s="29"/>
      <c r="K714">
        <f>IF($A714="","","#"&amp;TRIM(SUBSTITUTE(SUBSTITUTE(SUBSTITUTE(SUBSTITUTE(SUBSTITUTE(SUBSTITUTE($A714,"-",""),"(",""),")",""),".",""),"+","")," ","")))</f>
      </c>
    </row>
    <row r="715" spans="1:11" x14ac:dyDescent="0.3">
      <c r="A715" s="28"/>
      <c r="B715" s="29"/>
      <c r="C715" s="30"/>
      <c r="D715" s="31"/>
      <c r="E715" s="33">
        <f>IF(OR($D715="",$K715=""),"",IF(COUNTIFS(Payments!$G$5:$G$2500,$K715,Payments!$C$5:$C$2500,"&lt;&gt;")=0,"",_xlfn.MAXIFS(Payments!$C$5:$C$2500,Payments!$G$5:$G$2500,$K715)))</f>
      </c>
      <c r="F715" s="34">
        <f>IF(OR($D715="",$K715=""),"",SUMIF(Payments!$G$5:$G$2500,$K715,Payments!$D$5:$D$2500))</f>
      </c>
      <c r="G715" s="36">
        <f>IF($D715="","",ROUND($D715-IF($F715="",0,$F715),2))</f>
      </c>
      <c r="H715" s="35">
        <f>IF(OR($D715="",$K715=""),"",COUNTIF(Payments!$G$5:$G$2500,$K715))</f>
      </c>
      <c r="I715" s="37">
        <f>IF($D715="","",IF(OR($F715="",$F715=0),"Pending",IF(ROUND($F715-$D715,2)&gt;0,"Overpaid",IF(ROUND($F715-$D715,2)=0,"Paid","Partial"))))</f>
      </c>
      <c r="J715" s="29"/>
      <c r="K715">
        <f>IF($A715="","","#"&amp;TRIM(SUBSTITUTE(SUBSTITUTE(SUBSTITUTE(SUBSTITUTE(SUBSTITUTE(SUBSTITUTE($A715,"-",""),"(",""),")",""),".",""),"+","")," ","")))</f>
      </c>
    </row>
    <row r="716" spans="1:11" x14ac:dyDescent="0.3">
      <c r="A716" s="28"/>
      <c r="B716" s="29"/>
      <c r="C716" s="30"/>
      <c r="D716" s="31"/>
      <c r="E716" s="33">
        <f>IF(OR($D716="",$K716=""),"",IF(COUNTIFS(Payments!$G$5:$G$2500,$K716,Payments!$C$5:$C$2500,"&lt;&gt;")=0,"",_xlfn.MAXIFS(Payments!$C$5:$C$2500,Payments!$G$5:$G$2500,$K716)))</f>
      </c>
      <c r="F716" s="34">
        <f>IF(OR($D716="",$K716=""),"",SUMIF(Payments!$G$5:$G$2500,$K716,Payments!$D$5:$D$2500))</f>
      </c>
      <c r="G716" s="36">
        <f>IF($D716="","",ROUND($D716-IF($F716="",0,$F716),2))</f>
      </c>
      <c r="H716" s="35">
        <f>IF(OR($D716="",$K716=""),"",COUNTIF(Payments!$G$5:$G$2500,$K716))</f>
      </c>
      <c r="I716" s="37">
        <f>IF($D716="","",IF(OR($F716="",$F716=0),"Pending",IF(ROUND($F716-$D716,2)&gt;0,"Overpaid",IF(ROUND($F716-$D716,2)=0,"Paid","Partial"))))</f>
      </c>
      <c r="J716" s="29"/>
      <c r="K716">
        <f>IF($A716="","","#"&amp;TRIM(SUBSTITUTE(SUBSTITUTE(SUBSTITUTE(SUBSTITUTE(SUBSTITUTE(SUBSTITUTE($A716,"-",""),"(",""),")",""),".",""),"+","")," ","")))</f>
      </c>
    </row>
    <row r="717" spans="1:11" x14ac:dyDescent="0.3">
      <c r="A717" s="28"/>
      <c r="B717" s="29"/>
      <c r="C717" s="30"/>
      <c r="D717" s="31"/>
      <c r="E717" s="33">
        <f>IF(OR($D717="",$K717=""),"",IF(COUNTIFS(Payments!$G$5:$G$2500,$K717,Payments!$C$5:$C$2500,"&lt;&gt;")=0,"",_xlfn.MAXIFS(Payments!$C$5:$C$2500,Payments!$G$5:$G$2500,$K717)))</f>
      </c>
      <c r="F717" s="34">
        <f>IF(OR($D717="",$K717=""),"",SUMIF(Payments!$G$5:$G$2500,$K717,Payments!$D$5:$D$2500))</f>
      </c>
      <c r="G717" s="36">
        <f>IF($D717="","",ROUND($D717-IF($F717="",0,$F717),2))</f>
      </c>
      <c r="H717" s="35">
        <f>IF(OR($D717="",$K717=""),"",COUNTIF(Payments!$G$5:$G$2500,$K717))</f>
      </c>
      <c r="I717" s="37">
        <f>IF($D717="","",IF(OR($F717="",$F717=0),"Pending",IF(ROUND($F717-$D717,2)&gt;0,"Overpaid",IF(ROUND($F717-$D717,2)=0,"Paid","Partial"))))</f>
      </c>
      <c r="J717" s="29"/>
      <c r="K717">
        <f>IF($A717="","","#"&amp;TRIM(SUBSTITUTE(SUBSTITUTE(SUBSTITUTE(SUBSTITUTE(SUBSTITUTE(SUBSTITUTE($A717,"-",""),"(",""),")",""),".",""),"+","")," ","")))</f>
      </c>
    </row>
    <row r="718" spans="1:11" x14ac:dyDescent="0.3">
      <c r="A718" s="28"/>
      <c r="B718" s="29"/>
      <c r="C718" s="30"/>
      <c r="D718" s="31"/>
      <c r="E718" s="33">
        <f>IF(OR($D718="",$K718=""),"",IF(COUNTIFS(Payments!$G$5:$G$2500,$K718,Payments!$C$5:$C$2500,"&lt;&gt;")=0,"",_xlfn.MAXIFS(Payments!$C$5:$C$2500,Payments!$G$5:$G$2500,$K718)))</f>
      </c>
      <c r="F718" s="34">
        <f>IF(OR($D718="",$K718=""),"",SUMIF(Payments!$G$5:$G$2500,$K718,Payments!$D$5:$D$2500))</f>
      </c>
      <c r="G718" s="36">
        <f>IF($D718="","",ROUND($D718-IF($F718="",0,$F718),2))</f>
      </c>
      <c r="H718" s="35">
        <f>IF(OR($D718="",$K718=""),"",COUNTIF(Payments!$G$5:$G$2500,$K718))</f>
      </c>
      <c r="I718" s="37">
        <f>IF($D718="","",IF(OR($F718="",$F718=0),"Pending",IF(ROUND($F718-$D718,2)&gt;0,"Overpaid",IF(ROUND($F718-$D718,2)=0,"Paid","Partial"))))</f>
      </c>
      <c r="J718" s="29"/>
      <c r="K718">
        <f>IF($A718="","","#"&amp;TRIM(SUBSTITUTE(SUBSTITUTE(SUBSTITUTE(SUBSTITUTE(SUBSTITUTE(SUBSTITUTE($A718,"-",""),"(",""),")",""),".",""),"+","")," ","")))</f>
      </c>
    </row>
    <row r="719" spans="1:11" x14ac:dyDescent="0.3">
      <c r="A719" s="28"/>
      <c r="B719" s="29"/>
      <c r="C719" s="30"/>
      <c r="D719" s="31"/>
      <c r="E719" s="33">
        <f>IF(OR($D719="",$K719=""),"",IF(COUNTIFS(Payments!$G$5:$G$2500,$K719,Payments!$C$5:$C$2500,"&lt;&gt;")=0,"",_xlfn.MAXIFS(Payments!$C$5:$C$2500,Payments!$G$5:$G$2500,$K719)))</f>
      </c>
      <c r="F719" s="34">
        <f>IF(OR($D719="",$K719=""),"",SUMIF(Payments!$G$5:$G$2500,$K719,Payments!$D$5:$D$2500))</f>
      </c>
      <c r="G719" s="36">
        <f>IF($D719="","",ROUND($D719-IF($F719="",0,$F719),2))</f>
      </c>
      <c r="H719" s="35">
        <f>IF(OR($D719="",$K719=""),"",COUNTIF(Payments!$G$5:$G$2500,$K719))</f>
      </c>
      <c r="I719" s="37">
        <f>IF($D719="","",IF(OR($F719="",$F719=0),"Pending",IF(ROUND($F719-$D719,2)&gt;0,"Overpaid",IF(ROUND($F719-$D719,2)=0,"Paid","Partial"))))</f>
      </c>
      <c r="J719" s="29"/>
      <c r="K719">
        <f>IF($A719="","","#"&amp;TRIM(SUBSTITUTE(SUBSTITUTE(SUBSTITUTE(SUBSTITUTE(SUBSTITUTE(SUBSTITUTE($A719,"-",""),"(",""),")",""),".",""),"+","")," ","")))</f>
      </c>
    </row>
    <row r="720" spans="1:11" x14ac:dyDescent="0.3">
      <c r="A720" s="28"/>
      <c r="B720" s="29"/>
      <c r="C720" s="30"/>
      <c r="D720" s="31"/>
      <c r="E720" s="33">
        <f>IF(OR($D720="",$K720=""),"",IF(COUNTIFS(Payments!$G$5:$G$2500,$K720,Payments!$C$5:$C$2500,"&lt;&gt;")=0,"",_xlfn.MAXIFS(Payments!$C$5:$C$2500,Payments!$G$5:$G$2500,$K720)))</f>
      </c>
      <c r="F720" s="34">
        <f>IF(OR($D720="",$K720=""),"",SUMIF(Payments!$G$5:$G$2500,$K720,Payments!$D$5:$D$2500))</f>
      </c>
      <c r="G720" s="36">
        <f>IF($D720="","",ROUND($D720-IF($F720="",0,$F720),2))</f>
      </c>
      <c r="H720" s="35">
        <f>IF(OR($D720="",$K720=""),"",COUNTIF(Payments!$G$5:$G$2500,$K720))</f>
      </c>
      <c r="I720" s="37">
        <f>IF($D720="","",IF(OR($F720="",$F720=0),"Pending",IF(ROUND($F720-$D720,2)&gt;0,"Overpaid",IF(ROUND($F720-$D720,2)=0,"Paid","Partial"))))</f>
      </c>
      <c r="J720" s="29"/>
      <c r="K720">
        <f>IF($A720="","","#"&amp;TRIM(SUBSTITUTE(SUBSTITUTE(SUBSTITUTE(SUBSTITUTE(SUBSTITUTE(SUBSTITUTE($A720,"-",""),"(",""),")",""),".",""),"+","")," ","")))</f>
      </c>
    </row>
    <row r="721" spans="1:11" x14ac:dyDescent="0.3">
      <c r="A721" s="28"/>
      <c r="B721" s="29"/>
      <c r="C721" s="30"/>
      <c r="D721" s="31"/>
      <c r="E721" s="33">
        <f>IF(OR($D721="",$K721=""),"",IF(COUNTIFS(Payments!$G$5:$G$2500,$K721,Payments!$C$5:$C$2500,"&lt;&gt;")=0,"",_xlfn.MAXIFS(Payments!$C$5:$C$2500,Payments!$G$5:$G$2500,$K721)))</f>
      </c>
      <c r="F721" s="34">
        <f>IF(OR($D721="",$K721=""),"",SUMIF(Payments!$G$5:$G$2500,$K721,Payments!$D$5:$D$2500))</f>
      </c>
      <c r="G721" s="36">
        <f>IF($D721="","",ROUND($D721-IF($F721="",0,$F721),2))</f>
      </c>
      <c r="H721" s="35">
        <f>IF(OR($D721="",$K721=""),"",COUNTIF(Payments!$G$5:$G$2500,$K721))</f>
      </c>
      <c r="I721" s="37">
        <f>IF($D721="","",IF(OR($F721="",$F721=0),"Pending",IF(ROUND($F721-$D721,2)&gt;0,"Overpaid",IF(ROUND($F721-$D721,2)=0,"Paid","Partial"))))</f>
      </c>
      <c r="J721" s="29"/>
      <c r="K721">
        <f>IF($A721="","","#"&amp;TRIM(SUBSTITUTE(SUBSTITUTE(SUBSTITUTE(SUBSTITUTE(SUBSTITUTE(SUBSTITUTE($A721,"-",""),"(",""),")",""),".",""),"+","")," ","")))</f>
      </c>
    </row>
    <row r="722" spans="1:11" x14ac:dyDescent="0.3">
      <c r="A722" s="28"/>
      <c r="B722" s="29"/>
      <c r="C722" s="30"/>
      <c r="D722" s="31"/>
      <c r="E722" s="33">
        <f>IF(OR($D722="",$K722=""),"",IF(COUNTIFS(Payments!$G$5:$G$2500,$K722,Payments!$C$5:$C$2500,"&lt;&gt;")=0,"",_xlfn.MAXIFS(Payments!$C$5:$C$2500,Payments!$G$5:$G$2500,$K722)))</f>
      </c>
      <c r="F722" s="34">
        <f>IF(OR($D722="",$K722=""),"",SUMIF(Payments!$G$5:$G$2500,$K722,Payments!$D$5:$D$2500))</f>
      </c>
      <c r="G722" s="36">
        <f>IF($D722="","",ROUND($D722-IF($F722="",0,$F722),2))</f>
      </c>
      <c r="H722" s="35">
        <f>IF(OR($D722="",$K722=""),"",COUNTIF(Payments!$G$5:$G$2500,$K722))</f>
      </c>
      <c r="I722" s="37">
        <f>IF($D722="","",IF(OR($F722="",$F722=0),"Pending",IF(ROUND($F722-$D722,2)&gt;0,"Overpaid",IF(ROUND($F722-$D722,2)=0,"Paid","Partial"))))</f>
      </c>
      <c r="J722" s="29"/>
      <c r="K722">
        <f>IF($A722="","","#"&amp;TRIM(SUBSTITUTE(SUBSTITUTE(SUBSTITUTE(SUBSTITUTE(SUBSTITUTE(SUBSTITUTE($A722,"-",""),"(",""),")",""),".",""),"+","")," ","")))</f>
      </c>
    </row>
    <row r="723" spans="1:11" x14ac:dyDescent="0.3">
      <c r="A723" s="28"/>
      <c r="B723" s="29"/>
      <c r="C723" s="30"/>
      <c r="D723" s="31"/>
      <c r="E723" s="33">
        <f>IF(OR($D723="",$K723=""),"",IF(COUNTIFS(Payments!$G$5:$G$2500,$K723,Payments!$C$5:$C$2500,"&lt;&gt;")=0,"",_xlfn.MAXIFS(Payments!$C$5:$C$2500,Payments!$G$5:$G$2500,$K723)))</f>
      </c>
      <c r="F723" s="34">
        <f>IF(OR($D723="",$K723=""),"",SUMIF(Payments!$G$5:$G$2500,$K723,Payments!$D$5:$D$2500))</f>
      </c>
      <c r="G723" s="36">
        <f>IF($D723="","",ROUND($D723-IF($F723="",0,$F723),2))</f>
      </c>
      <c r="H723" s="35">
        <f>IF(OR($D723="",$K723=""),"",COUNTIF(Payments!$G$5:$G$2500,$K723))</f>
      </c>
      <c r="I723" s="37">
        <f>IF($D723="","",IF(OR($F723="",$F723=0),"Pending",IF(ROUND($F723-$D723,2)&gt;0,"Overpaid",IF(ROUND($F723-$D723,2)=0,"Paid","Partial"))))</f>
      </c>
      <c r="J723" s="29"/>
      <c r="K723">
        <f>IF($A723="","","#"&amp;TRIM(SUBSTITUTE(SUBSTITUTE(SUBSTITUTE(SUBSTITUTE(SUBSTITUTE(SUBSTITUTE($A723,"-",""),"(",""),")",""),".",""),"+","")," ","")))</f>
      </c>
    </row>
    <row r="724" spans="1:11" x14ac:dyDescent="0.3">
      <c r="A724" s="28"/>
      <c r="B724" s="29"/>
      <c r="C724" s="30"/>
      <c r="D724" s="31"/>
      <c r="E724" s="33">
        <f>IF(OR($D724="",$K724=""),"",IF(COUNTIFS(Payments!$G$5:$G$2500,$K724,Payments!$C$5:$C$2500,"&lt;&gt;")=0,"",_xlfn.MAXIFS(Payments!$C$5:$C$2500,Payments!$G$5:$G$2500,$K724)))</f>
      </c>
      <c r="F724" s="34">
        <f>IF(OR($D724="",$K724=""),"",SUMIF(Payments!$G$5:$G$2500,$K724,Payments!$D$5:$D$2500))</f>
      </c>
      <c r="G724" s="36">
        <f>IF($D724="","",ROUND($D724-IF($F724="",0,$F724),2))</f>
      </c>
      <c r="H724" s="35">
        <f>IF(OR($D724="",$K724=""),"",COUNTIF(Payments!$G$5:$G$2500,$K724))</f>
      </c>
      <c r="I724" s="37">
        <f>IF($D724="","",IF(OR($F724="",$F724=0),"Pending",IF(ROUND($F724-$D724,2)&gt;0,"Overpaid",IF(ROUND($F724-$D724,2)=0,"Paid","Partial"))))</f>
      </c>
      <c r="J724" s="29"/>
      <c r="K724">
        <f>IF($A724="","","#"&amp;TRIM(SUBSTITUTE(SUBSTITUTE(SUBSTITUTE(SUBSTITUTE(SUBSTITUTE(SUBSTITUTE($A724,"-",""),"(",""),")",""),".",""),"+","")," ","")))</f>
      </c>
    </row>
    <row r="725" spans="1:11" x14ac:dyDescent="0.3">
      <c r="A725" s="28"/>
      <c r="B725" s="29"/>
      <c r="C725" s="30"/>
      <c r="D725" s="31"/>
      <c r="E725" s="33">
        <f>IF(OR($D725="",$K725=""),"",IF(COUNTIFS(Payments!$G$5:$G$2500,$K725,Payments!$C$5:$C$2500,"&lt;&gt;")=0,"",_xlfn.MAXIFS(Payments!$C$5:$C$2500,Payments!$G$5:$G$2500,$K725)))</f>
      </c>
      <c r="F725" s="34">
        <f>IF(OR($D725="",$K725=""),"",SUMIF(Payments!$G$5:$G$2500,$K725,Payments!$D$5:$D$2500))</f>
      </c>
      <c r="G725" s="36">
        <f>IF($D725="","",ROUND($D725-IF($F725="",0,$F725),2))</f>
      </c>
      <c r="H725" s="35">
        <f>IF(OR($D725="",$K725=""),"",COUNTIF(Payments!$G$5:$G$2500,$K725))</f>
      </c>
      <c r="I725" s="37">
        <f>IF($D725="","",IF(OR($F725="",$F725=0),"Pending",IF(ROUND($F725-$D725,2)&gt;0,"Overpaid",IF(ROUND($F725-$D725,2)=0,"Paid","Partial"))))</f>
      </c>
      <c r="J725" s="29"/>
      <c r="K725">
        <f>IF($A725="","","#"&amp;TRIM(SUBSTITUTE(SUBSTITUTE(SUBSTITUTE(SUBSTITUTE(SUBSTITUTE(SUBSTITUTE($A725,"-",""),"(",""),")",""),".",""),"+","")," ","")))</f>
      </c>
    </row>
    <row r="726" spans="1:11" x14ac:dyDescent="0.3">
      <c r="A726" s="28"/>
      <c r="B726" s="29"/>
      <c r="C726" s="30"/>
      <c r="D726" s="31"/>
      <c r="E726" s="33">
        <f>IF(OR($D726="",$K726=""),"",IF(COUNTIFS(Payments!$G$5:$G$2500,$K726,Payments!$C$5:$C$2500,"&lt;&gt;")=0,"",_xlfn.MAXIFS(Payments!$C$5:$C$2500,Payments!$G$5:$G$2500,$K726)))</f>
      </c>
      <c r="F726" s="34">
        <f>IF(OR($D726="",$K726=""),"",SUMIF(Payments!$G$5:$G$2500,$K726,Payments!$D$5:$D$2500))</f>
      </c>
      <c r="G726" s="36">
        <f>IF($D726="","",ROUND($D726-IF($F726="",0,$F726),2))</f>
      </c>
      <c r="H726" s="35">
        <f>IF(OR($D726="",$K726=""),"",COUNTIF(Payments!$G$5:$G$2500,$K726))</f>
      </c>
      <c r="I726" s="37">
        <f>IF($D726="","",IF(OR($F726="",$F726=0),"Pending",IF(ROUND($F726-$D726,2)&gt;0,"Overpaid",IF(ROUND($F726-$D726,2)=0,"Paid","Partial"))))</f>
      </c>
      <c r="J726" s="29"/>
      <c r="K726">
        <f>IF($A726="","","#"&amp;TRIM(SUBSTITUTE(SUBSTITUTE(SUBSTITUTE(SUBSTITUTE(SUBSTITUTE(SUBSTITUTE($A726,"-",""),"(",""),")",""),".",""),"+","")," ","")))</f>
      </c>
    </row>
    <row r="727" spans="1:11" x14ac:dyDescent="0.3">
      <c r="A727" s="28"/>
      <c r="B727" s="29"/>
      <c r="C727" s="30"/>
      <c r="D727" s="31"/>
      <c r="E727" s="33">
        <f>IF(OR($D727="",$K727=""),"",IF(COUNTIFS(Payments!$G$5:$G$2500,$K727,Payments!$C$5:$C$2500,"&lt;&gt;")=0,"",_xlfn.MAXIFS(Payments!$C$5:$C$2500,Payments!$G$5:$G$2500,$K727)))</f>
      </c>
      <c r="F727" s="34">
        <f>IF(OR($D727="",$K727=""),"",SUMIF(Payments!$G$5:$G$2500,$K727,Payments!$D$5:$D$2500))</f>
      </c>
      <c r="G727" s="36">
        <f>IF($D727="","",ROUND($D727-IF($F727="",0,$F727),2))</f>
      </c>
      <c r="H727" s="35">
        <f>IF(OR($D727="",$K727=""),"",COUNTIF(Payments!$G$5:$G$2500,$K727))</f>
      </c>
      <c r="I727" s="37">
        <f>IF($D727="","",IF(OR($F727="",$F727=0),"Pending",IF(ROUND($F727-$D727,2)&gt;0,"Overpaid",IF(ROUND($F727-$D727,2)=0,"Paid","Partial"))))</f>
      </c>
      <c r="J727" s="29"/>
      <c r="K727">
        <f>IF($A727="","","#"&amp;TRIM(SUBSTITUTE(SUBSTITUTE(SUBSTITUTE(SUBSTITUTE(SUBSTITUTE(SUBSTITUTE($A727,"-",""),"(",""),")",""),".",""),"+","")," ","")))</f>
      </c>
    </row>
    <row r="728" spans="1:11" x14ac:dyDescent="0.3">
      <c r="A728" s="28"/>
      <c r="B728" s="29"/>
      <c r="C728" s="30"/>
      <c r="D728" s="31"/>
      <c r="E728" s="33">
        <f>IF(OR($D728="",$K728=""),"",IF(COUNTIFS(Payments!$G$5:$G$2500,$K728,Payments!$C$5:$C$2500,"&lt;&gt;")=0,"",_xlfn.MAXIFS(Payments!$C$5:$C$2500,Payments!$G$5:$G$2500,$K728)))</f>
      </c>
      <c r="F728" s="34">
        <f>IF(OR($D728="",$K728=""),"",SUMIF(Payments!$G$5:$G$2500,$K728,Payments!$D$5:$D$2500))</f>
      </c>
      <c r="G728" s="36">
        <f>IF($D728="","",ROUND($D728-IF($F728="",0,$F728),2))</f>
      </c>
      <c r="H728" s="35">
        <f>IF(OR($D728="",$K728=""),"",COUNTIF(Payments!$G$5:$G$2500,$K728))</f>
      </c>
      <c r="I728" s="37">
        <f>IF($D728="","",IF(OR($F728="",$F728=0),"Pending",IF(ROUND($F728-$D728,2)&gt;0,"Overpaid",IF(ROUND($F728-$D728,2)=0,"Paid","Partial"))))</f>
      </c>
      <c r="J728" s="29"/>
      <c r="K728">
        <f>IF($A728="","","#"&amp;TRIM(SUBSTITUTE(SUBSTITUTE(SUBSTITUTE(SUBSTITUTE(SUBSTITUTE(SUBSTITUTE($A728,"-",""),"(",""),")",""),".",""),"+","")," ","")))</f>
      </c>
    </row>
    <row r="729" spans="1:11" x14ac:dyDescent="0.3">
      <c r="A729" s="28"/>
      <c r="B729" s="29"/>
      <c r="C729" s="30"/>
      <c r="D729" s="31"/>
      <c r="E729" s="33">
        <f>IF(OR($D729="",$K729=""),"",IF(COUNTIFS(Payments!$G$5:$G$2500,$K729,Payments!$C$5:$C$2500,"&lt;&gt;")=0,"",_xlfn.MAXIFS(Payments!$C$5:$C$2500,Payments!$G$5:$G$2500,$K729)))</f>
      </c>
      <c r="F729" s="34">
        <f>IF(OR($D729="",$K729=""),"",SUMIF(Payments!$G$5:$G$2500,$K729,Payments!$D$5:$D$2500))</f>
      </c>
      <c r="G729" s="36">
        <f>IF($D729="","",ROUND($D729-IF($F729="",0,$F729),2))</f>
      </c>
      <c r="H729" s="35">
        <f>IF(OR($D729="",$K729=""),"",COUNTIF(Payments!$G$5:$G$2500,$K729))</f>
      </c>
      <c r="I729" s="37">
        <f>IF($D729="","",IF(OR($F729="",$F729=0),"Pending",IF(ROUND($F729-$D729,2)&gt;0,"Overpaid",IF(ROUND($F729-$D729,2)=0,"Paid","Partial"))))</f>
      </c>
      <c r="J729" s="29"/>
      <c r="K729">
        <f>IF($A729="","","#"&amp;TRIM(SUBSTITUTE(SUBSTITUTE(SUBSTITUTE(SUBSTITUTE(SUBSTITUTE(SUBSTITUTE($A729,"-",""),"(",""),")",""),".",""),"+","")," ","")))</f>
      </c>
    </row>
    <row r="730" spans="1:11" x14ac:dyDescent="0.3">
      <c r="A730" s="28"/>
      <c r="B730" s="29"/>
      <c r="C730" s="30"/>
      <c r="D730" s="31"/>
      <c r="E730" s="33">
        <f>IF(OR($D730="",$K730=""),"",IF(COUNTIFS(Payments!$G$5:$G$2500,$K730,Payments!$C$5:$C$2500,"&lt;&gt;")=0,"",_xlfn.MAXIFS(Payments!$C$5:$C$2500,Payments!$G$5:$G$2500,$K730)))</f>
      </c>
      <c r="F730" s="34">
        <f>IF(OR($D730="",$K730=""),"",SUMIF(Payments!$G$5:$G$2500,$K730,Payments!$D$5:$D$2500))</f>
      </c>
      <c r="G730" s="36">
        <f>IF($D730="","",ROUND($D730-IF($F730="",0,$F730),2))</f>
      </c>
      <c r="H730" s="35">
        <f>IF(OR($D730="",$K730=""),"",COUNTIF(Payments!$G$5:$G$2500,$K730))</f>
      </c>
      <c r="I730" s="37">
        <f>IF($D730="","",IF(OR($F730="",$F730=0),"Pending",IF(ROUND($F730-$D730,2)&gt;0,"Overpaid",IF(ROUND($F730-$D730,2)=0,"Paid","Partial"))))</f>
      </c>
      <c r="J730" s="29"/>
      <c r="K730">
        <f>IF($A730="","","#"&amp;TRIM(SUBSTITUTE(SUBSTITUTE(SUBSTITUTE(SUBSTITUTE(SUBSTITUTE(SUBSTITUTE($A730,"-",""),"(",""),")",""),".",""),"+","")," ","")))</f>
      </c>
    </row>
    <row r="731" spans="1:11" x14ac:dyDescent="0.3">
      <c r="A731" s="28"/>
      <c r="B731" s="29"/>
      <c r="C731" s="30"/>
      <c r="D731" s="31"/>
      <c r="E731" s="33">
        <f>IF(OR($D731="",$K731=""),"",IF(COUNTIFS(Payments!$G$5:$G$2500,$K731,Payments!$C$5:$C$2500,"&lt;&gt;")=0,"",_xlfn.MAXIFS(Payments!$C$5:$C$2500,Payments!$G$5:$G$2500,$K731)))</f>
      </c>
      <c r="F731" s="34">
        <f>IF(OR($D731="",$K731=""),"",SUMIF(Payments!$G$5:$G$2500,$K731,Payments!$D$5:$D$2500))</f>
      </c>
      <c r="G731" s="36">
        <f>IF($D731="","",ROUND($D731-IF($F731="",0,$F731),2))</f>
      </c>
      <c r="H731" s="35">
        <f>IF(OR($D731="",$K731=""),"",COUNTIF(Payments!$G$5:$G$2500,$K731))</f>
      </c>
      <c r="I731" s="37">
        <f>IF($D731="","",IF(OR($F731="",$F731=0),"Pending",IF(ROUND($F731-$D731,2)&gt;0,"Overpaid",IF(ROUND($F731-$D731,2)=0,"Paid","Partial"))))</f>
      </c>
      <c r="J731" s="29"/>
      <c r="K731">
        <f>IF($A731="","","#"&amp;TRIM(SUBSTITUTE(SUBSTITUTE(SUBSTITUTE(SUBSTITUTE(SUBSTITUTE(SUBSTITUTE($A731,"-",""),"(",""),")",""),".",""),"+","")," ","")))</f>
      </c>
    </row>
    <row r="732" spans="1:11" x14ac:dyDescent="0.3">
      <c r="A732" s="28"/>
      <c r="B732" s="29"/>
      <c r="C732" s="30"/>
      <c r="D732" s="31"/>
      <c r="E732" s="33">
        <f>IF(OR($D732="",$K732=""),"",IF(COUNTIFS(Payments!$G$5:$G$2500,$K732,Payments!$C$5:$C$2500,"&lt;&gt;")=0,"",_xlfn.MAXIFS(Payments!$C$5:$C$2500,Payments!$G$5:$G$2500,$K732)))</f>
      </c>
      <c r="F732" s="34">
        <f>IF(OR($D732="",$K732=""),"",SUMIF(Payments!$G$5:$G$2500,$K732,Payments!$D$5:$D$2500))</f>
      </c>
      <c r="G732" s="36">
        <f>IF($D732="","",ROUND($D732-IF($F732="",0,$F732),2))</f>
      </c>
      <c r="H732" s="35">
        <f>IF(OR($D732="",$K732=""),"",COUNTIF(Payments!$G$5:$G$2500,$K732))</f>
      </c>
      <c r="I732" s="37">
        <f>IF($D732="","",IF(OR($F732="",$F732=0),"Pending",IF(ROUND($F732-$D732,2)&gt;0,"Overpaid",IF(ROUND($F732-$D732,2)=0,"Paid","Partial"))))</f>
      </c>
      <c r="J732" s="29"/>
      <c r="K732">
        <f>IF($A732="","","#"&amp;TRIM(SUBSTITUTE(SUBSTITUTE(SUBSTITUTE(SUBSTITUTE(SUBSTITUTE(SUBSTITUTE($A732,"-",""),"(",""),")",""),".",""),"+","")," ","")))</f>
      </c>
    </row>
    <row r="733" spans="1:11" x14ac:dyDescent="0.3">
      <c r="A733" s="28"/>
      <c r="B733" s="29"/>
      <c r="C733" s="30"/>
      <c r="D733" s="31"/>
      <c r="E733" s="33">
        <f>IF(OR($D733="",$K733=""),"",IF(COUNTIFS(Payments!$G$5:$G$2500,$K733,Payments!$C$5:$C$2500,"&lt;&gt;")=0,"",_xlfn.MAXIFS(Payments!$C$5:$C$2500,Payments!$G$5:$G$2500,$K733)))</f>
      </c>
      <c r="F733" s="34">
        <f>IF(OR($D733="",$K733=""),"",SUMIF(Payments!$G$5:$G$2500,$K733,Payments!$D$5:$D$2500))</f>
      </c>
      <c r="G733" s="36">
        <f>IF($D733="","",ROUND($D733-IF($F733="",0,$F733),2))</f>
      </c>
      <c r="H733" s="35">
        <f>IF(OR($D733="",$K733=""),"",COUNTIF(Payments!$G$5:$G$2500,$K733))</f>
      </c>
      <c r="I733" s="37">
        <f>IF($D733="","",IF(OR($F733="",$F733=0),"Pending",IF(ROUND($F733-$D733,2)&gt;0,"Overpaid",IF(ROUND($F733-$D733,2)=0,"Paid","Partial"))))</f>
      </c>
      <c r="J733" s="29"/>
      <c r="K733">
        <f>IF($A733="","","#"&amp;TRIM(SUBSTITUTE(SUBSTITUTE(SUBSTITUTE(SUBSTITUTE(SUBSTITUTE(SUBSTITUTE($A733,"-",""),"(",""),")",""),".",""),"+","")," ","")))</f>
      </c>
    </row>
    <row r="734" spans="1:11" x14ac:dyDescent="0.3">
      <c r="A734" s="28"/>
      <c r="B734" s="29"/>
      <c r="C734" s="30"/>
      <c r="D734" s="31"/>
      <c r="E734" s="33">
        <f>IF(OR($D734="",$K734=""),"",IF(COUNTIFS(Payments!$G$5:$G$2500,$K734,Payments!$C$5:$C$2500,"&lt;&gt;")=0,"",_xlfn.MAXIFS(Payments!$C$5:$C$2500,Payments!$G$5:$G$2500,$K734)))</f>
      </c>
      <c r="F734" s="34">
        <f>IF(OR($D734="",$K734=""),"",SUMIF(Payments!$G$5:$G$2500,$K734,Payments!$D$5:$D$2500))</f>
      </c>
      <c r="G734" s="36">
        <f>IF($D734="","",ROUND($D734-IF($F734="",0,$F734),2))</f>
      </c>
      <c r="H734" s="35">
        <f>IF(OR($D734="",$K734=""),"",COUNTIF(Payments!$G$5:$G$2500,$K734))</f>
      </c>
      <c r="I734" s="37">
        <f>IF($D734="","",IF(OR($F734="",$F734=0),"Pending",IF(ROUND($F734-$D734,2)&gt;0,"Overpaid",IF(ROUND($F734-$D734,2)=0,"Paid","Partial"))))</f>
      </c>
      <c r="J734" s="29"/>
      <c r="K734">
        <f>IF($A734="","","#"&amp;TRIM(SUBSTITUTE(SUBSTITUTE(SUBSTITUTE(SUBSTITUTE(SUBSTITUTE(SUBSTITUTE($A734,"-",""),"(",""),")",""),".",""),"+","")," ","")))</f>
      </c>
    </row>
    <row r="735" spans="1:11" x14ac:dyDescent="0.3">
      <c r="A735" s="28"/>
      <c r="B735" s="29"/>
      <c r="C735" s="30"/>
      <c r="D735" s="31"/>
      <c r="E735" s="33">
        <f>IF(OR($D735="",$K735=""),"",IF(COUNTIFS(Payments!$G$5:$G$2500,$K735,Payments!$C$5:$C$2500,"&lt;&gt;")=0,"",_xlfn.MAXIFS(Payments!$C$5:$C$2500,Payments!$G$5:$G$2500,$K735)))</f>
      </c>
      <c r="F735" s="34">
        <f>IF(OR($D735="",$K735=""),"",SUMIF(Payments!$G$5:$G$2500,$K735,Payments!$D$5:$D$2500))</f>
      </c>
      <c r="G735" s="36">
        <f>IF($D735="","",ROUND($D735-IF($F735="",0,$F735),2))</f>
      </c>
      <c r="H735" s="35">
        <f>IF(OR($D735="",$K735=""),"",COUNTIF(Payments!$G$5:$G$2500,$K735))</f>
      </c>
      <c r="I735" s="37">
        <f>IF($D735="","",IF(OR($F735="",$F735=0),"Pending",IF(ROUND($F735-$D735,2)&gt;0,"Overpaid",IF(ROUND($F735-$D735,2)=0,"Paid","Partial"))))</f>
      </c>
      <c r="J735" s="29"/>
      <c r="K735">
        <f>IF($A735="","","#"&amp;TRIM(SUBSTITUTE(SUBSTITUTE(SUBSTITUTE(SUBSTITUTE(SUBSTITUTE(SUBSTITUTE($A735,"-",""),"(",""),")",""),".",""),"+","")," ","")))</f>
      </c>
    </row>
    <row r="736" spans="1:11" x14ac:dyDescent="0.3">
      <c r="A736" s="28"/>
      <c r="B736" s="29"/>
      <c r="C736" s="30"/>
      <c r="D736" s="31"/>
      <c r="E736" s="33">
        <f>IF(OR($D736="",$K736=""),"",IF(COUNTIFS(Payments!$G$5:$G$2500,$K736,Payments!$C$5:$C$2500,"&lt;&gt;")=0,"",_xlfn.MAXIFS(Payments!$C$5:$C$2500,Payments!$G$5:$G$2500,$K736)))</f>
      </c>
      <c r="F736" s="34">
        <f>IF(OR($D736="",$K736=""),"",SUMIF(Payments!$G$5:$G$2500,$K736,Payments!$D$5:$D$2500))</f>
      </c>
      <c r="G736" s="36">
        <f>IF($D736="","",ROUND($D736-IF($F736="",0,$F736),2))</f>
      </c>
      <c r="H736" s="35">
        <f>IF(OR($D736="",$K736=""),"",COUNTIF(Payments!$G$5:$G$2500,$K736))</f>
      </c>
      <c r="I736" s="37">
        <f>IF($D736="","",IF(OR($F736="",$F736=0),"Pending",IF(ROUND($F736-$D736,2)&gt;0,"Overpaid",IF(ROUND($F736-$D736,2)=0,"Paid","Partial"))))</f>
      </c>
      <c r="J736" s="29"/>
      <c r="K736">
        <f>IF($A736="","","#"&amp;TRIM(SUBSTITUTE(SUBSTITUTE(SUBSTITUTE(SUBSTITUTE(SUBSTITUTE(SUBSTITUTE($A736,"-",""),"(",""),")",""),".",""),"+","")," ","")))</f>
      </c>
    </row>
    <row r="737" spans="1:11" x14ac:dyDescent="0.3">
      <c r="A737" s="28"/>
      <c r="B737" s="29"/>
      <c r="C737" s="30"/>
      <c r="D737" s="31"/>
      <c r="E737" s="33">
        <f>IF(OR($D737="",$K737=""),"",IF(COUNTIFS(Payments!$G$5:$G$2500,$K737,Payments!$C$5:$C$2500,"&lt;&gt;")=0,"",_xlfn.MAXIFS(Payments!$C$5:$C$2500,Payments!$G$5:$G$2500,$K737)))</f>
      </c>
      <c r="F737" s="34">
        <f>IF(OR($D737="",$K737=""),"",SUMIF(Payments!$G$5:$G$2500,$K737,Payments!$D$5:$D$2500))</f>
      </c>
      <c r="G737" s="36">
        <f>IF($D737="","",ROUND($D737-IF($F737="",0,$F737),2))</f>
      </c>
      <c r="H737" s="35">
        <f>IF(OR($D737="",$K737=""),"",COUNTIF(Payments!$G$5:$G$2500,$K737))</f>
      </c>
      <c r="I737" s="37">
        <f>IF($D737="","",IF(OR($F737="",$F737=0),"Pending",IF(ROUND($F737-$D737,2)&gt;0,"Overpaid",IF(ROUND($F737-$D737,2)=0,"Paid","Partial"))))</f>
      </c>
      <c r="J737" s="29"/>
      <c r="K737">
        <f>IF($A737="","","#"&amp;TRIM(SUBSTITUTE(SUBSTITUTE(SUBSTITUTE(SUBSTITUTE(SUBSTITUTE(SUBSTITUTE($A737,"-",""),"(",""),")",""),".",""),"+","")," ","")))</f>
      </c>
    </row>
    <row r="738" spans="1:11" x14ac:dyDescent="0.3">
      <c r="A738" s="28"/>
      <c r="B738" s="29"/>
      <c r="C738" s="30"/>
      <c r="D738" s="31"/>
      <c r="E738" s="33">
        <f>IF(OR($D738="",$K738=""),"",IF(COUNTIFS(Payments!$G$5:$G$2500,$K738,Payments!$C$5:$C$2500,"&lt;&gt;")=0,"",_xlfn.MAXIFS(Payments!$C$5:$C$2500,Payments!$G$5:$G$2500,$K738)))</f>
      </c>
      <c r="F738" s="34">
        <f>IF(OR($D738="",$K738=""),"",SUMIF(Payments!$G$5:$G$2500,$K738,Payments!$D$5:$D$2500))</f>
      </c>
      <c r="G738" s="36">
        <f>IF($D738="","",ROUND($D738-IF($F738="",0,$F738),2))</f>
      </c>
      <c r="H738" s="35">
        <f>IF(OR($D738="",$K738=""),"",COUNTIF(Payments!$G$5:$G$2500,$K738))</f>
      </c>
      <c r="I738" s="37">
        <f>IF($D738="","",IF(OR($F738="",$F738=0),"Pending",IF(ROUND($F738-$D738,2)&gt;0,"Overpaid",IF(ROUND($F738-$D738,2)=0,"Paid","Partial"))))</f>
      </c>
      <c r="J738" s="29"/>
      <c r="K738">
        <f>IF($A738="","","#"&amp;TRIM(SUBSTITUTE(SUBSTITUTE(SUBSTITUTE(SUBSTITUTE(SUBSTITUTE(SUBSTITUTE($A738,"-",""),"(",""),")",""),".",""),"+","")," ","")))</f>
      </c>
    </row>
    <row r="739" spans="1:11" x14ac:dyDescent="0.3">
      <c r="A739" s="28"/>
      <c r="B739" s="29"/>
      <c r="C739" s="30"/>
      <c r="D739" s="31"/>
      <c r="E739" s="33">
        <f>IF(OR($D739="",$K739=""),"",IF(COUNTIFS(Payments!$G$5:$G$2500,$K739,Payments!$C$5:$C$2500,"&lt;&gt;")=0,"",_xlfn.MAXIFS(Payments!$C$5:$C$2500,Payments!$G$5:$G$2500,$K739)))</f>
      </c>
      <c r="F739" s="34">
        <f>IF(OR($D739="",$K739=""),"",SUMIF(Payments!$G$5:$G$2500,$K739,Payments!$D$5:$D$2500))</f>
      </c>
      <c r="G739" s="36">
        <f>IF($D739="","",ROUND($D739-IF($F739="",0,$F739),2))</f>
      </c>
      <c r="H739" s="35">
        <f>IF(OR($D739="",$K739=""),"",COUNTIF(Payments!$G$5:$G$2500,$K739))</f>
      </c>
      <c r="I739" s="37">
        <f>IF($D739="","",IF(OR($F739="",$F739=0),"Pending",IF(ROUND($F739-$D739,2)&gt;0,"Overpaid",IF(ROUND($F739-$D739,2)=0,"Paid","Partial"))))</f>
      </c>
      <c r="J739" s="29"/>
      <c r="K739">
        <f>IF($A739="","","#"&amp;TRIM(SUBSTITUTE(SUBSTITUTE(SUBSTITUTE(SUBSTITUTE(SUBSTITUTE(SUBSTITUTE($A739,"-",""),"(",""),")",""),".",""),"+","")," ","")))</f>
      </c>
    </row>
    <row r="740" spans="1:11" x14ac:dyDescent="0.3">
      <c r="A740" s="28"/>
      <c r="B740" s="29"/>
      <c r="C740" s="30"/>
      <c r="D740" s="31"/>
      <c r="E740" s="33">
        <f>IF(OR($D740="",$K740=""),"",IF(COUNTIFS(Payments!$G$5:$G$2500,$K740,Payments!$C$5:$C$2500,"&lt;&gt;")=0,"",_xlfn.MAXIFS(Payments!$C$5:$C$2500,Payments!$G$5:$G$2500,$K740)))</f>
      </c>
      <c r="F740" s="34">
        <f>IF(OR($D740="",$K740=""),"",SUMIF(Payments!$G$5:$G$2500,$K740,Payments!$D$5:$D$2500))</f>
      </c>
      <c r="G740" s="36">
        <f>IF($D740="","",ROUND($D740-IF($F740="",0,$F740),2))</f>
      </c>
      <c r="H740" s="35">
        <f>IF(OR($D740="",$K740=""),"",COUNTIF(Payments!$G$5:$G$2500,$K740))</f>
      </c>
      <c r="I740" s="37">
        <f>IF($D740="","",IF(OR($F740="",$F740=0),"Pending",IF(ROUND($F740-$D740,2)&gt;0,"Overpaid",IF(ROUND($F740-$D740,2)=0,"Paid","Partial"))))</f>
      </c>
      <c r="J740" s="29"/>
      <c r="K740">
        <f>IF($A740="","","#"&amp;TRIM(SUBSTITUTE(SUBSTITUTE(SUBSTITUTE(SUBSTITUTE(SUBSTITUTE(SUBSTITUTE($A740,"-",""),"(",""),")",""),".",""),"+","")," ","")))</f>
      </c>
    </row>
    <row r="741" spans="1:11" x14ac:dyDescent="0.3">
      <c r="A741" s="28"/>
      <c r="B741" s="29"/>
      <c r="C741" s="30"/>
      <c r="D741" s="31"/>
      <c r="E741" s="33">
        <f>IF(OR($D741="",$K741=""),"",IF(COUNTIFS(Payments!$G$5:$G$2500,$K741,Payments!$C$5:$C$2500,"&lt;&gt;")=0,"",_xlfn.MAXIFS(Payments!$C$5:$C$2500,Payments!$G$5:$G$2500,$K741)))</f>
      </c>
      <c r="F741" s="34">
        <f>IF(OR($D741="",$K741=""),"",SUMIF(Payments!$G$5:$G$2500,$K741,Payments!$D$5:$D$2500))</f>
      </c>
      <c r="G741" s="36">
        <f>IF($D741="","",ROUND($D741-IF($F741="",0,$F741),2))</f>
      </c>
      <c r="H741" s="35">
        <f>IF(OR($D741="",$K741=""),"",COUNTIF(Payments!$G$5:$G$2500,$K741))</f>
      </c>
      <c r="I741" s="37">
        <f>IF($D741="","",IF(OR($F741="",$F741=0),"Pending",IF(ROUND($F741-$D741,2)&gt;0,"Overpaid",IF(ROUND($F741-$D741,2)=0,"Paid","Partial"))))</f>
      </c>
      <c r="J741" s="29"/>
      <c r="K741">
        <f>IF($A741="","","#"&amp;TRIM(SUBSTITUTE(SUBSTITUTE(SUBSTITUTE(SUBSTITUTE(SUBSTITUTE(SUBSTITUTE($A741,"-",""),"(",""),")",""),".",""),"+","")," ","")))</f>
      </c>
    </row>
    <row r="742" spans="1:11" x14ac:dyDescent="0.3">
      <c r="A742" s="28"/>
      <c r="B742" s="29"/>
      <c r="C742" s="30"/>
      <c r="D742" s="31"/>
      <c r="E742" s="33">
        <f>IF(OR($D742="",$K742=""),"",IF(COUNTIFS(Payments!$G$5:$G$2500,$K742,Payments!$C$5:$C$2500,"&lt;&gt;")=0,"",_xlfn.MAXIFS(Payments!$C$5:$C$2500,Payments!$G$5:$G$2500,$K742)))</f>
      </c>
      <c r="F742" s="34">
        <f>IF(OR($D742="",$K742=""),"",SUMIF(Payments!$G$5:$G$2500,$K742,Payments!$D$5:$D$2500))</f>
      </c>
      <c r="G742" s="36">
        <f>IF($D742="","",ROUND($D742-IF($F742="",0,$F742),2))</f>
      </c>
      <c r="H742" s="35">
        <f>IF(OR($D742="",$K742=""),"",COUNTIF(Payments!$G$5:$G$2500,$K742))</f>
      </c>
      <c r="I742" s="37">
        <f>IF($D742="","",IF(OR($F742="",$F742=0),"Pending",IF(ROUND($F742-$D742,2)&gt;0,"Overpaid",IF(ROUND($F742-$D742,2)=0,"Paid","Partial"))))</f>
      </c>
      <c r="J742" s="29"/>
      <c r="K742">
        <f>IF($A742="","","#"&amp;TRIM(SUBSTITUTE(SUBSTITUTE(SUBSTITUTE(SUBSTITUTE(SUBSTITUTE(SUBSTITUTE($A742,"-",""),"(",""),")",""),".",""),"+","")," ","")))</f>
      </c>
    </row>
    <row r="743" spans="1:11" x14ac:dyDescent="0.3">
      <c r="A743" s="28"/>
      <c r="B743" s="29"/>
      <c r="C743" s="30"/>
      <c r="D743" s="31"/>
      <c r="E743" s="33">
        <f>IF(OR($D743="",$K743=""),"",IF(COUNTIFS(Payments!$G$5:$G$2500,$K743,Payments!$C$5:$C$2500,"&lt;&gt;")=0,"",_xlfn.MAXIFS(Payments!$C$5:$C$2500,Payments!$G$5:$G$2500,$K743)))</f>
      </c>
      <c r="F743" s="34">
        <f>IF(OR($D743="",$K743=""),"",SUMIF(Payments!$G$5:$G$2500,$K743,Payments!$D$5:$D$2500))</f>
      </c>
      <c r="G743" s="36">
        <f>IF($D743="","",ROUND($D743-IF($F743="",0,$F743),2))</f>
      </c>
      <c r="H743" s="35">
        <f>IF(OR($D743="",$K743=""),"",COUNTIF(Payments!$G$5:$G$2500,$K743))</f>
      </c>
      <c r="I743" s="37">
        <f>IF($D743="","",IF(OR($F743="",$F743=0),"Pending",IF(ROUND($F743-$D743,2)&gt;0,"Overpaid",IF(ROUND($F743-$D743,2)=0,"Paid","Partial"))))</f>
      </c>
      <c r="J743" s="29"/>
      <c r="K743">
        <f>IF($A743="","","#"&amp;TRIM(SUBSTITUTE(SUBSTITUTE(SUBSTITUTE(SUBSTITUTE(SUBSTITUTE(SUBSTITUTE($A743,"-",""),"(",""),")",""),".",""),"+","")," ","")))</f>
      </c>
    </row>
    <row r="744" spans="1:11" x14ac:dyDescent="0.3">
      <c r="A744" s="28"/>
      <c r="B744" s="29"/>
      <c r="C744" s="30"/>
      <c r="D744" s="31"/>
      <c r="E744" s="33">
        <f>IF(OR($D744="",$K744=""),"",IF(COUNTIFS(Payments!$G$5:$G$2500,$K744,Payments!$C$5:$C$2500,"&lt;&gt;")=0,"",_xlfn.MAXIFS(Payments!$C$5:$C$2500,Payments!$G$5:$G$2500,$K744)))</f>
      </c>
      <c r="F744" s="34">
        <f>IF(OR($D744="",$K744=""),"",SUMIF(Payments!$G$5:$G$2500,$K744,Payments!$D$5:$D$2500))</f>
      </c>
      <c r="G744" s="36">
        <f>IF($D744="","",ROUND($D744-IF($F744="",0,$F744),2))</f>
      </c>
      <c r="H744" s="35">
        <f>IF(OR($D744="",$K744=""),"",COUNTIF(Payments!$G$5:$G$2500,$K744))</f>
      </c>
      <c r="I744" s="37">
        <f>IF($D744="","",IF(OR($F744="",$F744=0),"Pending",IF(ROUND($F744-$D744,2)&gt;0,"Overpaid",IF(ROUND($F744-$D744,2)=0,"Paid","Partial"))))</f>
      </c>
      <c r="J744" s="29"/>
      <c r="K744">
        <f>IF($A744="","","#"&amp;TRIM(SUBSTITUTE(SUBSTITUTE(SUBSTITUTE(SUBSTITUTE(SUBSTITUTE(SUBSTITUTE($A744,"-",""),"(",""),")",""),".",""),"+","")," ","")))</f>
      </c>
    </row>
    <row r="745" spans="1:11" x14ac:dyDescent="0.3">
      <c r="A745" s="28"/>
      <c r="B745" s="29"/>
      <c r="C745" s="30"/>
      <c r="D745" s="31"/>
      <c r="E745" s="33">
        <f>IF(OR($D745="",$K745=""),"",IF(COUNTIFS(Payments!$G$5:$G$2500,$K745,Payments!$C$5:$C$2500,"&lt;&gt;")=0,"",_xlfn.MAXIFS(Payments!$C$5:$C$2500,Payments!$G$5:$G$2500,$K745)))</f>
      </c>
      <c r="F745" s="34">
        <f>IF(OR($D745="",$K745=""),"",SUMIF(Payments!$G$5:$G$2500,$K745,Payments!$D$5:$D$2500))</f>
      </c>
      <c r="G745" s="36">
        <f>IF($D745="","",ROUND($D745-IF($F745="",0,$F745),2))</f>
      </c>
      <c r="H745" s="35">
        <f>IF(OR($D745="",$K745=""),"",COUNTIF(Payments!$G$5:$G$2500,$K745))</f>
      </c>
      <c r="I745" s="37">
        <f>IF($D745="","",IF(OR($F745="",$F745=0),"Pending",IF(ROUND($F745-$D745,2)&gt;0,"Overpaid",IF(ROUND($F745-$D745,2)=0,"Paid","Partial"))))</f>
      </c>
      <c r="J745" s="29"/>
      <c r="K745">
        <f>IF($A745="","","#"&amp;TRIM(SUBSTITUTE(SUBSTITUTE(SUBSTITUTE(SUBSTITUTE(SUBSTITUTE(SUBSTITUTE($A745,"-",""),"(",""),")",""),".",""),"+","")," ","")))</f>
      </c>
    </row>
    <row r="746" spans="1:11" x14ac:dyDescent="0.3">
      <c r="A746" s="28"/>
      <c r="B746" s="29"/>
      <c r="C746" s="30"/>
      <c r="D746" s="31"/>
      <c r="E746" s="33">
        <f>IF(OR($D746="",$K746=""),"",IF(COUNTIFS(Payments!$G$5:$G$2500,$K746,Payments!$C$5:$C$2500,"&lt;&gt;")=0,"",_xlfn.MAXIFS(Payments!$C$5:$C$2500,Payments!$G$5:$G$2500,$K746)))</f>
      </c>
      <c r="F746" s="34">
        <f>IF(OR($D746="",$K746=""),"",SUMIF(Payments!$G$5:$G$2500,$K746,Payments!$D$5:$D$2500))</f>
      </c>
      <c r="G746" s="36">
        <f>IF($D746="","",ROUND($D746-IF($F746="",0,$F746),2))</f>
      </c>
      <c r="H746" s="35">
        <f>IF(OR($D746="",$K746=""),"",COUNTIF(Payments!$G$5:$G$2500,$K746))</f>
      </c>
      <c r="I746" s="37">
        <f>IF($D746="","",IF(OR($F746="",$F746=0),"Pending",IF(ROUND($F746-$D746,2)&gt;0,"Overpaid",IF(ROUND($F746-$D746,2)=0,"Paid","Partial"))))</f>
      </c>
      <c r="J746" s="29"/>
      <c r="K746">
        <f>IF($A746="","","#"&amp;TRIM(SUBSTITUTE(SUBSTITUTE(SUBSTITUTE(SUBSTITUTE(SUBSTITUTE(SUBSTITUTE($A746,"-",""),"(",""),")",""),".",""),"+","")," ","")))</f>
      </c>
    </row>
    <row r="747" spans="1:11" x14ac:dyDescent="0.3">
      <c r="A747" s="28"/>
      <c r="B747" s="29"/>
      <c r="C747" s="30"/>
      <c r="D747" s="31"/>
      <c r="E747" s="33">
        <f>IF(OR($D747="",$K747=""),"",IF(COUNTIFS(Payments!$G$5:$G$2500,$K747,Payments!$C$5:$C$2500,"&lt;&gt;")=0,"",_xlfn.MAXIFS(Payments!$C$5:$C$2500,Payments!$G$5:$G$2500,$K747)))</f>
      </c>
      <c r="F747" s="34">
        <f>IF(OR($D747="",$K747=""),"",SUMIF(Payments!$G$5:$G$2500,$K747,Payments!$D$5:$D$2500))</f>
      </c>
      <c r="G747" s="36">
        <f>IF($D747="","",ROUND($D747-IF($F747="",0,$F747),2))</f>
      </c>
      <c r="H747" s="35">
        <f>IF(OR($D747="",$K747=""),"",COUNTIF(Payments!$G$5:$G$2500,$K747))</f>
      </c>
      <c r="I747" s="37">
        <f>IF($D747="","",IF(OR($F747="",$F747=0),"Pending",IF(ROUND($F747-$D747,2)&gt;0,"Overpaid",IF(ROUND($F747-$D747,2)=0,"Paid","Partial"))))</f>
      </c>
      <c r="J747" s="29"/>
      <c r="K747">
        <f>IF($A747="","","#"&amp;TRIM(SUBSTITUTE(SUBSTITUTE(SUBSTITUTE(SUBSTITUTE(SUBSTITUTE(SUBSTITUTE($A747,"-",""),"(",""),")",""),".",""),"+","")," ","")))</f>
      </c>
    </row>
    <row r="748" spans="1:11" x14ac:dyDescent="0.3">
      <c r="A748" s="28"/>
      <c r="B748" s="29"/>
      <c r="C748" s="30"/>
      <c r="D748" s="31"/>
      <c r="E748" s="33">
        <f>IF(OR($D748="",$K748=""),"",IF(COUNTIFS(Payments!$G$5:$G$2500,$K748,Payments!$C$5:$C$2500,"&lt;&gt;")=0,"",_xlfn.MAXIFS(Payments!$C$5:$C$2500,Payments!$G$5:$G$2500,$K748)))</f>
      </c>
      <c r="F748" s="34">
        <f>IF(OR($D748="",$K748=""),"",SUMIF(Payments!$G$5:$G$2500,$K748,Payments!$D$5:$D$2500))</f>
      </c>
      <c r="G748" s="36">
        <f>IF($D748="","",ROUND($D748-IF($F748="",0,$F748),2))</f>
      </c>
      <c r="H748" s="35">
        <f>IF(OR($D748="",$K748=""),"",COUNTIF(Payments!$G$5:$G$2500,$K748))</f>
      </c>
      <c r="I748" s="37">
        <f>IF($D748="","",IF(OR($F748="",$F748=0),"Pending",IF(ROUND($F748-$D748,2)&gt;0,"Overpaid",IF(ROUND($F748-$D748,2)=0,"Paid","Partial"))))</f>
      </c>
      <c r="J748" s="29"/>
      <c r="K748">
        <f>IF($A748="","","#"&amp;TRIM(SUBSTITUTE(SUBSTITUTE(SUBSTITUTE(SUBSTITUTE(SUBSTITUTE(SUBSTITUTE($A748,"-",""),"(",""),")",""),".",""),"+","")," ","")))</f>
      </c>
    </row>
    <row r="749" spans="1:11" x14ac:dyDescent="0.3">
      <c r="A749" s="28"/>
      <c r="B749" s="29"/>
      <c r="C749" s="30"/>
      <c r="D749" s="31"/>
      <c r="E749" s="33">
        <f>IF(OR($D749="",$K749=""),"",IF(COUNTIFS(Payments!$G$5:$G$2500,$K749,Payments!$C$5:$C$2500,"&lt;&gt;")=0,"",_xlfn.MAXIFS(Payments!$C$5:$C$2500,Payments!$G$5:$G$2500,$K749)))</f>
      </c>
      <c r="F749" s="34">
        <f>IF(OR($D749="",$K749=""),"",SUMIF(Payments!$G$5:$G$2500,$K749,Payments!$D$5:$D$2500))</f>
      </c>
      <c r="G749" s="36">
        <f>IF($D749="","",ROUND($D749-IF($F749="",0,$F749),2))</f>
      </c>
      <c r="H749" s="35">
        <f>IF(OR($D749="",$K749=""),"",COUNTIF(Payments!$G$5:$G$2500,$K749))</f>
      </c>
      <c r="I749" s="37">
        <f>IF($D749="","",IF(OR($F749="",$F749=0),"Pending",IF(ROUND($F749-$D749,2)&gt;0,"Overpaid",IF(ROUND($F749-$D749,2)=0,"Paid","Partial"))))</f>
      </c>
      <c r="J749" s="29"/>
      <c r="K749">
        <f>IF($A749="","","#"&amp;TRIM(SUBSTITUTE(SUBSTITUTE(SUBSTITUTE(SUBSTITUTE(SUBSTITUTE(SUBSTITUTE($A749,"-",""),"(",""),")",""),".",""),"+","")," ","")))</f>
      </c>
    </row>
    <row r="750" spans="1:11" x14ac:dyDescent="0.3">
      <c r="A750" s="28"/>
      <c r="B750" s="29"/>
      <c r="C750" s="30"/>
      <c r="D750" s="31"/>
      <c r="E750" s="33">
        <f>IF(OR($D750="",$K750=""),"",IF(COUNTIFS(Payments!$G$5:$G$2500,$K750,Payments!$C$5:$C$2500,"&lt;&gt;")=0,"",_xlfn.MAXIFS(Payments!$C$5:$C$2500,Payments!$G$5:$G$2500,$K750)))</f>
      </c>
      <c r="F750" s="34">
        <f>IF(OR($D750="",$K750=""),"",SUMIF(Payments!$G$5:$G$2500,$K750,Payments!$D$5:$D$2500))</f>
      </c>
      <c r="G750" s="36">
        <f>IF($D750="","",ROUND($D750-IF($F750="",0,$F750),2))</f>
      </c>
      <c r="H750" s="35">
        <f>IF(OR($D750="",$K750=""),"",COUNTIF(Payments!$G$5:$G$2500,$K750))</f>
      </c>
      <c r="I750" s="37">
        <f>IF($D750="","",IF(OR($F750="",$F750=0),"Pending",IF(ROUND($F750-$D750,2)&gt;0,"Overpaid",IF(ROUND($F750-$D750,2)=0,"Paid","Partial"))))</f>
      </c>
      <c r="J750" s="29"/>
      <c r="K750">
        <f>IF($A750="","","#"&amp;TRIM(SUBSTITUTE(SUBSTITUTE(SUBSTITUTE(SUBSTITUTE(SUBSTITUTE(SUBSTITUTE($A750,"-",""),"(",""),")",""),".",""),"+","")," ","")))</f>
      </c>
    </row>
    <row r="751" spans="1:11" x14ac:dyDescent="0.3">
      <c r="A751" s="28"/>
      <c r="B751" s="29"/>
      <c r="C751" s="30"/>
      <c r="D751" s="31"/>
      <c r="E751" s="33">
        <f>IF(OR($D751="",$K751=""),"",IF(COUNTIFS(Payments!$G$5:$G$2500,$K751,Payments!$C$5:$C$2500,"&lt;&gt;")=0,"",_xlfn.MAXIFS(Payments!$C$5:$C$2500,Payments!$G$5:$G$2500,$K751)))</f>
      </c>
      <c r="F751" s="34">
        <f>IF(OR($D751="",$K751=""),"",SUMIF(Payments!$G$5:$G$2500,$K751,Payments!$D$5:$D$2500))</f>
      </c>
      <c r="G751" s="36">
        <f>IF($D751="","",ROUND($D751-IF($F751="",0,$F751),2))</f>
      </c>
      <c r="H751" s="35">
        <f>IF(OR($D751="",$K751=""),"",COUNTIF(Payments!$G$5:$G$2500,$K751))</f>
      </c>
      <c r="I751" s="37">
        <f>IF($D751="","",IF(OR($F751="",$F751=0),"Pending",IF(ROUND($F751-$D751,2)&gt;0,"Overpaid",IF(ROUND($F751-$D751,2)=0,"Paid","Partial"))))</f>
      </c>
      <c r="J751" s="29"/>
      <c r="K751">
        <f>IF($A751="","","#"&amp;TRIM(SUBSTITUTE(SUBSTITUTE(SUBSTITUTE(SUBSTITUTE(SUBSTITUTE(SUBSTITUTE($A751,"-",""),"(",""),")",""),".",""),"+","")," ","")))</f>
      </c>
    </row>
    <row r="752" spans="1:11" x14ac:dyDescent="0.3">
      <c r="A752" s="28"/>
      <c r="B752" s="29"/>
      <c r="C752" s="30"/>
      <c r="D752" s="31"/>
      <c r="E752" s="33">
        <f>IF(OR($D752="",$K752=""),"",IF(COUNTIFS(Payments!$G$5:$G$2500,$K752,Payments!$C$5:$C$2500,"&lt;&gt;")=0,"",_xlfn.MAXIFS(Payments!$C$5:$C$2500,Payments!$G$5:$G$2500,$K752)))</f>
      </c>
      <c r="F752" s="34">
        <f>IF(OR($D752="",$K752=""),"",SUMIF(Payments!$G$5:$G$2500,$K752,Payments!$D$5:$D$2500))</f>
      </c>
      <c r="G752" s="36">
        <f>IF($D752="","",ROUND($D752-IF($F752="",0,$F752),2))</f>
      </c>
      <c r="H752" s="35">
        <f>IF(OR($D752="",$K752=""),"",COUNTIF(Payments!$G$5:$G$2500,$K752))</f>
      </c>
      <c r="I752" s="37">
        <f>IF($D752="","",IF(OR($F752="",$F752=0),"Pending",IF(ROUND($F752-$D752,2)&gt;0,"Overpaid",IF(ROUND($F752-$D752,2)=0,"Paid","Partial"))))</f>
      </c>
      <c r="J752" s="29"/>
      <c r="K752">
        <f>IF($A752="","","#"&amp;TRIM(SUBSTITUTE(SUBSTITUTE(SUBSTITUTE(SUBSTITUTE(SUBSTITUTE(SUBSTITUTE($A752,"-",""),"(",""),")",""),".",""),"+","")," ","")))</f>
      </c>
    </row>
    <row r="753" spans="1:11" x14ac:dyDescent="0.3">
      <c r="A753" s="28"/>
      <c r="B753" s="29"/>
      <c r="C753" s="30"/>
      <c r="D753" s="31"/>
      <c r="E753" s="33">
        <f>IF(OR($D753="",$K753=""),"",IF(COUNTIFS(Payments!$G$5:$G$2500,$K753,Payments!$C$5:$C$2500,"&lt;&gt;")=0,"",_xlfn.MAXIFS(Payments!$C$5:$C$2500,Payments!$G$5:$G$2500,$K753)))</f>
      </c>
      <c r="F753" s="34">
        <f>IF(OR($D753="",$K753=""),"",SUMIF(Payments!$G$5:$G$2500,$K753,Payments!$D$5:$D$2500))</f>
      </c>
      <c r="G753" s="36">
        <f>IF($D753="","",ROUND($D753-IF($F753="",0,$F753),2))</f>
      </c>
      <c r="H753" s="35">
        <f>IF(OR($D753="",$K753=""),"",COUNTIF(Payments!$G$5:$G$2500,$K753))</f>
      </c>
      <c r="I753" s="37">
        <f>IF($D753="","",IF(OR($F753="",$F753=0),"Pending",IF(ROUND($F753-$D753,2)&gt;0,"Overpaid",IF(ROUND($F753-$D753,2)=0,"Paid","Partial"))))</f>
      </c>
      <c r="J753" s="29"/>
      <c r="K753">
        <f>IF($A753="","","#"&amp;TRIM(SUBSTITUTE(SUBSTITUTE(SUBSTITUTE(SUBSTITUTE(SUBSTITUTE(SUBSTITUTE($A753,"-",""),"(",""),")",""),".",""),"+","")," ","")))</f>
      </c>
    </row>
    <row r="754" spans="1:11" x14ac:dyDescent="0.3">
      <c r="A754" s="28"/>
      <c r="B754" s="29"/>
      <c r="C754" s="30"/>
      <c r="D754" s="31"/>
      <c r="E754" s="33">
        <f>IF(OR($D754="",$K754=""),"",IF(COUNTIFS(Payments!$G$5:$G$2500,$K754,Payments!$C$5:$C$2500,"&lt;&gt;")=0,"",_xlfn.MAXIFS(Payments!$C$5:$C$2500,Payments!$G$5:$G$2500,$K754)))</f>
      </c>
      <c r="F754" s="34">
        <f>IF(OR($D754="",$K754=""),"",SUMIF(Payments!$G$5:$G$2500,$K754,Payments!$D$5:$D$2500))</f>
      </c>
      <c r="G754" s="36">
        <f>IF($D754="","",ROUND($D754-IF($F754="",0,$F754),2))</f>
      </c>
      <c r="H754" s="35">
        <f>IF(OR($D754="",$K754=""),"",COUNTIF(Payments!$G$5:$G$2500,$K754))</f>
      </c>
      <c r="I754" s="37">
        <f>IF($D754="","",IF(OR($F754="",$F754=0),"Pending",IF(ROUND($F754-$D754,2)&gt;0,"Overpaid",IF(ROUND($F754-$D754,2)=0,"Paid","Partial"))))</f>
      </c>
      <c r="J754" s="29"/>
      <c r="K754">
        <f>IF($A754="","","#"&amp;TRIM(SUBSTITUTE(SUBSTITUTE(SUBSTITUTE(SUBSTITUTE(SUBSTITUTE(SUBSTITUTE($A754,"-",""),"(",""),")",""),".",""),"+","")," ","")))</f>
      </c>
    </row>
    <row r="755" spans="1:11" x14ac:dyDescent="0.3">
      <c r="A755" s="28"/>
      <c r="B755" s="29"/>
      <c r="C755" s="30"/>
      <c r="D755" s="31"/>
      <c r="E755" s="33">
        <f>IF(OR($D755="",$K755=""),"",IF(COUNTIFS(Payments!$G$5:$G$2500,$K755,Payments!$C$5:$C$2500,"&lt;&gt;")=0,"",_xlfn.MAXIFS(Payments!$C$5:$C$2500,Payments!$G$5:$G$2500,$K755)))</f>
      </c>
      <c r="F755" s="34">
        <f>IF(OR($D755="",$K755=""),"",SUMIF(Payments!$G$5:$G$2500,$K755,Payments!$D$5:$D$2500))</f>
      </c>
      <c r="G755" s="36">
        <f>IF($D755="","",ROUND($D755-IF($F755="",0,$F755),2))</f>
      </c>
      <c r="H755" s="35">
        <f>IF(OR($D755="",$K755=""),"",COUNTIF(Payments!$G$5:$G$2500,$K755))</f>
      </c>
      <c r="I755" s="37">
        <f>IF($D755="","",IF(OR($F755="",$F755=0),"Pending",IF(ROUND($F755-$D755,2)&gt;0,"Overpaid",IF(ROUND($F755-$D755,2)=0,"Paid","Partial"))))</f>
      </c>
      <c r="J755" s="29"/>
      <c r="K755">
        <f>IF($A755="","","#"&amp;TRIM(SUBSTITUTE(SUBSTITUTE(SUBSTITUTE(SUBSTITUTE(SUBSTITUTE(SUBSTITUTE($A755,"-",""),"(",""),")",""),".",""),"+","")," ","")))</f>
      </c>
    </row>
    <row r="756" spans="1:11" x14ac:dyDescent="0.3">
      <c r="A756" s="28"/>
      <c r="B756" s="29"/>
      <c r="C756" s="30"/>
      <c r="D756" s="31"/>
      <c r="E756" s="33">
        <f>IF(OR($D756="",$K756=""),"",IF(COUNTIFS(Payments!$G$5:$G$2500,$K756,Payments!$C$5:$C$2500,"&lt;&gt;")=0,"",_xlfn.MAXIFS(Payments!$C$5:$C$2500,Payments!$G$5:$G$2500,$K756)))</f>
      </c>
      <c r="F756" s="34">
        <f>IF(OR($D756="",$K756=""),"",SUMIF(Payments!$G$5:$G$2500,$K756,Payments!$D$5:$D$2500))</f>
      </c>
      <c r="G756" s="36">
        <f>IF($D756="","",ROUND($D756-IF($F756="",0,$F756),2))</f>
      </c>
      <c r="H756" s="35">
        <f>IF(OR($D756="",$K756=""),"",COUNTIF(Payments!$G$5:$G$2500,$K756))</f>
      </c>
      <c r="I756" s="37">
        <f>IF($D756="","",IF(OR($F756="",$F756=0),"Pending",IF(ROUND($F756-$D756,2)&gt;0,"Overpaid",IF(ROUND($F756-$D756,2)=0,"Paid","Partial"))))</f>
      </c>
      <c r="J756" s="29"/>
      <c r="K756">
        <f>IF($A756="","","#"&amp;TRIM(SUBSTITUTE(SUBSTITUTE(SUBSTITUTE(SUBSTITUTE(SUBSTITUTE(SUBSTITUTE($A756,"-",""),"(",""),")",""),".",""),"+","")," ","")))</f>
      </c>
    </row>
    <row r="757" spans="1:11" x14ac:dyDescent="0.3">
      <c r="A757" s="28"/>
      <c r="B757" s="29"/>
      <c r="C757" s="30"/>
      <c r="D757" s="31"/>
      <c r="E757" s="33">
        <f>IF(OR($D757="",$K757=""),"",IF(COUNTIFS(Payments!$G$5:$G$2500,$K757,Payments!$C$5:$C$2500,"&lt;&gt;")=0,"",_xlfn.MAXIFS(Payments!$C$5:$C$2500,Payments!$G$5:$G$2500,$K757)))</f>
      </c>
      <c r="F757" s="34">
        <f>IF(OR($D757="",$K757=""),"",SUMIF(Payments!$G$5:$G$2500,$K757,Payments!$D$5:$D$2500))</f>
      </c>
      <c r="G757" s="36">
        <f>IF($D757="","",ROUND($D757-IF($F757="",0,$F757),2))</f>
      </c>
      <c r="H757" s="35">
        <f>IF(OR($D757="",$K757=""),"",COUNTIF(Payments!$G$5:$G$2500,$K757))</f>
      </c>
      <c r="I757" s="37">
        <f>IF($D757="","",IF(OR($F757="",$F757=0),"Pending",IF(ROUND($F757-$D757,2)&gt;0,"Overpaid",IF(ROUND($F757-$D757,2)=0,"Paid","Partial"))))</f>
      </c>
      <c r="J757" s="29"/>
      <c r="K757">
        <f>IF($A757="","","#"&amp;TRIM(SUBSTITUTE(SUBSTITUTE(SUBSTITUTE(SUBSTITUTE(SUBSTITUTE(SUBSTITUTE($A757,"-",""),"(",""),")",""),".",""),"+","")," ","")))</f>
      </c>
    </row>
    <row r="758" spans="1:11" x14ac:dyDescent="0.3">
      <c r="A758" s="28"/>
      <c r="B758" s="29"/>
      <c r="C758" s="30"/>
      <c r="D758" s="31"/>
      <c r="E758" s="33">
        <f>IF(OR($D758="",$K758=""),"",IF(COUNTIFS(Payments!$G$5:$G$2500,$K758,Payments!$C$5:$C$2500,"&lt;&gt;")=0,"",_xlfn.MAXIFS(Payments!$C$5:$C$2500,Payments!$G$5:$G$2500,$K758)))</f>
      </c>
      <c r="F758" s="34">
        <f>IF(OR($D758="",$K758=""),"",SUMIF(Payments!$G$5:$G$2500,$K758,Payments!$D$5:$D$2500))</f>
      </c>
      <c r="G758" s="36">
        <f>IF($D758="","",ROUND($D758-IF($F758="",0,$F758),2))</f>
      </c>
      <c r="H758" s="35">
        <f>IF(OR($D758="",$K758=""),"",COUNTIF(Payments!$G$5:$G$2500,$K758))</f>
      </c>
      <c r="I758" s="37">
        <f>IF($D758="","",IF(OR($F758="",$F758=0),"Pending",IF(ROUND($F758-$D758,2)&gt;0,"Overpaid",IF(ROUND($F758-$D758,2)=0,"Paid","Partial"))))</f>
      </c>
      <c r="J758" s="29"/>
      <c r="K758">
        <f>IF($A758="","","#"&amp;TRIM(SUBSTITUTE(SUBSTITUTE(SUBSTITUTE(SUBSTITUTE(SUBSTITUTE(SUBSTITUTE($A758,"-",""),"(",""),")",""),".",""),"+","")," ","")))</f>
      </c>
    </row>
    <row r="759" spans="1:11" x14ac:dyDescent="0.3">
      <c r="A759" s="28"/>
      <c r="B759" s="29"/>
      <c r="C759" s="30"/>
      <c r="D759" s="31"/>
      <c r="E759" s="33">
        <f>IF(OR($D759="",$K759=""),"",IF(COUNTIFS(Payments!$G$5:$G$2500,$K759,Payments!$C$5:$C$2500,"&lt;&gt;")=0,"",_xlfn.MAXIFS(Payments!$C$5:$C$2500,Payments!$G$5:$G$2500,$K759)))</f>
      </c>
      <c r="F759" s="34">
        <f>IF(OR($D759="",$K759=""),"",SUMIF(Payments!$G$5:$G$2500,$K759,Payments!$D$5:$D$2500))</f>
      </c>
      <c r="G759" s="36">
        <f>IF($D759="","",ROUND($D759-IF($F759="",0,$F759),2))</f>
      </c>
      <c r="H759" s="35">
        <f>IF(OR($D759="",$K759=""),"",COUNTIF(Payments!$G$5:$G$2500,$K759))</f>
      </c>
      <c r="I759" s="37">
        <f>IF($D759="","",IF(OR($F759="",$F759=0),"Pending",IF(ROUND($F759-$D759,2)&gt;0,"Overpaid",IF(ROUND($F759-$D759,2)=0,"Paid","Partial"))))</f>
      </c>
      <c r="J759" s="29"/>
      <c r="K759">
        <f>IF($A759="","","#"&amp;TRIM(SUBSTITUTE(SUBSTITUTE(SUBSTITUTE(SUBSTITUTE(SUBSTITUTE(SUBSTITUTE($A759,"-",""),"(",""),")",""),".",""),"+","")," ","")))</f>
      </c>
    </row>
    <row r="760" spans="1:11" x14ac:dyDescent="0.3">
      <c r="A760" s="28"/>
      <c r="B760" s="29"/>
      <c r="C760" s="30"/>
      <c r="D760" s="31"/>
      <c r="E760" s="33">
        <f>IF(OR($D760="",$K760=""),"",IF(COUNTIFS(Payments!$G$5:$G$2500,$K760,Payments!$C$5:$C$2500,"&lt;&gt;")=0,"",_xlfn.MAXIFS(Payments!$C$5:$C$2500,Payments!$G$5:$G$2500,$K760)))</f>
      </c>
      <c r="F760" s="34">
        <f>IF(OR($D760="",$K760=""),"",SUMIF(Payments!$G$5:$G$2500,$K760,Payments!$D$5:$D$2500))</f>
      </c>
      <c r="G760" s="36">
        <f>IF($D760="","",ROUND($D760-IF($F760="",0,$F760),2))</f>
      </c>
      <c r="H760" s="35">
        <f>IF(OR($D760="",$K760=""),"",COUNTIF(Payments!$G$5:$G$2500,$K760))</f>
      </c>
      <c r="I760" s="37">
        <f>IF($D760="","",IF(OR($F760="",$F760=0),"Pending",IF(ROUND($F760-$D760,2)&gt;0,"Overpaid",IF(ROUND($F760-$D760,2)=0,"Paid","Partial"))))</f>
      </c>
      <c r="J760" s="29"/>
      <c r="K760">
        <f>IF($A760="","","#"&amp;TRIM(SUBSTITUTE(SUBSTITUTE(SUBSTITUTE(SUBSTITUTE(SUBSTITUTE(SUBSTITUTE($A760,"-",""),"(",""),")",""),".",""),"+","")," ","")))</f>
      </c>
    </row>
    <row r="761" spans="1:11" x14ac:dyDescent="0.3">
      <c r="A761" s="28"/>
      <c r="B761" s="29"/>
      <c r="C761" s="30"/>
      <c r="D761" s="31"/>
      <c r="E761" s="33">
        <f>IF(OR($D761="",$K761=""),"",IF(COUNTIFS(Payments!$G$5:$G$2500,$K761,Payments!$C$5:$C$2500,"&lt;&gt;")=0,"",_xlfn.MAXIFS(Payments!$C$5:$C$2500,Payments!$G$5:$G$2500,$K761)))</f>
      </c>
      <c r="F761" s="34">
        <f>IF(OR($D761="",$K761=""),"",SUMIF(Payments!$G$5:$G$2500,$K761,Payments!$D$5:$D$2500))</f>
      </c>
      <c r="G761" s="36">
        <f>IF($D761="","",ROUND($D761-IF($F761="",0,$F761),2))</f>
      </c>
      <c r="H761" s="35">
        <f>IF(OR($D761="",$K761=""),"",COUNTIF(Payments!$G$5:$G$2500,$K761))</f>
      </c>
      <c r="I761" s="37">
        <f>IF($D761="","",IF(OR($F761="",$F761=0),"Pending",IF(ROUND($F761-$D761,2)&gt;0,"Overpaid",IF(ROUND($F761-$D761,2)=0,"Paid","Partial"))))</f>
      </c>
      <c r="J761" s="29"/>
      <c r="K761">
        <f>IF($A761="","","#"&amp;TRIM(SUBSTITUTE(SUBSTITUTE(SUBSTITUTE(SUBSTITUTE(SUBSTITUTE(SUBSTITUTE($A761,"-",""),"(",""),")",""),".",""),"+","")," ","")))</f>
      </c>
    </row>
    <row r="762" spans="1:11" x14ac:dyDescent="0.3">
      <c r="A762" s="28"/>
      <c r="B762" s="29"/>
      <c r="C762" s="30"/>
      <c r="D762" s="31"/>
      <c r="E762" s="33">
        <f>IF(OR($D762="",$K762=""),"",IF(COUNTIFS(Payments!$G$5:$G$2500,$K762,Payments!$C$5:$C$2500,"&lt;&gt;")=0,"",_xlfn.MAXIFS(Payments!$C$5:$C$2500,Payments!$G$5:$G$2500,$K762)))</f>
      </c>
      <c r="F762" s="34">
        <f>IF(OR($D762="",$K762=""),"",SUMIF(Payments!$G$5:$G$2500,$K762,Payments!$D$5:$D$2500))</f>
      </c>
      <c r="G762" s="36">
        <f>IF($D762="","",ROUND($D762-IF($F762="",0,$F762),2))</f>
      </c>
      <c r="H762" s="35">
        <f>IF(OR($D762="",$K762=""),"",COUNTIF(Payments!$G$5:$G$2500,$K762))</f>
      </c>
      <c r="I762" s="37">
        <f>IF($D762="","",IF(OR($F762="",$F762=0),"Pending",IF(ROUND($F762-$D762,2)&gt;0,"Overpaid",IF(ROUND($F762-$D762,2)=0,"Paid","Partial"))))</f>
      </c>
      <c r="J762" s="29"/>
      <c r="K762">
        <f>IF($A762="","","#"&amp;TRIM(SUBSTITUTE(SUBSTITUTE(SUBSTITUTE(SUBSTITUTE(SUBSTITUTE(SUBSTITUTE($A762,"-",""),"(",""),")",""),".",""),"+","")," ","")))</f>
      </c>
    </row>
    <row r="763" spans="1:11" x14ac:dyDescent="0.3">
      <c r="A763" s="28"/>
      <c r="B763" s="29"/>
      <c r="C763" s="30"/>
      <c r="D763" s="31"/>
      <c r="E763" s="33">
        <f>IF(OR($D763="",$K763=""),"",IF(COUNTIFS(Payments!$G$5:$G$2500,$K763,Payments!$C$5:$C$2500,"&lt;&gt;")=0,"",_xlfn.MAXIFS(Payments!$C$5:$C$2500,Payments!$G$5:$G$2500,$K763)))</f>
      </c>
      <c r="F763" s="34">
        <f>IF(OR($D763="",$K763=""),"",SUMIF(Payments!$G$5:$G$2500,$K763,Payments!$D$5:$D$2500))</f>
      </c>
      <c r="G763" s="36">
        <f>IF($D763="","",ROUND($D763-IF($F763="",0,$F763),2))</f>
      </c>
      <c r="H763" s="35">
        <f>IF(OR($D763="",$K763=""),"",COUNTIF(Payments!$G$5:$G$2500,$K763))</f>
      </c>
      <c r="I763" s="37">
        <f>IF($D763="","",IF(OR($F763="",$F763=0),"Pending",IF(ROUND($F763-$D763,2)&gt;0,"Overpaid",IF(ROUND($F763-$D763,2)=0,"Paid","Partial"))))</f>
      </c>
      <c r="J763" s="29"/>
      <c r="K763">
        <f>IF($A763="","","#"&amp;TRIM(SUBSTITUTE(SUBSTITUTE(SUBSTITUTE(SUBSTITUTE(SUBSTITUTE(SUBSTITUTE($A763,"-",""),"(",""),")",""),".",""),"+","")," ","")))</f>
      </c>
    </row>
    <row r="764" spans="1:11" x14ac:dyDescent="0.3">
      <c r="A764" s="28"/>
      <c r="B764" s="29"/>
      <c r="C764" s="30"/>
      <c r="D764" s="31"/>
      <c r="E764" s="33">
        <f>IF(OR($D764="",$K764=""),"",IF(COUNTIFS(Payments!$G$5:$G$2500,$K764,Payments!$C$5:$C$2500,"&lt;&gt;")=0,"",_xlfn.MAXIFS(Payments!$C$5:$C$2500,Payments!$G$5:$G$2500,$K764)))</f>
      </c>
      <c r="F764" s="34">
        <f>IF(OR($D764="",$K764=""),"",SUMIF(Payments!$G$5:$G$2500,$K764,Payments!$D$5:$D$2500))</f>
      </c>
      <c r="G764" s="36">
        <f>IF($D764="","",ROUND($D764-IF($F764="",0,$F764),2))</f>
      </c>
      <c r="H764" s="35">
        <f>IF(OR($D764="",$K764=""),"",COUNTIF(Payments!$G$5:$G$2500,$K764))</f>
      </c>
      <c r="I764" s="37">
        <f>IF($D764="","",IF(OR($F764="",$F764=0),"Pending",IF(ROUND($F764-$D764,2)&gt;0,"Overpaid",IF(ROUND($F764-$D764,2)=0,"Paid","Partial"))))</f>
      </c>
      <c r="J764" s="29"/>
      <c r="K764">
        <f>IF($A764="","","#"&amp;TRIM(SUBSTITUTE(SUBSTITUTE(SUBSTITUTE(SUBSTITUTE(SUBSTITUTE(SUBSTITUTE($A764,"-",""),"(",""),")",""),".",""),"+","")," ","")))</f>
      </c>
    </row>
    <row r="765" spans="1:11" x14ac:dyDescent="0.3">
      <c r="A765" s="28"/>
      <c r="B765" s="29"/>
      <c r="C765" s="30"/>
      <c r="D765" s="31"/>
      <c r="E765" s="33">
        <f>IF(OR($D765="",$K765=""),"",IF(COUNTIFS(Payments!$G$5:$G$2500,$K765,Payments!$C$5:$C$2500,"&lt;&gt;")=0,"",_xlfn.MAXIFS(Payments!$C$5:$C$2500,Payments!$G$5:$G$2500,$K765)))</f>
      </c>
      <c r="F765" s="34">
        <f>IF(OR($D765="",$K765=""),"",SUMIF(Payments!$G$5:$G$2500,$K765,Payments!$D$5:$D$2500))</f>
      </c>
      <c r="G765" s="36">
        <f>IF($D765="","",ROUND($D765-IF($F765="",0,$F765),2))</f>
      </c>
      <c r="H765" s="35">
        <f>IF(OR($D765="",$K765=""),"",COUNTIF(Payments!$G$5:$G$2500,$K765))</f>
      </c>
      <c r="I765" s="37">
        <f>IF($D765="","",IF(OR($F765="",$F765=0),"Pending",IF(ROUND($F765-$D765,2)&gt;0,"Overpaid",IF(ROUND($F765-$D765,2)=0,"Paid","Partial"))))</f>
      </c>
      <c r="J765" s="29"/>
      <c r="K765">
        <f>IF($A765="","","#"&amp;TRIM(SUBSTITUTE(SUBSTITUTE(SUBSTITUTE(SUBSTITUTE(SUBSTITUTE(SUBSTITUTE($A765,"-",""),"(",""),")",""),".",""),"+","")," ","")))</f>
      </c>
    </row>
    <row r="766" spans="1:11" x14ac:dyDescent="0.3">
      <c r="A766" s="28"/>
      <c r="B766" s="29"/>
      <c r="C766" s="30"/>
      <c r="D766" s="31"/>
      <c r="E766" s="33">
        <f>IF(OR($D766="",$K766=""),"",IF(COUNTIFS(Payments!$G$5:$G$2500,$K766,Payments!$C$5:$C$2500,"&lt;&gt;")=0,"",_xlfn.MAXIFS(Payments!$C$5:$C$2500,Payments!$G$5:$G$2500,$K766)))</f>
      </c>
      <c r="F766" s="34">
        <f>IF(OR($D766="",$K766=""),"",SUMIF(Payments!$G$5:$G$2500,$K766,Payments!$D$5:$D$2500))</f>
      </c>
      <c r="G766" s="36">
        <f>IF($D766="","",ROUND($D766-IF($F766="",0,$F766),2))</f>
      </c>
      <c r="H766" s="35">
        <f>IF(OR($D766="",$K766=""),"",COUNTIF(Payments!$G$5:$G$2500,$K766))</f>
      </c>
      <c r="I766" s="37">
        <f>IF($D766="","",IF(OR($F766="",$F766=0),"Pending",IF(ROUND($F766-$D766,2)&gt;0,"Overpaid",IF(ROUND($F766-$D766,2)=0,"Paid","Partial"))))</f>
      </c>
      <c r="J766" s="29"/>
      <c r="K766">
        <f>IF($A766="","","#"&amp;TRIM(SUBSTITUTE(SUBSTITUTE(SUBSTITUTE(SUBSTITUTE(SUBSTITUTE(SUBSTITUTE($A766,"-",""),"(",""),")",""),".",""),"+","")," ","")))</f>
      </c>
    </row>
    <row r="767" spans="1:11" x14ac:dyDescent="0.3">
      <c r="A767" s="28"/>
      <c r="B767" s="29"/>
      <c r="C767" s="30"/>
      <c r="D767" s="31"/>
      <c r="E767" s="33">
        <f>IF(OR($D767="",$K767=""),"",IF(COUNTIFS(Payments!$G$5:$G$2500,$K767,Payments!$C$5:$C$2500,"&lt;&gt;")=0,"",_xlfn.MAXIFS(Payments!$C$5:$C$2500,Payments!$G$5:$G$2500,$K767)))</f>
      </c>
      <c r="F767" s="34">
        <f>IF(OR($D767="",$K767=""),"",SUMIF(Payments!$G$5:$G$2500,$K767,Payments!$D$5:$D$2500))</f>
      </c>
      <c r="G767" s="36">
        <f>IF($D767="","",ROUND($D767-IF($F767="",0,$F767),2))</f>
      </c>
      <c r="H767" s="35">
        <f>IF(OR($D767="",$K767=""),"",COUNTIF(Payments!$G$5:$G$2500,$K767))</f>
      </c>
      <c r="I767" s="37">
        <f>IF($D767="","",IF(OR($F767="",$F767=0),"Pending",IF(ROUND($F767-$D767,2)&gt;0,"Overpaid",IF(ROUND($F767-$D767,2)=0,"Paid","Partial"))))</f>
      </c>
      <c r="J767" s="29"/>
      <c r="K767">
        <f>IF($A767="","","#"&amp;TRIM(SUBSTITUTE(SUBSTITUTE(SUBSTITUTE(SUBSTITUTE(SUBSTITUTE(SUBSTITUTE($A767,"-",""),"(",""),")",""),".",""),"+","")," ","")))</f>
      </c>
    </row>
    <row r="768" spans="1:11" x14ac:dyDescent="0.3">
      <c r="A768" s="28"/>
      <c r="B768" s="29"/>
      <c r="C768" s="30"/>
      <c r="D768" s="31"/>
      <c r="E768" s="33">
        <f>IF(OR($D768="",$K768=""),"",IF(COUNTIFS(Payments!$G$5:$G$2500,$K768,Payments!$C$5:$C$2500,"&lt;&gt;")=0,"",_xlfn.MAXIFS(Payments!$C$5:$C$2500,Payments!$G$5:$G$2500,$K768)))</f>
      </c>
      <c r="F768" s="34">
        <f>IF(OR($D768="",$K768=""),"",SUMIF(Payments!$G$5:$G$2500,$K768,Payments!$D$5:$D$2500))</f>
      </c>
      <c r="G768" s="36">
        <f>IF($D768="","",ROUND($D768-IF($F768="",0,$F768),2))</f>
      </c>
      <c r="H768" s="35">
        <f>IF(OR($D768="",$K768=""),"",COUNTIF(Payments!$G$5:$G$2500,$K768))</f>
      </c>
      <c r="I768" s="37">
        <f>IF($D768="","",IF(OR($F768="",$F768=0),"Pending",IF(ROUND($F768-$D768,2)&gt;0,"Overpaid",IF(ROUND($F768-$D768,2)=0,"Paid","Partial"))))</f>
      </c>
      <c r="J768" s="29"/>
      <c r="K768">
        <f>IF($A768="","","#"&amp;TRIM(SUBSTITUTE(SUBSTITUTE(SUBSTITUTE(SUBSTITUTE(SUBSTITUTE(SUBSTITUTE($A768,"-",""),"(",""),")",""),".",""),"+","")," ","")))</f>
      </c>
    </row>
    <row r="769" spans="1:11" x14ac:dyDescent="0.3">
      <c r="A769" s="28"/>
      <c r="B769" s="29"/>
      <c r="C769" s="30"/>
      <c r="D769" s="31"/>
      <c r="E769" s="33">
        <f>IF(OR($D769="",$K769=""),"",IF(COUNTIFS(Payments!$G$5:$G$2500,$K769,Payments!$C$5:$C$2500,"&lt;&gt;")=0,"",_xlfn.MAXIFS(Payments!$C$5:$C$2500,Payments!$G$5:$G$2500,$K769)))</f>
      </c>
      <c r="F769" s="34">
        <f>IF(OR($D769="",$K769=""),"",SUMIF(Payments!$G$5:$G$2500,$K769,Payments!$D$5:$D$2500))</f>
      </c>
      <c r="G769" s="36">
        <f>IF($D769="","",ROUND($D769-IF($F769="",0,$F769),2))</f>
      </c>
      <c r="H769" s="35">
        <f>IF(OR($D769="",$K769=""),"",COUNTIF(Payments!$G$5:$G$2500,$K769))</f>
      </c>
      <c r="I769" s="37">
        <f>IF($D769="","",IF(OR($F769="",$F769=0),"Pending",IF(ROUND($F769-$D769,2)&gt;0,"Overpaid",IF(ROUND($F769-$D769,2)=0,"Paid","Partial"))))</f>
      </c>
      <c r="J769" s="29"/>
      <c r="K769">
        <f>IF($A769="","","#"&amp;TRIM(SUBSTITUTE(SUBSTITUTE(SUBSTITUTE(SUBSTITUTE(SUBSTITUTE(SUBSTITUTE($A769,"-",""),"(",""),")",""),".",""),"+","")," ","")))</f>
      </c>
    </row>
    <row r="770" spans="1:11" x14ac:dyDescent="0.3">
      <c r="A770" s="28"/>
      <c r="B770" s="29"/>
      <c r="C770" s="30"/>
      <c r="D770" s="31"/>
      <c r="E770" s="33">
        <f>IF(OR($D770="",$K770=""),"",IF(COUNTIFS(Payments!$G$5:$G$2500,$K770,Payments!$C$5:$C$2500,"&lt;&gt;")=0,"",_xlfn.MAXIFS(Payments!$C$5:$C$2500,Payments!$G$5:$G$2500,$K770)))</f>
      </c>
      <c r="F770" s="34">
        <f>IF(OR($D770="",$K770=""),"",SUMIF(Payments!$G$5:$G$2500,$K770,Payments!$D$5:$D$2500))</f>
      </c>
      <c r="G770" s="36">
        <f>IF($D770="","",ROUND($D770-IF($F770="",0,$F770),2))</f>
      </c>
      <c r="H770" s="35">
        <f>IF(OR($D770="",$K770=""),"",COUNTIF(Payments!$G$5:$G$2500,$K770))</f>
      </c>
      <c r="I770" s="37">
        <f>IF($D770="","",IF(OR($F770="",$F770=0),"Pending",IF(ROUND($F770-$D770,2)&gt;0,"Overpaid",IF(ROUND($F770-$D770,2)=0,"Paid","Partial"))))</f>
      </c>
      <c r="J770" s="29"/>
      <c r="K770">
        <f>IF($A770="","","#"&amp;TRIM(SUBSTITUTE(SUBSTITUTE(SUBSTITUTE(SUBSTITUTE(SUBSTITUTE(SUBSTITUTE($A770,"-",""),"(",""),")",""),".",""),"+","")," ","")))</f>
      </c>
    </row>
    <row r="771" spans="1:11" x14ac:dyDescent="0.3">
      <c r="A771" s="28"/>
      <c r="B771" s="29"/>
      <c r="C771" s="30"/>
      <c r="D771" s="31"/>
      <c r="E771" s="33">
        <f>IF(OR($D771="",$K771=""),"",IF(COUNTIFS(Payments!$G$5:$G$2500,$K771,Payments!$C$5:$C$2500,"&lt;&gt;")=0,"",_xlfn.MAXIFS(Payments!$C$5:$C$2500,Payments!$G$5:$G$2500,$K771)))</f>
      </c>
      <c r="F771" s="34">
        <f>IF(OR($D771="",$K771=""),"",SUMIF(Payments!$G$5:$G$2500,$K771,Payments!$D$5:$D$2500))</f>
      </c>
      <c r="G771" s="36">
        <f>IF($D771="","",ROUND($D771-IF($F771="",0,$F771),2))</f>
      </c>
      <c r="H771" s="35">
        <f>IF(OR($D771="",$K771=""),"",COUNTIF(Payments!$G$5:$G$2500,$K771))</f>
      </c>
      <c r="I771" s="37">
        <f>IF($D771="","",IF(OR($F771="",$F771=0),"Pending",IF(ROUND($F771-$D771,2)&gt;0,"Overpaid",IF(ROUND($F771-$D771,2)=0,"Paid","Partial"))))</f>
      </c>
      <c r="J771" s="29"/>
      <c r="K771">
        <f>IF($A771="","","#"&amp;TRIM(SUBSTITUTE(SUBSTITUTE(SUBSTITUTE(SUBSTITUTE(SUBSTITUTE(SUBSTITUTE($A771,"-",""),"(",""),")",""),".",""),"+","")," ","")))</f>
      </c>
    </row>
    <row r="772" spans="1:11" x14ac:dyDescent="0.3">
      <c r="A772" s="28"/>
      <c r="B772" s="29"/>
      <c r="C772" s="30"/>
      <c r="D772" s="31"/>
      <c r="E772" s="33">
        <f>IF(OR($D772="",$K772=""),"",IF(COUNTIFS(Payments!$G$5:$G$2500,$K772,Payments!$C$5:$C$2500,"&lt;&gt;")=0,"",_xlfn.MAXIFS(Payments!$C$5:$C$2500,Payments!$G$5:$G$2500,$K772)))</f>
      </c>
      <c r="F772" s="34">
        <f>IF(OR($D772="",$K772=""),"",SUMIF(Payments!$G$5:$G$2500,$K772,Payments!$D$5:$D$2500))</f>
      </c>
      <c r="G772" s="36">
        <f>IF($D772="","",ROUND($D772-IF($F772="",0,$F772),2))</f>
      </c>
      <c r="H772" s="35">
        <f>IF(OR($D772="",$K772=""),"",COUNTIF(Payments!$G$5:$G$2500,$K772))</f>
      </c>
      <c r="I772" s="37">
        <f>IF($D772="","",IF(OR($F772="",$F772=0),"Pending",IF(ROUND($F772-$D772,2)&gt;0,"Overpaid",IF(ROUND($F772-$D772,2)=0,"Paid","Partial"))))</f>
      </c>
      <c r="J772" s="29"/>
      <c r="K772">
        <f>IF($A772="","","#"&amp;TRIM(SUBSTITUTE(SUBSTITUTE(SUBSTITUTE(SUBSTITUTE(SUBSTITUTE(SUBSTITUTE($A772,"-",""),"(",""),")",""),".",""),"+","")," ","")))</f>
      </c>
    </row>
    <row r="773" spans="1:11" x14ac:dyDescent="0.3">
      <c r="A773" s="28"/>
      <c r="B773" s="29"/>
      <c r="C773" s="30"/>
      <c r="D773" s="31"/>
      <c r="E773" s="33">
        <f>IF(OR($D773="",$K773=""),"",IF(COUNTIFS(Payments!$G$5:$G$2500,$K773,Payments!$C$5:$C$2500,"&lt;&gt;")=0,"",_xlfn.MAXIFS(Payments!$C$5:$C$2500,Payments!$G$5:$G$2500,$K773)))</f>
      </c>
      <c r="F773" s="34">
        <f>IF(OR($D773="",$K773=""),"",SUMIF(Payments!$G$5:$G$2500,$K773,Payments!$D$5:$D$2500))</f>
      </c>
      <c r="G773" s="36">
        <f>IF($D773="","",ROUND($D773-IF($F773="",0,$F773),2))</f>
      </c>
      <c r="H773" s="35">
        <f>IF(OR($D773="",$K773=""),"",COUNTIF(Payments!$G$5:$G$2500,$K773))</f>
      </c>
      <c r="I773" s="37">
        <f>IF($D773="","",IF(OR($F773="",$F773=0),"Pending",IF(ROUND($F773-$D773,2)&gt;0,"Overpaid",IF(ROUND($F773-$D773,2)=0,"Paid","Partial"))))</f>
      </c>
      <c r="J773" s="29"/>
      <c r="K773">
        <f>IF($A773="","","#"&amp;TRIM(SUBSTITUTE(SUBSTITUTE(SUBSTITUTE(SUBSTITUTE(SUBSTITUTE(SUBSTITUTE($A773,"-",""),"(",""),")",""),".",""),"+","")," ","")))</f>
      </c>
    </row>
    <row r="774" spans="1:11" x14ac:dyDescent="0.3">
      <c r="A774" s="28"/>
      <c r="B774" s="29"/>
      <c r="C774" s="30"/>
      <c r="D774" s="31"/>
      <c r="E774" s="33">
        <f>IF(OR($D774="",$K774=""),"",IF(COUNTIFS(Payments!$G$5:$G$2500,$K774,Payments!$C$5:$C$2500,"&lt;&gt;")=0,"",_xlfn.MAXIFS(Payments!$C$5:$C$2500,Payments!$G$5:$G$2500,$K774)))</f>
      </c>
      <c r="F774" s="34">
        <f>IF(OR($D774="",$K774=""),"",SUMIF(Payments!$G$5:$G$2500,$K774,Payments!$D$5:$D$2500))</f>
      </c>
      <c r="G774" s="36">
        <f>IF($D774="","",ROUND($D774-IF($F774="",0,$F774),2))</f>
      </c>
      <c r="H774" s="35">
        <f>IF(OR($D774="",$K774=""),"",COUNTIF(Payments!$G$5:$G$2500,$K774))</f>
      </c>
      <c r="I774" s="37">
        <f>IF($D774="","",IF(OR($F774="",$F774=0),"Pending",IF(ROUND($F774-$D774,2)&gt;0,"Overpaid",IF(ROUND($F774-$D774,2)=0,"Paid","Partial"))))</f>
      </c>
      <c r="J774" s="29"/>
      <c r="K774">
        <f>IF($A774="","","#"&amp;TRIM(SUBSTITUTE(SUBSTITUTE(SUBSTITUTE(SUBSTITUTE(SUBSTITUTE(SUBSTITUTE($A774,"-",""),"(",""),")",""),".",""),"+","")," ","")))</f>
      </c>
    </row>
    <row r="775" spans="1:11" x14ac:dyDescent="0.3">
      <c r="A775" s="28"/>
      <c r="B775" s="29"/>
      <c r="C775" s="30"/>
      <c r="D775" s="31"/>
      <c r="E775" s="33">
        <f>IF(OR($D775="",$K775=""),"",IF(COUNTIFS(Payments!$G$5:$G$2500,$K775,Payments!$C$5:$C$2500,"&lt;&gt;")=0,"",_xlfn.MAXIFS(Payments!$C$5:$C$2500,Payments!$G$5:$G$2500,$K775)))</f>
      </c>
      <c r="F775" s="34">
        <f>IF(OR($D775="",$K775=""),"",SUMIF(Payments!$G$5:$G$2500,$K775,Payments!$D$5:$D$2500))</f>
      </c>
      <c r="G775" s="36">
        <f>IF($D775="","",ROUND($D775-IF($F775="",0,$F775),2))</f>
      </c>
      <c r="H775" s="35">
        <f>IF(OR($D775="",$K775=""),"",COUNTIF(Payments!$G$5:$G$2500,$K775))</f>
      </c>
      <c r="I775" s="37">
        <f>IF($D775="","",IF(OR($F775="",$F775=0),"Pending",IF(ROUND($F775-$D775,2)&gt;0,"Overpaid",IF(ROUND($F775-$D775,2)=0,"Paid","Partial"))))</f>
      </c>
      <c r="J775" s="29"/>
      <c r="K775">
        <f>IF($A775="","","#"&amp;TRIM(SUBSTITUTE(SUBSTITUTE(SUBSTITUTE(SUBSTITUTE(SUBSTITUTE(SUBSTITUTE($A775,"-",""),"(",""),")",""),".",""),"+","")," ","")))</f>
      </c>
    </row>
    <row r="776" spans="1:11" x14ac:dyDescent="0.3">
      <c r="A776" s="28"/>
      <c r="B776" s="29"/>
      <c r="C776" s="30"/>
      <c r="D776" s="31"/>
      <c r="E776" s="33">
        <f>IF(OR($D776="",$K776=""),"",IF(COUNTIFS(Payments!$G$5:$G$2500,$K776,Payments!$C$5:$C$2500,"&lt;&gt;")=0,"",_xlfn.MAXIFS(Payments!$C$5:$C$2500,Payments!$G$5:$G$2500,$K776)))</f>
      </c>
      <c r="F776" s="34">
        <f>IF(OR($D776="",$K776=""),"",SUMIF(Payments!$G$5:$G$2500,$K776,Payments!$D$5:$D$2500))</f>
      </c>
      <c r="G776" s="36">
        <f>IF($D776="","",ROUND($D776-IF($F776="",0,$F776),2))</f>
      </c>
      <c r="H776" s="35">
        <f>IF(OR($D776="",$K776=""),"",COUNTIF(Payments!$G$5:$G$2500,$K776))</f>
      </c>
      <c r="I776" s="37">
        <f>IF($D776="","",IF(OR($F776="",$F776=0),"Pending",IF(ROUND($F776-$D776,2)&gt;0,"Overpaid",IF(ROUND($F776-$D776,2)=0,"Paid","Partial"))))</f>
      </c>
      <c r="J776" s="29"/>
      <c r="K776">
        <f>IF($A776="","","#"&amp;TRIM(SUBSTITUTE(SUBSTITUTE(SUBSTITUTE(SUBSTITUTE(SUBSTITUTE(SUBSTITUTE($A776,"-",""),"(",""),")",""),".",""),"+","")," ","")))</f>
      </c>
    </row>
    <row r="777" spans="1:11" x14ac:dyDescent="0.3">
      <c r="A777" s="28"/>
      <c r="B777" s="29"/>
      <c r="C777" s="30"/>
      <c r="D777" s="31"/>
      <c r="E777" s="33">
        <f>IF(OR($D777="",$K777=""),"",IF(COUNTIFS(Payments!$G$5:$G$2500,$K777,Payments!$C$5:$C$2500,"&lt;&gt;")=0,"",_xlfn.MAXIFS(Payments!$C$5:$C$2500,Payments!$G$5:$G$2500,$K777)))</f>
      </c>
      <c r="F777" s="34">
        <f>IF(OR($D777="",$K777=""),"",SUMIF(Payments!$G$5:$G$2500,$K777,Payments!$D$5:$D$2500))</f>
      </c>
      <c r="G777" s="36">
        <f>IF($D777="","",ROUND($D777-IF($F777="",0,$F777),2))</f>
      </c>
      <c r="H777" s="35">
        <f>IF(OR($D777="",$K777=""),"",COUNTIF(Payments!$G$5:$G$2500,$K777))</f>
      </c>
      <c r="I777" s="37">
        <f>IF($D777="","",IF(OR($F777="",$F777=0),"Pending",IF(ROUND($F777-$D777,2)&gt;0,"Overpaid",IF(ROUND($F777-$D777,2)=0,"Paid","Partial"))))</f>
      </c>
      <c r="J777" s="29"/>
      <c r="K777">
        <f>IF($A777="","","#"&amp;TRIM(SUBSTITUTE(SUBSTITUTE(SUBSTITUTE(SUBSTITUTE(SUBSTITUTE(SUBSTITUTE($A777,"-",""),"(",""),")",""),".",""),"+","")," ","")))</f>
      </c>
    </row>
    <row r="778" spans="1:11" x14ac:dyDescent="0.3">
      <c r="A778" s="28"/>
      <c r="B778" s="29"/>
      <c r="C778" s="30"/>
      <c r="D778" s="31"/>
      <c r="E778" s="33">
        <f>IF(OR($D778="",$K778=""),"",IF(COUNTIFS(Payments!$G$5:$G$2500,$K778,Payments!$C$5:$C$2500,"&lt;&gt;")=0,"",_xlfn.MAXIFS(Payments!$C$5:$C$2500,Payments!$G$5:$G$2500,$K778)))</f>
      </c>
      <c r="F778" s="34">
        <f>IF(OR($D778="",$K778=""),"",SUMIF(Payments!$G$5:$G$2500,$K778,Payments!$D$5:$D$2500))</f>
      </c>
      <c r="G778" s="36">
        <f>IF($D778="","",ROUND($D778-IF($F778="",0,$F778),2))</f>
      </c>
      <c r="H778" s="35">
        <f>IF(OR($D778="",$K778=""),"",COUNTIF(Payments!$G$5:$G$2500,$K778))</f>
      </c>
      <c r="I778" s="37">
        <f>IF($D778="","",IF(OR($F778="",$F778=0),"Pending",IF(ROUND($F778-$D778,2)&gt;0,"Overpaid",IF(ROUND($F778-$D778,2)=0,"Paid","Partial"))))</f>
      </c>
      <c r="J778" s="29"/>
      <c r="K778">
        <f>IF($A778="","","#"&amp;TRIM(SUBSTITUTE(SUBSTITUTE(SUBSTITUTE(SUBSTITUTE(SUBSTITUTE(SUBSTITUTE($A778,"-",""),"(",""),")",""),".",""),"+","")," ","")))</f>
      </c>
    </row>
    <row r="779" spans="1:11" x14ac:dyDescent="0.3">
      <c r="A779" s="28"/>
      <c r="B779" s="29"/>
      <c r="C779" s="30"/>
      <c r="D779" s="31"/>
      <c r="E779" s="33">
        <f>IF(OR($D779="",$K779=""),"",IF(COUNTIFS(Payments!$G$5:$G$2500,$K779,Payments!$C$5:$C$2500,"&lt;&gt;")=0,"",_xlfn.MAXIFS(Payments!$C$5:$C$2500,Payments!$G$5:$G$2500,$K779)))</f>
      </c>
      <c r="F779" s="34">
        <f>IF(OR($D779="",$K779=""),"",SUMIF(Payments!$G$5:$G$2500,$K779,Payments!$D$5:$D$2500))</f>
      </c>
      <c r="G779" s="36">
        <f>IF($D779="","",ROUND($D779-IF($F779="",0,$F779),2))</f>
      </c>
      <c r="H779" s="35">
        <f>IF(OR($D779="",$K779=""),"",COUNTIF(Payments!$G$5:$G$2500,$K779))</f>
      </c>
      <c r="I779" s="37">
        <f>IF($D779="","",IF(OR($F779="",$F779=0),"Pending",IF(ROUND($F779-$D779,2)&gt;0,"Overpaid",IF(ROUND($F779-$D779,2)=0,"Paid","Partial"))))</f>
      </c>
      <c r="J779" s="29"/>
      <c r="K779">
        <f>IF($A779="","","#"&amp;TRIM(SUBSTITUTE(SUBSTITUTE(SUBSTITUTE(SUBSTITUTE(SUBSTITUTE(SUBSTITUTE($A779,"-",""),"(",""),")",""),".",""),"+","")," ","")))</f>
      </c>
    </row>
    <row r="780" spans="1:11" x14ac:dyDescent="0.3">
      <c r="A780" s="28"/>
      <c r="B780" s="29"/>
      <c r="C780" s="30"/>
      <c r="D780" s="31"/>
      <c r="E780" s="33">
        <f>IF(OR($D780="",$K780=""),"",IF(COUNTIFS(Payments!$G$5:$G$2500,$K780,Payments!$C$5:$C$2500,"&lt;&gt;")=0,"",_xlfn.MAXIFS(Payments!$C$5:$C$2500,Payments!$G$5:$G$2500,$K780)))</f>
      </c>
      <c r="F780" s="34">
        <f>IF(OR($D780="",$K780=""),"",SUMIF(Payments!$G$5:$G$2500,$K780,Payments!$D$5:$D$2500))</f>
      </c>
      <c r="G780" s="36">
        <f>IF($D780="","",ROUND($D780-IF($F780="",0,$F780),2))</f>
      </c>
      <c r="H780" s="35">
        <f>IF(OR($D780="",$K780=""),"",COUNTIF(Payments!$G$5:$G$2500,$K780))</f>
      </c>
      <c r="I780" s="37">
        <f>IF($D780="","",IF(OR($F780="",$F780=0),"Pending",IF(ROUND($F780-$D780,2)&gt;0,"Overpaid",IF(ROUND($F780-$D780,2)=0,"Paid","Partial"))))</f>
      </c>
      <c r="J780" s="29"/>
      <c r="K780">
        <f>IF($A780="","","#"&amp;TRIM(SUBSTITUTE(SUBSTITUTE(SUBSTITUTE(SUBSTITUTE(SUBSTITUTE(SUBSTITUTE($A780,"-",""),"(",""),")",""),".",""),"+","")," ","")))</f>
      </c>
    </row>
    <row r="781" spans="1:11" x14ac:dyDescent="0.3">
      <c r="A781" s="28"/>
      <c r="B781" s="29"/>
      <c r="C781" s="30"/>
      <c r="D781" s="31"/>
      <c r="E781" s="33">
        <f>IF(OR($D781="",$K781=""),"",IF(COUNTIFS(Payments!$G$5:$G$2500,$K781,Payments!$C$5:$C$2500,"&lt;&gt;")=0,"",_xlfn.MAXIFS(Payments!$C$5:$C$2500,Payments!$G$5:$G$2500,$K781)))</f>
      </c>
      <c r="F781" s="34">
        <f>IF(OR($D781="",$K781=""),"",SUMIF(Payments!$G$5:$G$2500,$K781,Payments!$D$5:$D$2500))</f>
      </c>
      <c r="G781" s="36">
        <f>IF($D781="","",ROUND($D781-IF($F781="",0,$F781),2))</f>
      </c>
      <c r="H781" s="35">
        <f>IF(OR($D781="",$K781=""),"",COUNTIF(Payments!$G$5:$G$2500,$K781))</f>
      </c>
      <c r="I781" s="37">
        <f>IF($D781="","",IF(OR($F781="",$F781=0),"Pending",IF(ROUND($F781-$D781,2)&gt;0,"Overpaid",IF(ROUND($F781-$D781,2)=0,"Paid","Partial"))))</f>
      </c>
      <c r="J781" s="29"/>
      <c r="K781">
        <f>IF($A781="","","#"&amp;TRIM(SUBSTITUTE(SUBSTITUTE(SUBSTITUTE(SUBSTITUTE(SUBSTITUTE(SUBSTITUTE($A781,"-",""),"(",""),")",""),".",""),"+","")," ","")))</f>
      </c>
    </row>
    <row r="782" spans="1:11" x14ac:dyDescent="0.3">
      <c r="A782" s="28"/>
      <c r="B782" s="29"/>
      <c r="C782" s="30"/>
      <c r="D782" s="31"/>
      <c r="E782" s="33">
        <f>IF(OR($D782="",$K782=""),"",IF(COUNTIFS(Payments!$G$5:$G$2500,$K782,Payments!$C$5:$C$2500,"&lt;&gt;")=0,"",_xlfn.MAXIFS(Payments!$C$5:$C$2500,Payments!$G$5:$G$2500,$K782)))</f>
      </c>
      <c r="F782" s="34">
        <f>IF(OR($D782="",$K782=""),"",SUMIF(Payments!$G$5:$G$2500,$K782,Payments!$D$5:$D$2500))</f>
      </c>
      <c r="G782" s="36">
        <f>IF($D782="","",ROUND($D782-IF($F782="",0,$F782),2))</f>
      </c>
      <c r="H782" s="35">
        <f>IF(OR($D782="",$K782=""),"",COUNTIF(Payments!$G$5:$G$2500,$K782))</f>
      </c>
      <c r="I782" s="37">
        <f>IF($D782="","",IF(OR($F782="",$F782=0),"Pending",IF(ROUND($F782-$D782,2)&gt;0,"Overpaid",IF(ROUND($F782-$D782,2)=0,"Paid","Partial"))))</f>
      </c>
      <c r="J782" s="29"/>
      <c r="K782">
        <f>IF($A782="","","#"&amp;TRIM(SUBSTITUTE(SUBSTITUTE(SUBSTITUTE(SUBSTITUTE(SUBSTITUTE(SUBSTITUTE($A782,"-",""),"(",""),")",""),".",""),"+","")," ","")))</f>
      </c>
    </row>
    <row r="783" spans="1:11" x14ac:dyDescent="0.3">
      <c r="A783" s="28"/>
      <c r="B783" s="29"/>
      <c r="C783" s="30"/>
      <c r="D783" s="31"/>
      <c r="E783" s="33">
        <f>IF(OR($D783="",$K783=""),"",IF(COUNTIFS(Payments!$G$5:$G$2500,$K783,Payments!$C$5:$C$2500,"&lt;&gt;")=0,"",_xlfn.MAXIFS(Payments!$C$5:$C$2500,Payments!$G$5:$G$2500,$K783)))</f>
      </c>
      <c r="F783" s="34">
        <f>IF(OR($D783="",$K783=""),"",SUMIF(Payments!$G$5:$G$2500,$K783,Payments!$D$5:$D$2500))</f>
      </c>
      <c r="G783" s="36">
        <f>IF($D783="","",ROUND($D783-IF($F783="",0,$F783),2))</f>
      </c>
      <c r="H783" s="35">
        <f>IF(OR($D783="",$K783=""),"",COUNTIF(Payments!$G$5:$G$2500,$K783))</f>
      </c>
      <c r="I783" s="37">
        <f>IF($D783="","",IF(OR($F783="",$F783=0),"Pending",IF(ROUND($F783-$D783,2)&gt;0,"Overpaid",IF(ROUND($F783-$D783,2)=0,"Paid","Partial"))))</f>
      </c>
      <c r="J783" s="29"/>
      <c r="K783">
        <f>IF($A783="","","#"&amp;TRIM(SUBSTITUTE(SUBSTITUTE(SUBSTITUTE(SUBSTITUTE(SUBSTITUTE(SUBSTITUTE($A783,"-",""),"(",""),")",""),".",""),"+","")," ","")))</f>
      </c>
    </row>
    <row r="784" spans="1:11" x14ac:dyDescent="0.3">
      <c r="A784" s="28"/>
      <c r="B784" s="29"/>
      <c r="C784" s="30"/>
      <c r="D784" s="31"/>
      <c r="E784" s="33">
        <f>IF(OR($D784="",$K784=""),"",IF(COUNTIFS(Payments!$G$5:$G$2500,$K784,Payments!$C$5:$C$2500,"&lt;&gt;")=0,"",_xlfn.MAXIFS(Payments!$C$5:$C$2500,Payments!$G$5:$G$2500,$K784)))</f>
      </c>
      <c r="F784" s="34">
        <f>IF(OR($D784="",$K784=""),"",SUMIF(Payments!$G$5:$G$2500,$K784,Payments!$D$5:$D$2500))</f>
      </c>
      <c r="G784" s="36">
        <f>IF($D784="","",ROUND($D784-IF($F784="",0,$F784),2))</f>
      </c>
      <c r="H784" s="35">
        <f>IF(OR($D784="",$K784=""),"",COUNTIF(Payments!$G$5:$G$2500,$K784))</f>
      </c>
      <c r="I784" s="37">
        <f>IF($D784="","",IF(OR($F784="",$F784=0),"Pending",IF(ROUND($F784-$D784,2)&gt;0,"Overpaid",IF(ROUND($F784-$D784,2)=0,"Paid","Partial"))))</f>
      </c>
      <c r="J784" s="29"/>
      <c r="K784">
        <f>IF($A784="","","#"&amp;TRIM(SUBSTITUTE(SUBSTITUTE(SUBSTITUTE(SUBSTITUTE(SUBSTITUTE(SUBSTITUTE($A784,"-",""),"(",""),")",""),".",""),"+","")," ","")))</f>
      </c>
    </row>
    <row r="785" spans="1:11" x14ac:dyDescent="0.3">
      <c r="A785" s="28"/>
      <c r="B785" s="29"/>
      <c r="C785" s="30"/>
      <c r="D785" s="31"/>
      <c r="E785" s="33">
        <f>IF(OR($D785="",$K785=""),"",IF(COUNTIFS(Payments!$G$5:$G$2500,$K785,Payments!$C$5:$C$2500,"&lt;&gt;")=0,"",_xlfn.MAXIFS(Payments!$C$5:$C$2500,Payments!$G$5:$G$2500,$K785)))</f>
      </c>
      <c r="F785" s="34">
        <f>IF(OR($D785="",$K785=""),"",SUMIF(Payments!$G$5:$G$2500,$K785,Payments!$D$5:$D$2500))</f>
      </c>
      <c r="G785" s="36">
        <f>IF($D785="","",ROUND($D785-IF($F785="",0,$F785),2))</f>
      </c>
      <c r="H785" s="35">
        <f>IF(OR($D785="",$K785=""),"",COUNTIF(Payments!$G$5:$G$2500,$K785))</f>
      </c>
      <c r="I785" s="37">
        <f>IF($D785="","",IF(OR($F785="",$F785=0),"Pending",IF(ROUND($F785-$D785,2)&gt;0,"Overpaid",IF(ROUND($F785-$D785,2)=0,"Paid","Partial"))))</f>
      </c>
      <c r="J785" s="29"/>
      <c r="K785">
        <f>IF($A785="","","#"&amp;TRIM(SUBSTITUTE(SUBSTITUTE(SUBSTITUTE(SUBSTITUTE(SUBSTITUTE(SUBSTITUTE($A785,"-",""),"(",""),")",""),".",""),"+","")," ","")))</f>
      </c>
    </row>
    <row r="786" spans="1:11" x14ac:dyDescent="0.3">
      <c r="A786" s="28"/>
      <c r="B786" s="29"/>
      <c r="C786" s="30"/>
      <c r="D786" s="31"/>
      <c r="E786" s="33">
        <f>IF(OR($D786="",$K786=""),"",IF(COUNTIFS(Payments!$G$5:$G$2500,$K786,Payments!$C$5:$C$2500,"&lt;&gt;")=0,"",_xlfn.MAXIFS(Payments!$C$5:$C$2500,Payments!$G$5:$G$2500,$K786)))</f>
      </c>
      <c r="F786" s="34">
        <f>IF(OR($D786="",$K786=""),"",SUMIF(Payments!$G$5:$G$2500,$K786,Payments!$D$5:$D$2500))</f>
      </c>
      <c r="G786" s="36">
        <f>IF($D786="","",ROUND($D786-IF($F786="",0,$F786),2))</f>
      </c>
      <c r="H786" s="35">
        <f>IF(OR($D786="",$K786=""),"",COUNTIF(Payments!$G$5:$G$2500,$K786))</f>
      </c>
      <c r="I786" s="37">
        <f>IF($D786="","",IF(OR($F786="",$F786=0),"Pending",IF(ROUND($F786-$D786,2)&gt;0,"Overpaid",IF(ROUND($F786-$D786,2)=0,"Paid","Partial"))))</f>
      </c>
      <c r="J786" s="29"/>
      <c r="K786">
        <f>IF($A786="","","#"&amp;TRIM(SUBSTITUTE(SUBSTITUTE(SUBSTITUTE(SUBSTITUTE(SUBSTITUTE(SUBSTITUTE($A786,"-",""),"(",""),")",""),".",""),"+","")," ","")))</f>
      </c>
    </row>
    <row r="787" spans="1:11" x14ac:dyDescent="0.3">
      <c r="A787" s="28"/>
      <c r="B787" s="29"/>
      <c r="C787" s="30"/>
      <c r="D787" s="31"/>
      <c r="E787" s="33">
        <f>IF(OR($D787="",$K787=""),"",IF(COUNTIFS(Payments!$G$5:$G$2500,$K787,Payments!$C$5:$C$2500,"&lt;&gt;")=0,"",_xlfn.MAXIFS(Payments!$C$5:$C$2500,Payments!$G$5:$G$2500,$K787)))</f>
      </c>
      <c r="F787" s="34">
        <f>IF(OR($D787="",$K787=""),"",SUMIF(Payments!$G$5:$G$2500,$K787,Payments!$D$5:$D$2500))</f>
      </c>
      <c r="G787" s="36">
        <f>IF($D787="","",ROUND($D787-IF($F787="",0,$F787),2))</f>
      </c>
      <c r="H787" s="35">
        <f>IF(OR($D787="",$K787=""),"",COUNTIF(Payments!$G$5:$G$2500,$K787))</f>
      </c>
      <c r="I787" s="37">
        <f>IF($D787="","",IF(OR($F787="",$F787=0),"Pending",IF(ROUND($F787-$D787,2)&gt;0,"Overpaid",IF(ROUND($F787-$D787,2)=0,"Paid","Partial"))))</f>
      </c>
      <c r="J787" s="29"/>
      <c r="K787">
        <f>IF($A787="","","#"&amp;TRIM(SUBSTITUTE(SUBSTITUTE(SUBSTITUTE(SUBSTITUTE(SUBSTITUTE(SUBSTITUTE($A787,"-",""),"(",""),")",""),".",""),"+","")," ","")))</f>
      </c>
    </row>
    <row r="788" spans="1:11" x14ac:dyDescent="0.3">
      <c r="A788" s="28"/>
      <c r="B788" s="29"/>
      <c r="C788" s="30"/>
      <c r="D788" s="31"/>
      <c r="E788" s="33">
        <f>IF(OR($D788="",$K788=""),"",IF(COUNTIFS(Payments!$G$5:$G$2500,$K788,Payments!$C$5:$C$2500,"&lt;&gt;")=0,"",_xlfn.MAXIFS(Payments!$C$5:$C$2500,Payments!$G$5:$G$2500,$K788)))</f>
      </c>
      <c r="F788" s="34">
        <f>IF(OR($D788="",$K788=""),"",SUMIF(Payments!$G$5:$G$2500,$K788,Payments!$D$5:$D$2500))</f>
      </c>
      <c r="G788" s="36">
        <f>IF($D788="","",ROUND($D788-IF($F788="",0,$F788),2))</f>
      </c>
      <c r="H788" s="35">
        <f>IF(OR($D788="",$K788=""),"",COUNTIF(Payments!$G$5:$G$2500,$K788))</f>
      </c>
      <c r="I788" s="37">
        <f>IF($D788="","",IF(OR($F788="",$F788=0),"Pending",IF(ROUND($F788-$D788,2)&gt;0,"Overpaid",IF(ROUND($F788-$D788,2)=0,"Paid","Partial"))))</f>
      </c>
      <c r="J788" s="29"/>
      <c r="K788">
        <f>IF($A788="","","#"&amp;TRIM(SUBSTITUTE(SUBSTITUTE(SUBSTITUTE(SUBSTITUTE(SUBSTITUTE(SUBSTITUTE($A788,"-",""),"(",""),")",""),".",""),"+","")," ","")))</f>
      </c>
    </row>
    <row r="789" spans="1:11" x14ac:dyDescent="0.3">
      <c r="A789" s="28"/>
      <c r="B789" s="29"/>
      <c r="C789" s="30"/>
      <c r="D789" s="31"/>
      <c r="E789" s="33">
        <f>IF(OR($D789="",$K789=""),"",IF(COUNTIFS(Payments!$G$5:$G$2500,$K789,Payments!$C$5:$C$2500,"&lt;&gt;")=0,"",_xlfn.MAXIFS(Payments!$C$5:$C$2500,Payments!$G$5:$G$2500,$K789)))</f>
      </c>
      <c r="F789" s="34">
        <f>IF(OR($D789="",$K789=""),"",SUMIF(Payments!$G$5:$G$2500,$K789,Payments!$D$5:$D$2500))</f>
      </c>
      <c r="G789" s="36">
        <f>IF($D789="","",ROUND($D789-IF($F789="",0,$F789),2))</f>
      </c>
      <c r="H789" s="35">
        <f>IF(OR($D789="",$K789=""),"",COUNTIF(Payments!$G$5:$G$2500,$K789))</f>
      </c>
      <c r="I789" s="37">
        <f>IF($D789="","",IF(OR($F789="",$F789=0),"Pending",IF(ROUND($F789-$D789,2)&gt;0,"Overpaid",IF(ROUND($F789-$D789,2)=0,"Paid","Partial"))))</f>
      </c>
      <c r="J789" s="29"/>
      <c r="K789">
        <f>IF($A789="","","#"&amp;TRIM(SUBSTITUTE(SUBSTITUTE(SUBSTITUTE(SUBSTITUTE(SUBSTITUTE(SUBSTITUTE($A789,"-",""),"(",""),")",""),".",""),"+","")," ","")))</f>
      </c>
    </row>
    <row r="790" spans="1:11" x14ac:dyDescent="0.3">
      <c r="A790" s="28"/>
      <c r="B790" s="29"/>
      <c r="C790" s="30"/>
      <c r="D790" s="31"/>
      <c r="E790" s="33">
        <f>IF(OR($D790="",$K790=""),"",IF(COUNTIFS(Payments!$G$5:$G$2500,$K790,Payments!$C$5:$C$2500,"&lt;&gt;")=0,"",_xlfn.MAXIFS(Payments!$C$5:$C$2500,Payments!$G$5:$G$2500,$K790)))</f>
      </c>
      <c r="F790" s="34">
        <f>IF(OR($D790="",$K790=""),"",SUMIF(Payments!$G$5:$G$2500,$K790,Payments!$D$5:$D$2500))</f>
      </c>
      <c r="G790" s="36">
        <f>IF($D790="","",ROUND($D790-IF($F790="",0,$F790),2))</f>
      </c>
      <c r="H790" s="35">
        <f>IF(OR($D790="",$K790=""),"",COUNTIF(Payments!$G$5:$G$2500,$K790))</f>
      </c>
      <c r="I790" s="37">
        <f>IF($D790="","",IF(OR($F790="",$F790=0),"Pending",IF(ROUND($F790-$D790,2)&gt;0,"Overpaid",IF(ROUND($F790-$D790,2)=0,"Paid","Partial"))))</f>
      </c>
      <c r="J790" s="29"/>
      <c r="K790">
        <f>IF($A790="","","#"&amp;TRIM(SUBSTITUTE(SUBSTITUTE(SUBSTITUTE(SUBSTITUTE(SUBSTITUTE(SUBSTITUTE($A790,"-",""),"(",""),")",""),".",""),"+","")," ","")))</f>
      </c>
    </row>
    <row r="791" spans="1:11" x14ac:dyDescent="0.3">
      <c r="A791" s="28"/>
      <c r="B791" s="29"/>
      <c r="C791" s="30"/>
      <c r="D791" s="31"/>
      <c r="E791" s="33">
        <f>IF(OR($D791="",$K791=""),"",IF(COUNTIFS(Payments!$G$5:$G$2500,$K791,Payments!$C$5:$C$2500,"&lt;&gt;")=0,"",_xlfn.MAXIFS(Payments!$C$5:$C$2500,Payments!$G$5:$G$2500,$K791)))</f>
      </c>
      <c r="F791" s="34">
        <f>IF(OR($D791="",$K791=""),"",SUMIF(Payments!$G$5:$G$2500,$K791,Payments!$D$5:$D$2500))</f>
      </c>
      <c r="G791" s="36">
        <f>IF($D791="","",ROUND($D791-IF($F791="",0,$F791),2))</f>
      </c>
      <c r="H791" s="35">
        <f>IF(OR($D791="",$K791=""),"",COUNTIF(Payments!$G$5:$G$2500,$K791))</f>
      </c>
      <c r="I791" s="37">
        <f>IF($D791="","",IF(OR($F791="",$F791=0),"Pending",IF(ROUND($F791-$D791,2)&gt;0,"Overpaid",IF(ROUND($F791-$D791,2)=0,"Paid","Partial"))))</f>
      </c>
      <c r="J791" s="29"/>
      <c r="K791">
        <f>IF($A791="","","#"&amp;TRIM(SUBSTITUTE(SUBSTITUTE(SUBSTITUTE(SUBSTITUTE(SUBSTITUTE(SUBSTITUTE($A791,"-",""),"(",""),")",""),".",""),"+","")," ","")))</f>
      </c>
    </row>
    <row r="792" spans="1:11" x14ac:dyDescent="0.3">
      <c r="A792" s="28"/>
      <c r="B792" s="29"/>
      <c r="C792" s="30"/>
      <c r="D792" s="31"/>
      <c r="E792" s="33">
        <f>IF(OR($D792="",$K792=""),"",IF(COUNTIFS(Payments!$G$5:$G$2500,$K792,Payments!$C$5:$C$2500,"&lt;&gt;")=0,"",_xlfn.MAXIFS(Payments!$C$5:$C$2500,Payments!$G$5:$G$2500,$K792)))</f>
      </c>
      <c r="F792" s="34">
        <f>IF(OR($D792="",$K792=""),"",SUMIF(Payments!$G$5:$G$2500,$K792,Payments!$D$5:$D$2500))</f>
      </c>
      <c r="G792" s="36">
        <f>IF($D792="","",ROUND($D792-IF($F792="",0,$F792),2))</f>
      </c>
      <c r="H792" s="35">
        <f>IF(OR($D792="",$K792=""),"",COUNTIF(Payments!$G$5:$G$2500,$K792))</f>
      </c>
      <c r="I792" s="37">
        <f>IF($D792="","",IF(OR($F792="",$F792=0),"Pending",IF(ROUND($F792-$D792,2)&gt;0,"Overpaid",IF(ROUND($F792-$D792,2)=0,"Paid","Partial"))))</f>
      </c>
      <c r="J792" s="29"/>
      <c r="K792">
        <f>IF($A792="","","#"&amp;TRIM(SUBSTITUTE(SUBSTITUTE(SUBSTITUTE(SUBSTITUTE(SUBSTITUTE(SUBSTITUTE($A792,"-",""),"(",""),")",""),".",""),"+","")," ","")))</f>
      </c>
    </row>
    <row r="793" spans="1:11" x14ac:dyDescent="0.3">
      <c r="A793" s="28"/>
      <c r="B793" s="29"/>
      <c r="C793" s="30"/>
      <c r="D793" s="31"/>
      <c r="E793" s="33">
        <f>IF(OR($D793="",$K793=""),"",IF(COUNTIFS(Payments!$G$5:$G$2500,$K793,Payments!$C$5:$C$2500,"&lt;&gt;")=0,"",_xlfn.MAXIFS(Payments!$C$5:$C$2500,Payments!$G$5:$G$2500,$K793)))</f>
      </c>
      <c r="F793" s="34">
        <f>IF(OR($D793="",$K793=""),"",SUMIF(Payments!$G$5:$G$2500,$K793,Payments!$D$5:$D$2500))</f>
      </c>
      <c r="G793" s="36">
        <f>IF($D793="","",ROUND($D793-IF($F793="",0,$F793),2))</f>
      </c>
      <c r="H793" s="35">
        <f>IF(OR($D793="",$K793=""),"",COUNTIF(Payments!$G$5:$G$2500,$K793))</f>
      </c>
      <c r="I793" s="37">
        <f>IF($D793="","",IF(OR($F793="",$F793=0),"Pending",IF(ROUND($F793-$D793,2)&gt;0,"Overpaid",IF(ROUND($F793-$D793,2)=0,"Paid","Partial"))))</f>
      </c>
      <c r="J793" s="29"/>
      <c r="K793">
        <f>IF($A793="","","#"&amp;TRIM(SUBSTITUTE(SUBSTITUTE(SUBSTITUTE(SUBSTITUTE(SUBSTITUTE(SUBSTITUTE($A793,"-",""),"(",""),")",""),".",""),"+","")," ","")))</f>
      </c>
    </row>
    <row r="794" spans="1:11" x14ac:dyDescent="0.3">
      <c r="A794" s="28"/>
      <c r="B794" s="29"/>
      <c r="C794" s="30"/>
      <c r="D794" s="31"/>
      <c r="E794" s="33">
        <f>IF(OR($D794="",$K794=""),"",IF(COUNTIFS(Payments!$G$5:$G$2500,$K794,Payments!$C$5:$C$2500,"&lt;&gt;")=0,"",_xlfn.MAXIFS(Payments!$C$5:$C$2500,Payments!$G$5:$G$2500,$K794)))</f>
      </c>
      <c r="F794" s="34">
        <f>IF(OR($D794="",$K794=""),"",SUMIF(Payments!$G$5:$G$2500,$K794,Payments!$D$5:$D$2500))</f>
      </c>
      <c r="G794" s="36">
        <f>IF($D794="","",ROUND($D794-IF($F794="",0,$F794),2))</f>
      </c>
      <c r="H794" s="35">
        <f>IF(OR($D794="",$K794=""),"",COUNTIF(Payments!$G$5:$G$2500,$K794))</f>
      </c>
      <c r="I794" s="37">
        <f>IF($D794="","",IF(OR($F794="",$F794=0),"Pending",IF(ROUND($F794-$D794,2)&gt;0,"Overpaid",IF(ROUND($F794-$D794,2)=0,"Paid","Partial"))))</f>
      </c>
      <c r="J794" s="29"/>
      <c r="K794">
        <f>IF($A794="","","#"&amp;TRIM(SUBSTITUTE(SUBSTITUTE(SUBSTITUTE(SUBSTITUTE(SUBSTITUTE(SUBSTITUTE($A794,"-",""),"(",""),")",""),".",""),"+","")," ","")))</f>
      </c>
    </row>
    <row r="795" spans="1:11" x14ac:dyDescent="0.3">
      <c r="A795" s="28"/>
      <c r="B795" s="29"/>
      <c r="C795" s="30"/>
      <c r="D795" s="31"/>
      <c r="E795" s="33">
        <f>IF(OR($D795="",$K795=""),"",IF(COUNTIFS(Payments!$G$5:$G$2500,$K795,Payments!$C$5:$C$2500,"&lt;&gt;")=0,"",_xlfn.MAXIFS(Payments!$C$5:$C$2500,Payments!$G$5:$G$2500,$K795)))</f>
      </c>
      <c r="F795" s="34">
        <f>IF(OR($D795="",$K795=""),"",SUMIF(Payments!$G$5:$G$2500,$K795,Payments!$D$5:$D$2500))</f>
      </c>
      <c r="G795" s="36">
        <f>IF($D795="","",ROUND($D795-IF($F795="",0,$F795),2))</f>
      </c>
      <c r="H795" s="35">
        <f>IF(OR($D795="",$K795=""),"",COUNTIF(Payments!$G$5:$G$2500,$K795))</f>
      </c>
      <c r="I795" s="37">
        <f>IF($D795="","",IF(OR($F795="",$F795=0),"Pending",IF(ROUND($F795-$D795,2)&gt;0,"Overpaid",IF(ROUND($F795-$D795,2)=0,"Paid","Partial"))))</f>
      </c>
      <c r="J795" s="29"/>
      <c r="K795">
        <f>IF($A795="","","#"&amp;TRIM(SUBSTITUTE(SUBSTITUTE(SUBSTITUTE(SUBSTITUTE(SUBSTITUTE(SUBSTITUTE($A795,"-",""),"(",""),")",""),".",""),"+","")," ","")))</f>
      </c>
    </row>
    <row r="796" spans="1:11" x14ac:dyDescent="0.3">
      <c r="A796" s="28"/>
      <c r="B796" s="29"/>
      <c r="C796" s="30"/>
      <c r="D796" s="31"/>
      <c r="E796" s="33">
        <f>IF(OR($D796="",$K796=""),"",IF(COUNTIFS(Payments!$G$5:$G$2500,$K796,Payments!$C$5:$C$2500,"&lt;&gt;")=0,"",_xlfn.MAXIFS(Payments!$C$5:$C$2500,Payments!$G$5:$G$2500,$K796)))</f>
      </c>
      <c r="F796" s="34">
        <f>IF(OR($D796="",$K796=""),"",SUMIF(Payments!$G$5:$G$2500,$K796,Payments!$D$5:$D$2500))</f>
      </c>
      <c r="G796" s="36">
        <f>IF($D796="","",ROUND($D796-IF($F796="",0,$F796),2))</f>
      </c>
      <c r="H796" s="35">
        <f>IF(OR($D796="",$K796=""),"",COUNTIF(Payments!$G$5:$G$2500,$K796))</f>
      </c>
      <c r="I796" s="37">
        <f>IF($D796="","",IF(OR($F796="",$F796=0),"Pending",IF(ROUND($F796-$D796,2)&gt;0,"Overpaid",IF(ROUND($F796-$D796,2)=0,"Paid","Partial"))))</f>
      </c>
      <c r="J796" s="29"/>
      <c r="K796">
        <f>IF($A796="","","#"&amp;TRIM(SUBSTITUTE(SUBSTITUTE(SUBSTITUTE(SUBSTITUTE(SUBSTITUTE(SUBSTITUTE($A796,"-",""),"(",""),")",""),".",""),"+","")," ","")))</f>
      </c>
    </row>
    <row r="797" spans="1:11" x14ac:dyDescent="0.3">
      <c r="A797" s="28"/>
      <c r="B797" s="29"/>
      <c r="C797" s="30"/>
      <c r="D797" s="31"/>
      <c r="E797" s="33">
        <f>IF(OR($D797="",$K797=""),"",IF(COUNTIFS(Payments!$G$5:$G$2500,$K797,Payments!$C$5:$C$2500,"&lt;&gt;")=0,"",_xlfn.MAXIFS(Payments!$C$5:$C$2500,Payments!$G$5:$G$2500,$K797)))</f>
      </c>
      <c r="F797" s="34">
        <f>IF(OR($D797="",$K797=""),"",SUMIF(Payments!$G$5:$G$2500,$K797,Payments!$D$5:$D$2500))</f>
      </c>
      <c r="G797" s="36">
        <f>IF($D797="","",ROUND($D797-IF($F797="",0,$F797),2))</f>
      </c>
      <c r="H797" s="35">
        <f>IF(OR($D797="",$K797=""),"",COUNTIF(Payments!$G$5:$G$2500,$K797))</f>
      </c>
      <c r="I797" s="37">
        <f>IF($D797="","",IF(OR($F797="",$F797=0),"Pending",IF(ROUND($F797-$D797,2)&gt;0,"Overpaid",IF(ROUND($F797-$D797,2)=0,"Paid","Partial"))))</f>
      </c>
      <c r="J797" s="29"/>
      <c r="K797">
        <f>IF($A797="","","#"&amp;TRIM(SUBSTITUTE(SUBSTITUTE(SUBSTITUTE(SUBSTITUTE(SUBSTITUTE(SUBSTITUTE($A797,"-",""),"(",""),")",""),".",""),"+","")," ","")))</f>
      </c>
    </row>
    <row r="798" spans="1:11" x14ac:dyDescent="0.3">
      <c r="A798" s="28"/>
      <c r="B798" s="29"/>
      <c r="C798" s="30"/>
      <c r="D798" s="31"/>
      <c r="E798" s="33">
        <f>IF(OR($D798="",$K798=""),"",IF(COUNTIFS(Payments!$G$5:$G$2500,$K798,Payments!$C$5:$C$2500,"&lt;&gt;")=0,"",_xlfn.MAXIFS(Payments!$C$5:$C$2500,Payments!$G$5:$G$2500,$K798)))</f>
      </c>
      <c r="F798" s="34">
        <f>IF(OR($D798="",$K798=""),"",SUMIF(Payments!$G$5:$G$2500,$K798,Payments!$D$5:$D$2500))</f>
      </c>
      <c r="G798" s="36">
        <f>IF($D798="","",ROUND($D798-IF($F798="",0,$F798),2))</f>
      </c>
      <c r="H798" s="35">
        <f>IF(OR($D798="",$K798=""),"",COUNTIF(Payments!$G$5:$G$2500,$K798))</f>
      </c>
      <c r="I798" s="37">
        <f>IF($D798="","",IF(OR($F798="",$F798=0),"Pending",IF(ROUND($F798-$D798,2)&gt;0,"Overpaid",IF(ROUND($F798-$D798,2)=0,"Paid","Partial"))))</f>
      </c>
      <c r="J798" s="29"/>
      <c r="K798">
        <f>IF($A798="","","#"&amp;TRIM(SUBSTITUTE(SUBSTITUTE(SUBSTITUTE(SUBSTITUTE(SUBSTITUTE(SUBSTITUTE($A798,"-",""),"(",""),")",""),".",""),"+","")," ","")))</f>
      </c>
    </row>
    <row r="799" spans="1:11" x14ac:dyDescent="0.3">
      <c r="A799" s="28"/>
      <c r="B799" s="29"/>
      <c r="C799" s="30"/>
      <c r="D799" s="31"/>
      <c r="E799" s="33">
        <f>IF(OR($D799="",$K799=""),"",IF(COUNTIFS(Payments!$G$5:$G$2500,$K799,Payments!$C$5:$C$2500,"&lt;&gt;")=0,"",_xlfn.MAXIFS(Payments!$C$5:$C$2500,Payments!$G$5:$G$2500,$K799)))</f>
      </c>
      <c r="F799" s="34">
        <f>IF(OR($D799="",$K799=""),"",SUMIF(Payments!$G$5:$G$2500,$K799,Payments!$D$5:$D$2500))</f>
      </c>
      <c r="G799" s="36">
        <f>IF($D799="","",ROUND($D799-IF($F799="",0,$F799),2))</f>
      </c>
      <c r="H799" s="35">
        <f>IF(OR($D799="",$K799=""),"",COUNTIF(Payments!$G$5:$G$2500,$K799))</f>
      </c>
      <c r="I799" s="37">
        <f>IF($D799="","",IF(OR($F799="",$F799=0),"Pending",IF(ROUND($F799-$D799,2)&gt;0,"Overpaid",IF(ROUND($F799-$D799,2)=0,"Paid","Partial"))))</f>
      </c>
      <c r="J799" s="29"/>
      <c r="K799">
        <f>IF($A799="","","#"&amp;TRIM(SUBSTITUTE(SUBSTITUTE(SUBSTITUTE(SUBSTITUTE(SUBSTITUTE(SUBSTITUTE($A799,"-",""),"(",""),")",""),".",""),"+","")," ","")))</f>
      </c>
    </row>
    <row r="800" spans="1:11" x14ac:dyDescent="0.3">
      <c r="A800" s="28"/>
      <c r="B800" s="29"/>
      <c r="C800" s="30"/>
      <c r="D800" s="31"/>
      <c r="E800" s="33">
        <f>IF(OR($D800="",$K800=""),"",IF(COUNTIFS(Payments!$G$5:$G$2500,$K800,Payments!$C$5:$C$2500,"&lt;&gt;")=0,"",_xlfn.MAXIFS(Payments!$C$5:$C$2500,Payments!$G$5:$G$2500,$K800)))</f>
      </c>
      <c r="F800" s="34">
        <f>IF(OR($D800="",$K800=""),"",SUMIF(Payments!$G$5:$G$2500,$K800,Payments!$D$5:$D$2500))</f>
      </c>
      <c r="G800" s="36">
        <f>IF($D800="","",ROUND($D800-IF($F800="",0,$F800),2))</f>
      </c>
      <c r="H800" s="35">
        <f>IF(OR($D800="",$K800=""),"",COUNTIF(Payments!$G$5:$G$2500,$K800))</f>
      </c>
      <c r="I800" s="37">
        <f>IF($D800="","",IF(OR($F800="",$F800=0),"Pending",IF(ROUND($F800-$D800,2)&gt;0,"Overpaid",IF(ROUND($F800-$D800,2)=0,"Paid","Partial"))))</f>
      </c>
      <c r="J800" s="29"/>
      <c r="K800">
        <f>IF($A800="","","#"&amp;TRIM(SUBSTITUTE(SUBSTITUTE(SUBSTITUTE(SUBSTITUTE(SUBSTITUTE(SUBSTITUTE($A800,"-",""),"(",""),")",""),".",""),"+","")," ","")))</f>
      </c>
    </row>
    <row r="801" spans="1:11" x14ac:dyDescent="0.3">
      <c r="A801" s="28"/>
      <c r="B801" s="29"/>
      <c r="C801" s="30"/>
      <c r="D801" s="31"/>
      <c r="E801" s="33">
        <f>IF(OR($D801="",$K801=""),"",IF(COUNTIFS(Payments!$G$5:$G$2500,$K801,Payments!$C$5:$C$2500,"&lt;&gt;")=0,"",_xlfn.MAXIFS(Payments!$C$5:$C$2500,Payments!$G$5:$G$2500,$K801)))</f>
      </c>
      <c r="F801" s="34">
        <f>IF(OR($D801="",$K801=""),"",SUMIF(Payments!$G$5:$G$2500,$K801,Payments!$D$5:$D$2500))</f>
      </c>
      <c r="G801" s="36">
        <f>IF($D801="","",ROUND($D801-IF($F801="",0,$F801),2))</f>
      </c>
      <c r="H801" s="35">
        <f>IF(OR($D801="",$K801=""),"",COUNTIF(Payments!$G$5:$G$2500,$K801))</f>
      </c>
      <c r="I801" s="37">
        <f>IF($D801="","",IF(OR($F801="",$F801=0),"Pending",IF(ROUND($F801-$D801,2)&gt;0,"Overpaid",IF(ROUND($F801-$D801,2)=0,"Paid","Partial"))))</f>
      </c>
      <c r="J801" s="29"/>
      <c r="K801">
        <f>IF($A801="","","#"&amp;TRIM(SUBSTITUTE(SUBSTITUTE(SUBSTITUTE(SUBSTITUTE(SUBSTITUTE(SUBSTITUTE($A801,"-",""),"(",""),")",""),".",""),"+","")," ","")))</f>
      </c>
    </row>
    <row r="802" spans="1:11" x14ac:dyDescent="0.3">
      <c r="A802" s="28"/>
      <c r="B802" s="29"/>
      <c r="C802" s="30"/>
      <c r="D802" s="31"/>
      <c r="E802" s="33">
        <f>IF(OR($D802="",$K802=""),"",IF(COUNTIFS(Payments!$G$5:$G$2500,$K802,Payments!$C$5:$C$2500,"&lt;&gt;")=0,"",_xlfn.MAXIFS(Payments!$C$5:$C$2500,Payments!$G$5:$G$2500,$K802)))</f>
      </c>
      <c r="F802" s="34">
        <f>IF(OR($D802="",$K802=""),"",SUMIF(Payments!$G$5:$G$2500,$K802,Payments!$D$5:$D$2500))</f>
      </c>
      <c r="G802" s="36">
        <f>IF($D802="","",ROUND($D802-IF($F802="",0,$F802),2))</f>
      </c>
      <c r="H802" s="35">
        <f>IF(OR($D802="",$K802=""),"",COUNTIF(Payments!$G$5:$G$2500,$K802))</f>
      </c>
      <c r="I802" s="37">
        <f>IF($D802="","",IF(OR($F802="",$F802=0),"Pending",IF(ROUND($F802-$D802,2)&gt;0,"Overpaid",IF(ROUND($F802-$D802,2)=0,"Paid","Partial"))))</f>
      </c>
      <c r="J802" s="29"/>
      <c r="K802">
        <f>IF($A802="","","#"&amp;TRIM(SUBSTITUTE(SUBSTITUTE(SUBSTITUTE(SUBSTITUTE(SUBSTITUTE(SUBSTITUTE($A802,"-",""),"(",""),")",""),".",""),"+","")," ","")))</f>
      </c>
    </row>
    <row r="803" spans="1:11" x14ac:dyDescent="0.3">
      <c r="A803" s="28"/>
      <c r="B803" s="29"/>
      <c r="C803" s="30"/>
      <c r="D803" s="31"/>
      <c r="E803" s="33">
        <f>IF(OR($D803="",$K803=""),"",IF(COUNTIFS(Payments!$G$5:$G$2500,$K803,Payments!$C$5:$C$2500,"&lt;&gt;")=0,"",_xlfn.MAXIFS(Payments!$C$5:$C$2500,Payments!$G$5:$G$2500,$K803)))</f>
      </c>
      <c r="F803" s="34">
        <f>IF(OR($D803="",$K803=""),"",SUMIF(Payments!$G$5:$G$2500,$K803,Payments!$D$5:$D$2500))</f>
      </c>
      <c r="G803" s="36">
        <f>IF($D803="","",ROUND($D803-IF($F803="",0,$F803),2))</f>
      </c>
      <c r="H803" s="35">
        <f>IF(OR($D803="",$K803=""),"",COUNTIF(Payments!$G$5:$G$2500,$K803))</f>
      </c>
      <c r="I803" s="37">
        <f>IF($D803="","",IF(OR($F803="",$F803=0),"Pending",IF(ROUND($F803-$D803,2)&gt;0,"Overpaid",IF(ROUND($F803-$D803,2)=0,"Paid","Partial"))))</f>
      </c>
      <c r="J803" s="29"/>
      <c r="K803">
        <f>IF($A803="","","#"&amp;TRIM(SUBSTITUTE(SUBSTITUTE(SUBSTITUTE(SUBSTITUTE(SUBSTITUTE(SUBSTITUTE($A803,"-",""),"(",""),")",""),".",""),"+","")," ","")))</f>
      </c>
    </row>
    <row r="804" spans="1:11" x14ac:dyDescent="0.3">
      <c r="A804" s="28"/>
      <c r="B804" s="29"/>
      <c r="C804" s="30"/>
      <c r="D804" s="31"/>
      <c r="E804" s="33">
        <f>IF(OR($D804="",$K804=""),"",IF(COUNTIFS(Payments!$G$5:$G$2500,$K804,Payments!$C$5:$C$2500,"&lt;&gt;")=0,"",_xlfn.MAXIFS(Payments!$C$5:$C$2500,Payments!$G$5:$G$2500,$K804)))</f>
      </c>
      <c r="F804" s="34">
        <f>IF(OR($D804="",$K804=""),"",SUMIF(Payments!$G$5:$G$2500,$K804,Payments!$D$5:$D$2500))</f>
      </c>
      <c r="G804" s="36">
        <f>IF($D804="","",ROUND($D804-IF($F804="",0,$F804),2))</f>
      </c>
      <c r="H804" s="35">
        <f>IF(OR($D804="",$K804=""),"",COUNTIF(Payments!$G$5:$G$2500,$K804))</f>
      </c>
      <c r="I804" s="37">
        <f>IF($D804="","",IF(OR($F804="",$F804=0),"Pending",IF(ROUND($F804-$D804,2)&gt;0,"Overpaid",IF(ROUND($F804-$D804,2)=0,"Paid","Partial"))))</f>
      </c>
      <c r="J804" s="29"/>
      <c r="K804">
        <f>IF($A804="","","#"&amp;TRIM(SUBSTITUTE(SUBSTITUTE(SUBSTITUTE(SUBSTITUTE(SUBSTITUTE(SUBSTITUTE($A804,"-",""),"(",""),")",""),".",""),"+","")," ","")))</f>
      </c>
    </row>
    <row r="805" spans="1:11" x14ac:dyDescent="0.3">
      <c r="A805" s="28"/>
      <c r="B805" s="29"/>
      <c r="C805" s="30"/>
      <c r="D805" s="31"/>
      <c r="E805" s="33">
        <f>IF(OR($D805="",$K805=""),"",IF(COUNTIFS(Payments!$G$5:$G$2500,$K805,Payments!$C$5:$C$2500,"&lt;&gt;")=0,"",_xlfn.MAXIFS(Payments!$C$5:$C$2500,Payments!$G$5:$G$2500,$K805)))</f>
      </c>
      <c r="F805" s="34">
        <f>IF(OR($D805="",$K805=""),"",SUMIF(Payments!$G$5:$G$2500,$K805,Payments!$D$5:$D$2500))</f>
      </c>
      <c r="G805" s="36">
        <f>IF($D805="","",ROUND($D805-IF($F805="",0,$F805),2))</f>
      </c>
      <c r="H805" s="35">
        <f>IF(OR($D805="",$K805=""),"",COUNTIF(Payments!$G$5:$G$2500,$K805))</f>
      </c>
      <c r="I805" s="37">
        <f>IF($D805="","",IF(OR($F805="",$F805=0),"Pending",IF(ROUND($F805-$D805,2)&gt;0,"Overpaid",IF(ROUND($F805-$D805,2)=0,"Paid","Partial"))))</f>
      </c>
      <c r="J805" s="29"/>
      <c r="K805">
        <f>IF($A805="","","#"&amp;TRIM(SUBSTITUTE(SUBSTITUTE(SUBSTITUTE(SUBSTITUTE(SUBSTITUTE(SUBSTITUTE($A805,"-",""),"(",""),")",""),".",""),"+","")," ","")))</f>
      </c>
    </row>
    <row r="806" spans="1:11" x14ac:dyDescent="0.3">
      <c r="A806" s="28"/>
      <c r="B806" s="29"/>
      <c r="C806" s="30"/>
      <c r="D806" s="31"/>
      <c r="E806" s="33">
        <f>IF(OR($D806="",$K806=""),"",IF(COUNTIFS(Payments!$G$5:$G$2500,$K806,Payments!$C$5:$C$2500,"&lt;&gt;")=0,"",_xlfn.MAXIFS(Payments!$C$5:$C$2500,Payments!$G$5:$G$2500,$K806)))</f>
      </c>
      <c r="F806" s="34">
        <f>IF(OR($D806="",$K806=""),"",SUMIF(Payments!$G$5:$G$2500,$K806,Payments!$D$5:$D$2500))</f>
      </c>
      <c r="G806" s="36">
        <f>IF($D806="","",ROUND($D806-IF($F806="",0,$F806),2))</f>
      </c>
      <c r="H806" s="35">
        <f>IF(OR($D806="",$K806=""),"",COUNTIF(Payments!$G$5:$G$2500,$K806))</f>
      </c>
      <c r="I806" s="37">
        <f>IF($D806="","",IF(OR($F806="",$F806=0),"Pending",IF(ROUND($F806-$D806,2)&gt;0,"Overpaid",IF(ROUND($F806-$D806,2)=0,"Paid","Partial"))))</f>
      </c>
      <c r="J806" s="29"/>
      <c r="K806">
        <f>IF($A806="","","#"&amp;TRIM(SUBSTITUTE(SUBSTITUTE(SUBSTITUTE(SUBSTITUTE(SUBSTITUTE(SUBSTITUTE($A806,"-",""),"(",""),")",""),".",""),"+","")," ","")))</f>
      </c>
    </row>
    <row r="807" spans="1:11" x14ac:dyDescent="0.3">
      <c r="A807" s="28"/>
      <c r="B807" s="29"/>
      <c r="C807" s="30"/>
      <c r="D807" s="31"/>
      <c r="E807" s="33">
        <f>IF(OR($D807="",$K807=""),"",IF(COUNTIFS(Payments!$G$5:$G$2500,$K807,Payments!$C$5:$C$2500,"&lt;&gt;")=0,"",_xlfn.MAXIFS(Payments!$C$5:$C$2500,Payments!$G$5:$G$2500,$K807)))</f>
      </c>
      <c r="F807" s="34">
        <f>IF(OR($D807="",$K807=""),"",SUMIF(Payments!$G$5:$G$2500,$K807,Payments!$D$5:$D$2500))</f>
      </c>
      <c r="G807" s="36">
        <f>IF($D807="","",ROUND($D807-IF($F807="",0,$F807),2))</f>
      </c>
      <c r="H807" s="35">
        <f>IF(OR($D807="",$K807=""),"",COUNTIF(Payments!$G$5:$G$2500,$K807))</f>
      </c>
      <c r="I807" s="37">
        <f>IF($D807="","",IF(OR($F807="",$F807=0),"Pending",IF(ROUND($F807-$D807,2)&gt;0,"Overpaid",IF(ROUND($F807-$D807,2)=0,"Paid","Partial"))))</f>
      </c>
      <c r="J807" s="29"/>
      <c r="K807">
        <f>IF($A807="","","#"&amp;TRIM(SUBSTITUTE(SUBSTITUTE(SUBSTITUTE(SUBSTITUTE(SUBSTITUTE(SUBSTITUTE($A807,"-",""),"(",""),")",""),".",""),"+","")," ","")))</f>
      </c>
    </row>
    <row r="808" spans="1:11" x14ac:dyDescent="0.3">
      <c r="A808" s="28"/>
      <c r="B808" s="29"/>
      <c r="C808" s="30"/>
      <c r="D808" s="31"/>
      <c r="E808" s="33">
        <f>IF(OR($D808="",$K808=""),"",IF(COUNTIFS(Payments!$G$5:$G$2500,$K808,Payments!$C$5:$C$2500,"&lt;&gt;")=0,"",_xlfn.MAXIFS(Payments!$C$5:$C$2500,Payments!$G$5:$G$2500,$K808)))</f>
      </c>
      <c r="F808" s="34">
        <f>IF(OR($D808="",$K808=""),"",SUMIF(Payments!$G$5:$G$2500,$K808,Payments!$D$5:$D$2500))</f>
      </c>
      <c r="G808" s="36">
        <f>IF($D808="","",ROUND($D808-IF($F808="",0,$F808),2))</f>
      </c>
      <c r="H808" s="35">
        <f>IF(OR($D808="",$K808=""),"",COUNTIF(Payments!$G$5:$G$2500,$K808))</f>
      </c>
      <c r="I808" s="37">
        <f>IF($D808="","",IF(OR($F808="",$F808=0),"Pending",IF(ROUND($F808-$D808,2)&gt;0,"Overpaid",IF(ROUND($F808-$D808,2)=0,"Paid","Partial"))))</f>
      </c>
      <c r="J808" s="29"/>
      <c r="K808">
        <f>IF($A808="","","#"&amp;TRIM(SUBSTITUTE(SUBSTITUTE(SUBSTITUTE(SUBSTITUTE(SUBSTITUTE(SUBSTITUTE($A808,"-",""),"(",""),")",""),".",""),"+","")," ","")))</f>
      </c>
    </row>
    <row r="809" spans="1:11" x14ac:dyDescent="0.3">
      <c r="A809" s="28"/>
      <c r="B809" s="29"/>
      <c r="C809" s="30"/>
      <c r="D809" s="31"/>
      <c r="E809" s="33">
        <f>IF(OR($D809="",$K809=""),"",IF(COUNTIFS(Payments!$G$5:$G$2500,$K809,Payments!$C$5:$C$2500,"&lt;&gt;")=0,"",_xlfn.MAXIFS(Payments!$C$5:$C$2500,Payments!$G$5:$G$2500,$K809)))</f>
      </c>
      <c r="F809" s="34">
        <f>IF(OR($D809="",$K809=""),"",SUMIF(Payments!$G$5:$G$2500,$K809,Payments!$D$5:$D$2500))</f>
      </c>
      <c r="G809" s="36">
        <f>IF($D809="","",ROUND($D809-IF($F809="",0,$F809),2))</f>
      </c>
      <c r="H809" s="35">
        <f>IF(OR($D809="",$K809=""),"",COUNTIF(Payments!$G$5:$G$2500,$K809))</f>
      </c>
      <c r="I809" s="37">
        <f>IF($D809="","",IF(OR($F809="",$F809=0),"Pending",IF(ROUND($F809-$D809,2)&gt;0,"Overpaid",IF(ROUND($F809-$D809,2)=0,"Paid","Partial"))))</f>
      </c>
      <c r="J809" s="29"/>
      <c r="K809">
        <f>IF($A809="","","#"&amp;TRIM(SUBSTITUTE(SUBSTITUTE(SUBSTITUTE(SUBSTITUTE(SUBSTITUTE(SUBSTITUTE($A809,"-",""),"(",""),")",""),".",""),"+","")," ","")))</f>
      </c>
    </row>
    <row r="810" spans="1:11" x14ac:dyDescent="0.3">
      <c r="A810" s="28"/>
      <c r="B810" s="29"/>
      <c r="C810" s="30"/>
      <c r="D810" s="31"/>
      <c r="E810" s="33">
        <f>IF(OR($D810="",$K810=""),"",IF(COUNTIFS(Payments!$G$5:$G$2500,$K810,Payments!$C$5:$C$2500,"&lt;&gt;")=0,"",_xlfn.MAXIFS(Payments!$C$5:$C$2500,Payments!$G$5:$G$2500,$K810)))</f>
      </c>
      <c r="F810" s="34">
        <f>IF(OR($D810="",$K810=""),"",SUMIF(Payments!$G$5:$G$2500,$K810,Payments!$D$5:$D$2500))</f>
      </c>
      <c r="G810" s="36">
        <f>IF($D810="","",ROUND($D810-IF($F810="",0,$F810),2))</f>
      </c>
      <c r="H810" s="35">
        <f>IF(OR($D810="",$K810=""),"",COUNTIF(Payments!$G$5:$G$2500,$K810))</f>
      </c>
      <c r="I810" s="37">
        <f>IF($D810="","",IF(OR($F810="",$F810=0),"Pending",IF(ROUND($F810-$D810,2)&gt;0,"Overpaid",IF(ROUND($F810-$D810,2)=0,"Paid","Partial"))))</f>
      </c>
      <c r="J810" s="29"/>
      <c r="K810">
        <f>IF($A810="","","#"&amp;TRIM(SUBSTITUTE(SUBSTITUTE(SUBSTITUTE(SUBSTITUTE(SUBSTITUTE(SUBSTITUTE($A810,"-",""),"(",""),")",""),".",""),"+","")," ","")))</f>
      </c>
    </row>
    <row r="811" spans="1:11" x14ac:dyDescent="0.3">
      <c r="A811" s="28"/>
      <c r="B811" s="29"/>
      <c r="C811" s="30"/>
      <c r="D811" s="31"/>
      <c r="E811" s="33">
        <f>IF(OR($D811="",$K811=""),"",IF(COUNTIFS(Payments!$G$5:$G$2500,$K811,Payments!$C$5:$C$2500,"&lt;&gt;")=0,"",_xlfn.MAXIFS(Payments!$C$5:$C$2500,Payments!$G$5:$G$2500,$K811)))</f>
      </c>
      <c r="F811" s="34">
        <f>IF(OR($D811="",$K811=""),"",SUMIF(Payments!$G$5:$G$2500,$K811,Payments!$D$5:$D$2500))</f>
      </c>
      <c r="G811" s="36">
        <f>IF($D811="","",ROUND($D811-IF($F811="",0,$F811),2))</f>
      </c>
      <c r="H811" s="35">
        <f>IF(OR($D811="",$K811=""),"",COUNTIF(Payments!$G$5:$G$2500,$K811))</f>
      </c>
      <c r="I811" s="37">
        <f>IF($D811="","",IF(OR($F811="",$F811=0),"Pending",IF(ROUND($F811-$D811,2)&gt;0,"Overpaid",IF(ROUND($F811-$D811,2)=0,"Paid","Partial"))))</f>
      </c>
      <c r="J811" s="29"/>
      <c r="K811">
        <f>IF($A811="","","#"&amp;TRIM(SUBSTITUTE(SUBSTITUTE(SUBSTITUTE(SUBSTITUTE(SUBSTITUTE(SUBSTITUTE($A811,"-",""),"(",""),")",""),".",""),"+","")," ","")))</f>
      </c>
    </row>
    <row r="812" spans="1:11" x14ac:dyDescent="0.3">
      <c r="A812" s="28"/>
      <c r="B812" s="29"/>
      <c r="C812" s="30"/>
      <c r="D812" s="31"/>
      <c r="E812" s="33">
        <f>IF(OR($D812="",$K812=""),"",IF(COUNTIFS(Payments!$G$5:$G$2500,$K812,Payments!$C$5:$C$2500,"&lt;&gt;")=0,"",_xlfn.MAXIFS(Payments!$C$5:$C$2500,Payments!$G$5:$G$2500,$K812)))</f>
      </c>
      <c r="F812" s="34">
        <f>IF(OR($D812="",$K812=""),"",SUMIF(Payments!$G$5:$G$2500,$K812,Payments!$D$5:$D$2500))</f>
      </c>
      <c r="G812" s="36">
        <f>IF($D812="","",ROUND($D812-IF($F812="",0,$F812),2))</f>
      </c>
      <c r="H812" s="35">
        <f>IF(OR($D812="",$K812=""),"",COUNTIF(Payments!$G$5:$G$2500,$K812))</f>
      </c>
      <c r="I812" s="37">
        <f>IF($D812="","",IF(OR($F812="",$F812=0),"Pending",IF(ROUND($F812-$D812,2)&gt;0,"Overpaid",IF(ROUND($F812-$D812,2)=0,"Paid","Partial"))))</f>
      </c>
      <c r="J812" s="29"/>
      <c r="K812">
        <f>IF($A812="","","#"&amp;TRIM(SUBSTITUTE(SUBSTITUTE(SUBSTITUTE(SUBSTITUTE(SUBSTITUTE(SUBSTITUTE($A812,"-",""),"(",""),")",""),".",""),"+","")," ","")))</f>
      </c>
    </row>
    <row r="813" spans="1:11" x14ac:dyDescent="0.3">
      <c r="A813" s="28"/>
      <c r="B813" s="29"/>
      <c r="C813" s="30"/>
      <c r="D813" s="31"/>
      <c r="E813" s="33">
        <f>IF(OR($D813="",$K813=""),"",IF(COUNTIFS(Payments!$G$5:$G$2500,$K813,Payments!$C$5:$C$2500,"&lt;&gt;")=0,"",_xlfn.MAXIFS(Payments!$C$5:$C$2500,Payments!$G$5:$G$2500,$K813)))</f>
      </c>
      <c r="F813" s="34">
        <f>IF(OR($D813="",$K813=""),"",SUMIF(Payments!$G$5:$G$2500,$K813,Payments!$D$5:$D$2500))</f>
      </c>
      <c r="G813" s="36">
        <f>IF($D813="","",ROUND($D813-IF($F813="",0,$F813),2))</f>
      </c>
      <c r="H813" s="35">
        <f>IF(OR($D813="",$K813=""),"",COUNTIF(Payments!$G$5:$G$2500,$K813))</f>
      </c>
      <c r="I813" s="37">
        <f>IF($D813="","",IF(OR($F813="",$F813=0),"Pending",IF(ROUND($F813-$D813,2)&gt;0,"Overpaid",IF(ROUND($F813-$D813,2)=0,"Paid","Partial"))))</f>
      </c>
      <c r="J813" s="29"/>
      <c r="K813">
        <f>IF($A813="","","#"&amp;TRIM(SUBSTITUTE(SUBSTITUTE(SUBSTITUTE(SUBSTITUTE(SUBSTITUTE(SUBSTITUTE($A813,"-",""),"(",""),")",""),".",""),"+","")," ","")))</f>
      </c>
    </row>
    <row r="814" spans="1:11" x14ac:dyDescent="0.3">
      <c r="A814" s="28"/>
      <c r="B814" s="29"/>
      <c r="C814" s="30"/>
      <c r="D814" s="31"/>
      <c r="E814" s="33">
        <f>IF(OR($D814="",$K814=""),"",IF(COUNTIFS(Payments!$G$5:$G$2500,$K814,Payments!$C$5:$C$2500,"&lt;&gt;")=0,"",_xlfn.MAXIFS(Payments!$C$5:$C$2500,Payments!$G$5:$G$2500,$K814)))</f>
      </c>
      <c r="F814" s="34">
        <f>IF(OR($D814="",$K814=""),"",SUMIF(Payments!$G$5:$G$2500,$K814,Payments!$D$5:$D$2500))</f>
      </c>
      <c r="G814" s="36">
        <f>IF($D814="","",ROUND($D814-IF($F814="",0,$F814),2))</f>
      </c>
      <c r="H814" s="35">
        <f>IF(OR($D814="",$K814=""),"",COUNTIF(Payments!$G$5:$G$2500,$K814))</f>
      </c>
      <c r="I814" s="37">
        <f>IF($D814="","",IF(OR($F814="",$F814=0),"Pending",IF(ROUND($F814-$D814,2)&gt;0,"Overpaid",IF(ROUND($F814-$D814,2)=0,"Paid","Partial"))))</f>
      </c>
      <c r="J814" s="29"/>
      <c r="K814">
        <f>IF($A814="","","#"&amp;TRIM(SUBSTITUTE(SUBSTITUTE(SUBSTITUTE(SUBSTITUTE(SUBSTITUTE(SUBSTITUTE($A814,"-",""),"(",""),")",""),".",""),"+","")," ","")))</f>
      </c>
    </row>
    <row r="815" spans="1:11" x14ac:dyDescent="0.3">
      <c r="A815" s="28"/>
      <c r="B815" s="29"/>
      <c r="C815" s="30"/>
      <c r="D815" s="31"/>
      <c r="E815" s="33">
        <f>IF(OR($D815="",$K815=""),"",IF(COUNTIFS(Payments!$G$5:$G$2500,$K815,Payments!$C$5:$C$2500,"&lt;&gt;")=0,"",_xlfn.MAXIFS(Payments!$C$5:$C$2500,Payments!$G$5:$G$2500,$K815)))</f>
      </c>
      <c r="F815" s="34">
        <f>IF(OR($D815="",$K815=""),"",SUMIF(Payments!$G$5:$G$2500,$K815,Payments!$D$5:$D$2500))</f>
      </c>
      <c r="G815" s="36">
        <f>IF($D815="","",ROUND($D815-IF($F815="",0,$F815),2))</f>
      </c>
      <c r="H815" s="35">
        <f>IF(OR($D815="",$K815=""),"",COUNTIF(Payments!$G$5:$G$2500,$K815))</f>
      </c>
      <c r="I815" s="37">
        <f>IF($D815="","",IF(OR($F815="",$F815=0),"Pending",IF(ROUND($F815-$D815,2)&gt;0,"Overpaid",IF(ROUND($F815-$D815,2)=0,"Paid","Partial"))))</f>
      </c>
      <c r="J815" s="29"/>
      <c r="K815">
        <f>IF($A815="","","#"&amp;TRIM(SUBSTITUTE(SUBSTITUTE(SUBSTITUTE(SUBSTITUTE(SUBSTITUTE(SUBSTITUTE($A815,"-",""),"(",""),")",""),".",""),"+","")," ","")))</f>
      </c>
    </row>
    <row r="816" spans="1:11" x14ac:dyDescent="0.3">
      <c r="A816" s="28"/>
      <c r="B816" s="29"/>
      <c r="C816" s="30"/>
      <c r="D816" s="31"/>
      <c r="E816" s="33">
        <f>IF(OR($D816="",$K816=""),"",IF(COUNTIFS(Payments!$G$5:$G$2500,$K816,Payments!$C$5:$C$2500,"&lt;&gt;")=0,"",_xlfn.MAXIFS(Payments!$C$5:$C$2500,Payments!$G$5:$G$2500,$K816)))</f>
      </c>
      <c r="F816" s="34">
        <f>IF(OR($D816="",$K816=""),"",SUMIF(Payments!$G$5:$G$2500,$K816,Payments!$D$5:$D$2500))</f>
      </c>
      <c r="G816" s="36">
        <f>IF($D816="","",ROUND($D816-IF($F816="",0,$F816),2))</f>
      </c>
      <c r="H816" s="35">
        <f>IF(OR($D816="",$K816=""),"",COUNTIF(Payments!$G$5:$G$2500,$K816))</f>
      </c>
      <c r="I816" s="37">
        <f>IF($D816="","",IF(OR($F816="",$F816=0),"Pending",IF(ROUND($F816-$D816,2)&gt;0,"Overpaid",IF(ROUND($F816-$D816,2)=0,"Paid","Partial"))))</f>
      </c>
      <c r="J816" s="29"/>
      <c r="K816">
        <f>IF($A816="","","#"&amp;TRIM(SUBSTITUTE(SUBSTITUTE(SUBSTITUTE(SUBSTITUTE(SUBSTITUTE(SUBSTITUTE($A816,"-",""),"(",""),")",""),".",""),"+","")," ","")))</f>
      </c>
    </row>
    <row r="817" spans="1:11" x14ac:dyDescent="0.3">
      <c r="A817" s="28"/>
      <c r="B817" s="29"/>
      <c r="C817" s="30"/>
      <c r="D817" s="31"/>
      <c r="E817" s="33">
        <f>IF(OR($D817="",$K817=""),"",IF(COUNTIFS(Payments!$G$5:$G$2500,$K817,Payments!$C$5:$C$2500,"&lt;&gt;")=0,"",_xlfn.MAXIFS(Payments!$C$5:$C$2500,Payments!$G$5:$G$2500,$K817)))</f>
      </c>
      <c r="F817" s="34">
        <f>IF(OR($D817="",$K817=""),"",SUMIF(Payments!$G$5:$G$2500,$K817,Payments!$D$5:$D$2500))</f>
      </c>
      <c r="G817" s="36">
        <f>IF($D817="","",ROUND($D817-IF($F817="",0,$F817),2))</f>
      </c>
      <c r="H817" s="35">
        <f>IF(OR($D817="",$K817=""),"",COUNTIF(Payments!$G$5:$G$2500,$K817))</f>
      </c>
      <c r="I817" s="37">
        <f>IF($D817="","",IF(OR($F817="",$F817=0),"Pending",IF(ROUND($F817-$D817,2)&gt;0,"Overpaid",IF(ROUND($F817-$D817,2)=0,"Paid","Partial"))))</f>
      </c>
      <c r="J817" s="29"/>
      <c r="K817">
        <f>IF($A817="","","#"&amp;TRIM(SUBSTITUTE(SUBSTITUTE(SUBSTITUTE(SUBSTITUTE(SUBSTITUTE(SUBSTITUTE($A817,"-",""),"(",""),")",""),".",""),"+","")," ","")))</f>
      </c>
    </row>
    <row r="818" spans="1:11" x14ac:dyDescent="0.3">
      <c r="A818" s="28"/>
      <c r="B818" s="29"/>
      <c r="C818" s="30"/>
      <c r="D818" s="31"/>
      <c r="E818" s="33">
        <f>IF(OR($D818="",$K818=""),"",IF(COUNTIFS(Payments!$G$5:$G$2500,$K818,Payments!$C$5:$C$2500,"&lt;&gt;")=0,"",_xlfn.MAXIFS(Payments!$C$5:$C$2500,Payments!$G$5:$G$2500,$K818)))</f>
      </c>
      <c r="F818" s="34">
        <f>IF(OR($D818="",$K818=""),"",SUMIF(Payments!$G$5:$G$2500,$K818,Payments!$D$5:$D$2500))</f>
      </c>
      <c r="G818" s="36">
        <f>IF($D818="","",ROUND($D818-IF($F818="",0,$F818),2))</f>
      </c>
      <c r="H818" s="35">
        <f>IF(OR($D818="",$K818=""),"",COUNTIF(Payments!$G$5:$G$2500,$K818))</f>
      </c>
      <c r="I818" s="37">
        <f>IF($D818="","",IF(OR($F818="",$F818=0),"Pending",IF(ROUND($F818-$D818,2)&gt;0,"Overpaid",IF(ROUND($F818-$D818,2)=0,"Paid","Partial"))))</f>
      </c>
      <c r="J818" s="29"/>
      <c r="K818">
        <f>IF($A818="","","#"&amp;TRIM(SUBSTITUTE(SUBSTITUTE(SUBSTITUTE(SUBSTITUTE(SUBSTITUTE(SUBSTITUTE($A818,"-",""),"(",""),")",""),".",""),"+","")," ","")))</f>
      </c>
    </row>
    <row r="819" spans="1:11" x14ac:dyDescent="0.3">
      <c r="A819" s="28"/>
      <c r="B819" s="29"/>
      <c r="C819" s="30"/>
      <c r="D819" s="31"/>
      <c r="E819" s="33">
        <f>IF(OR($D819="",$K819=""),"",IF(COUNTIFS(Payments!$G$5:$G$2500,$K819,Payments!$C$5:$C$2500,"&lt;&gt;")=0,"",_xlfn.MAXIFS(Payments!$C$5:$C$2500,Payments!$G$5:$G$2500,$K819)))</f>
      </c>
      <c r="F819" s="34">
        <f>IF(OR($D819="",$K819=""),"",SUMIF(Payments!$G$5:$G$2500,$K819,Payments!$D$5:$D$2500))</f>
      </c>
      <c r="G819" s="36">
        <f>IF($D819="","",ROUND($D819-IF($F819="",0,$F819),2))</f>
      </c>
      <c r="H819" s="35">
        <f>IF(OR($D819="",$K819=""),"",COUNTIF(Payments!$G$5:$G$2500,$K819))</f>
      </c>
      <c r="I819" s="37">
        <f>IF($D819="","",IF(OR($F819="",$F819=0),"Pending",IF(ROUND($F819-$D819,2)&gt;0,"Overpaid",IF(ROUND($F819-$D819,2)=0,"Paid","Partial"))))</f>
      </c>
      <c r="J819" s="29"/>
      <c r="K819">
        <f>IF($A819="","","#"&amp;TRIM(SUBSTITUTE(SUBSTITUTE(SUBSTITUTE(SUBSTITUTE(SUBSTITUTE(SUBSTITUTE($A819,"-",""),"(",""),")",""),".",""),"+","")," ","")))</f>
      </c>
    </row>
    <row r="820" spans="1:11" x14ac:dyDescent="0.3">
      <c r="A820" s="28"/>
      <c r="B820" s="29"/>
      <c r="C820" s="30"/>
      <c r="D820" s="31"/>
      <c r="E820" s="33">
        <f>IF(OR($D820="",$K820=""),"",IF(COUNTIFS(Payments!$G$5:$G$2500,$K820,Payments!$C$5:$C$2500,"&lt;&gt;")=0,"",_xlfn.MAXIFS(Payments!$C$5:$C$2500,Payments!$G$5:$G$2500,$K820)))</f>
      </c>
      <c r="F820" s="34">
        <f>IF(OR($D820="",$K820=""),"",SUMIF(Payments!$G$5:$G$2500,$K820,Payments!$D$5:$D$2500))</f>
      </c>
      <c r="G820" s="36">
        <f>IF($D820="","",ROUND($D820-IF($F820="",0,$F820),2))</f>
      </c>
      <c r="H820" s="35">
        <f>IF(OR($D820="",$K820=""),"",COUNTIF(Payments!$G$5:$G$2500,$K820))</f>
      </c>
      <c r="I820" s="37">
        <f>IF($D820="","",IF(OR($F820="",$F820=0),"Pending",IF(ROUND($F820-$D820,2)&gt;0,"Overpaid",IF(ROUND($F820-$D820,2)=0,"Paid","Partial"))))</f>
      </c>
      <c r="J820" s="29"/>
      <c r="K820">
        <f>IF($A820="","","#"&amp;TRIM(SUBSTITUTE(SUBSTITUTE(SUBSTITUTE(SUBSTITUTE(SUBSTITUTE(SUBSTITUTE($A820,"-",""),"(",""),")",""),".",""),"+","")," ","")))</f>
      </c>
    </row>
    <row r="821" spans="1:11" x14ac:dyDescent="0.3">
      <c r="A821" s="28"/>
      <c r="B821" s="29"/>
      <c r="C821" s="30"/>
      <c r="D821" s="31"/>
      <c r="E821" s="33">
        <f>IF(OR($D821="",$K821=""),"",IF(COUNTIFS(Payments!$G$5:$G$2500,$K821,Payments!$C$5:$C$2500,"&lt;&gt;")=0,"",_xlfn.MAXIFS(Payments!$C$5:$C$2500,Payments!$G$5:$G$2500,$K821)))</f>
      </c>
      <c r="F821" s="34">
        <f>IF(OR($D821="",$K821=""),"",SUMIF(Payments!$G$5:$G$2500,$K821,Payments!$D$5:$D$2500))</f>
      </c>
      <c r="G821" s="36">
        <f>IF($D821="","",ROUND($D821-IF($F821="",0,$F821),2))</f>
      </c>
      <c r="H821" s="35">
        <f>IF(OR($D821="",$K821=""),"",COUNTIF(Payments!$G$5:$G$2500,$K821))</f>
      </c>
      <c r="I821" s="37">
        <f>IF($D821="","",IF(OR($F821="",$F821=0),"Pending",IF(ROUND($F821-$D821,2)&gt;0,"Overpaid",IF(ROUND($F821-$D821,2)=0,"Paid","Partial"))))</f>
      </c>
      <c r="J821" s="29"/>
      <c r="K821">
        <f>IF($A821="","","#"&amp;TRIM(SUBSTITUTE(SUBSTITUTE(SUBSTITUTE(SUBSTITUTE(SUBSTITUTE(SUBSTITUTE($A821,"-",""),"(",""),")",""),".",""),"+","")," ","")))</f>
      </c>
    </row>
    <row r="822" spans="1:11" x14ac:dyDescent="0.3">
      <c r="A822" s="28"/>
      <c r="B822" s="29"/>
      <c r="C822" s="30"/>
      <c r="D822" s="31"/>
      <c r="E822" s="33">
        <f>IF(OR($D822="",$K822=""),"",IF(COUNTIFS(Payments!$G$5:$G$2500,$K822,Payments!$C$5:$C$2500,"&lt;&gt;")=0,"",_xlfn.MAXIFS(Payments!$C$5:$C$2500,Payments!$G$5:$G$2500,$K822)))</f>
      </c>
      <c r="F822" s="34">
        <f>IF(OR($D822="",$K822=""),"",SUMIF(Payments!$G$5:$G$2500,$K822,Payments!$D$5:$D$2500))</f>
      </c>
      <c r="G822" s="36">
        <f>IF($D822="","",ROUND($D822-IF($F822="",0,$F822),2))</f>
      </c>
      <c r="H822" s="35">
        <f>IF(OR($D822="",$K822=""),"",COUNTIF(Payments!$G$5:$G$2500,$K822))</f>
      </c>
      <c r="I822" s="37">
        <f>IF($D822="","",IF(OR($F822="",$F822=0),"Pending",IF(ROUND($F822-$D822,2)&gt;0,"Overpaid",IF(ROUND($F822-$D822,2)=0,"Paid","Partial"))))</f>
      </c>
      <c r="J822" s="29"/>
      <c r="K822">
        <f>IF($A822="","","#"&amp;TRIM(SUBSTITUTE(SUBSTITUTE(SUBSTITUTE(SUBSTITUTE(SUBSTITUTE(SUBSTITUTE($A822,"-",""),"(",""),")",""),".",""),"+","")," ","")))</f>
      </c>
    </row>
    <row r="823" spans="1:11" x14ac:dyDescent="0.3">
      <c r="A823" s="28"/>
      <c r="B823" s="29"/>
      <c r="C823" s="30"/>
      <c r="D823" s="31"/>
      <c r="E823" s="33">
        <f>IF(OR($D823="",$K823=""),"",IF(COUNTIFS(Payments!$G$5:$G$2500,$K823,Payments!$C$5:$C$2500,"&lt;&gt;")=0,"",_xlfn.MAXIFS(Payments!$C$5:$C$2500,Payments!$G$5:$G$2500,$K823)))</f>
      </c>
      <c r="F823" s="34">
        <f>IF(OR($D823="",$K823=""),"",SUMIF(Payments!$G$5:$G$2500,$K823,Payments!$D$5:$D$2500))</f>
      </c>
      <c r="G823" s="36">
        <f>IF($D823="","",ROUND($D823-IF($F823="",0,$F823),2))</f>
      </c>
      <c r="H823" s="35">
        <f>IF(OR($D823="",$K823=""),"",COUNTIF(Payments!$G$5:$G$2500,$K823))</f>
      </c>
      <c r="I823" s="37">
        <f>IF($D823="","",IF(OR($F823="",$F823=0),"Pending",IF(ROUND($F823-$D823,2)&gt;0,"Overpaid",IF(ROUND($F823-$D823,2)=0,"Paid","Partial"))))</f>
      </c>
      <c r="J823" s="29"/>
      <c r="K823">
        <f>IF($A823="","","#"&amp;TRIM(SUBSTITUTE(SUBSTITUTE(SUBSTITUTE(SUBSTITUTE(SUBSTITUTE(SUBSTITUTE($A823,"-",""),"(",""),")",""),".",""),"+","")," ","")))</f>
      </c>
    </row>
    <row r="824" spans="1:11" x14ac:dyDescent="0.3">
      <c r="A824" s="28"/>
      <c r="B824" s="29"/>
      <c r="C824" s="30"/>
      <c r="D824" s="31"/>
      <c r="E824" s="33">
        <f>IF(OR($D824="",$K824=""),"",IF(COUNTIFS(Payments!$G$5:$G$2500,$K824,Payments!$C$5:$C$2500,"&lt;&gt;")=0,"",_xlfn.MAXIFS(Payments!$C$5:$C$2500,Payments!$G$5:$G$2500,$K824)))</f>
      </c>
      <c r="F824" s="34">
        <f>IF(OR($D824="",$K824=""),"",SUMIF(Payments!$G$5:$G$2500,$K824,Payments!$D$5:$D$2500))</f>
      </c>
      <c r="G824" s="36">
        <f>IF($D824="","",ROUND($D824-IF($F824="",0,$F824),2))</f>
      </c>
      <c r="H824" s="35">
        <f>IF(OR($D824="",$K824=""),"",COUNTIF(Payments!$G$5:$G$2500,$K824))</f>
      </c>
      <c r="I824" s="37">
        <f>IF($D824="","",IF(OR($F824="",$F824=0),"Pending",IF(ROUND($F824-$D824,2)&gt;0,"Overpaid",IF(ROUND($F824-$D824,2)=0,"Paid","Partial"))))</f>
      </c>
      <c r="J824" s="29"/>
      <c r="K824">
        <f>IF($A824="","","#"&amp;TRIM(SUBSTITUTE(SUBSTITUTE(SUBSTITUTE(SUBSTITUTE(SUBSTITUTE(SUBSTITUTE($A824,"-",""),"(",""),")",""),".",""),"+","")," ","")))</f>
      </c>
    </row>
    <row r="825" spans="1:11" x14ac:dyDescent="0.3">
      <c r="A825" s="28"/>
      <c r="B825" s="29"/>
      <c r="C825" s="30"/>
      <c r="D825" s="31"/>
      <c r="E825" s="33">
        <f>IF(OR($D825="",$K825=""),"",IF(COUNTIFS(Payments!$G$5:$G$2500,$K825,Payments!$C$5:$C$2500,"&lt;&gt;")=0,"",_xlfn.MAXIFS(Payments!$C$5:$C$2500,Payments!$G$5:$G$2500,$K825)))</f>
      </c>
      <c r="F825" s="34">
        <f>IF(OR($D825="",$K825=""),"",SUMIF(Payments!$G$5:$G$2500,$K825,Payments!$D$5:$D$2500))</f>
      </c>
      <c r="G825" s="36">
        <f>IF($D825="","",ROUND($D825-IF($F825="",0,$F825),2))</f>
      </c>
      <c r="H825" s="35">
        <f>IF(OR($D825="",$K825=""),"",COUNTIF(Payments!$G$5:$G$2500,$K825))</f>
      </c>
      <c r="I825" s="37">
        <f>IF($D825="","",IF(OR($F825="",$F825=0),"Pending",IF(ROUND($F825-$D825,2)&gt;0,"Overpaid",IF(ROUND($F825-$D825,2)=0,"Paid","Partial"))))</f>
      </c>
      <c r="J825" s="29"/>
      <c r="K825">
        <f>IF($A825="","","#"&amp;TRIM(SUBSTITUTE(SUBSTITUTE(SUBSTITUTE(SUBSTITUTE(SUBSTITUTE(SUBSTITUTE($A825,"-",""),"(",""),")",""),".",""),"+","")," ","")))</f>
      </c>
    </row>
    <row r="826" spans="1:11" x14ac:dyDescent="0.3">
      <c r="A826" s="28"/>
      <c r="B826" s="29"/>
      <c r="C826" s="30"/>
      <c r="D826" s="31"/>
      <c r="E826" s="33">
        <f>IF(OR($D826="",$K826=""),"",IF(COUNTIFS(Payments!$G$5:$G$2500,$K826,Payments!$C$5:$C$2500,"&lt;&gt;")=0,"",_xlfn.MAXIFS(Payments!$C$5:$C$2500,Payments!$G$5:$G$2500,$K826)))</f>
      </c>
      <c r="F826" s="34">
        <f>IF(OR($D826="",$K826=""),"",SUMIF(Payments!$G$5:$G$2500,$K826,Payments!$D$5:$D$2500))</f>
      </c>
      <c r="G826" s="36">
        <f>IF($D826="","",ROUND($D826-IF($F826="",0,$F826),2))</f>
      </c>
      <c r="H826" s="35">
        <f>IF(OR($D826="",$K826=""),"",COUNTIF(Payments!$G$5:$G$2500,$K826))</f>
      </c>
      <c r="I826" s="37">
        <f>IF($D826="","",IF(OR($F826="",$F826=0),"Pending",IF(ROUND($F826-$D826,2)&gt;0,"Overpaid",IF(ROUND($F826-$D826,2)=0,"Paid","Partial"))))</f>
      </c>
      <c r="J826" s="29"/>
      <c r="K826">
        <f>IF($A826="","","#"&amp;TRIM(SUBSTITUTE(SUBSTITUTE(SUBSTITUTE(SUBSTITUTE(SUBSTITUTE(SUBSTITUTE($A826,"-",""),"(",""),")",""),".",""),"+","")," ","")))</f>
      </c>
    </row>
    <row r="827" spans="1:11" x14ac:dyDescent="0.3">
      <c r="A827" s="28"/>
      <c r="B827" s="29"/>
      <c r="C827" s="30"/>
      <c r="D827" s="31"/>
      <c r="E827" s="33">
        <f>IF(OR($D827="",$K827=""),"",IF(COUNTIFS(Payments!$G$5:$G$2500,$K827,Payments!$C$5:$C$2500,"&lt;&gt;")=0,"",_xlfn.MAXIFS(Payments!$C$5:$C$2500,Payments!$G$5:$G$2500,$K827)))</f>
      </c>
      <c r="F827" s="34">
        <f>IF(OR($D827="",$K827=""),"",SUMIF(Payments!$G$5:$G$2500,$K827,Payments!$D$5:$D$2500))</f>
      </c>
      <c r="G827" s="36">
        <f>IF($D827="","",ROUND($D827-IF($F827="",0,$F827),2))</f>
      </c>
      <c r="H827" s="35">
        <f>IF(OR($D827="",$K827=""),"",COUNTIF(Payments!$G$5:$G$2500,$K827))</f>
      </c>
      <c r="I827" s="37">
        <f>IF($D827="","",IF(OR($F827="",$F827=0),"Pending",IF(ROUND($F827-$D827,2)&gt;0,"Overpaid",IF(ROUND($F827-$D827,2)=0,"Paid","Partial"))))</f>
      </c>
      <c r="J827" s="29"/>
      <c r="K827">
        <f>IF($A827="","","#"&amp;TRIM(SUBSTITUTE(SUBSTITUTE(SUBSTITUTE(SUBSTITUTE(SUBSTITUTE(SUBSTITUTE($A827,"-",""),"(",""),")",""),".",""),"+","")," ","")))</f>
      </c>
    </row>
    <row r="828" spans="1:11" x14ac:dyDescent="0.3">
      <c r="A828" s="28"/>
      <c r="B828" s="29"/>
      <c r="C828" s="30"/>
      <c r="D828" s="31"/>
      <c r="E828" s="33">
        <f>IF(OR($D828="",$K828=""),"",IF(COUNTIFS(Payments!$G$5:$G$2500,$K828,Payments!$C$5:$C$2500,"&lt;&gt;")=0,"",_xlfn.MAXIFS(Payments!$C$5:$C$2500,Payments!$G$5:$G$2500,$K828)))</f>
      </c>
      <c r="F828" s="34">
        <f>IF(OR($D828="",$K828=""),"",SUMIF(Payments!$G$5:$G$2500,$K828,Payments!$D$5:$D$2500))</f>
      </c>
      <c r="G828" s="36">
        <f>IF($D828="","",ROUND($D828-IF($F828="",0,$F828),2))</f>
      </c>
      <c r="H828" s="35">
        <f>IF(OR($D828="",$K828=""),"",COUNTIF(Payments!$G$5:$G$2500,$K828))</f>
      </c>
      <c r="I828" s="37">
        <f>IF($D828="","",IF(OR($F828="",$F828=0),"Pending",IF(ROUND($F828-$D828,2)&gt;0,"Overpaid",IF(ROUND($F828-$D828,2)=0,"Paid","Partial"))))</f>
      </c>
      <c r="J828" s="29"/>
      <c r="K828">
        <f>IF($A828="","","#"&amp;TRIM(SUBSTITUTE(SUBSTITUTE(SUBSTITUTE(SUBSTITUTE(SUBSTITUTE(SUBSTITUTE($A828,"-",""),"(",""),")",""),".",""),"+","")," ","")))</f>
      </c>
    </row>
    <row r="829" spans="1:11" x14ac:dyDescent="0.3">
      <c r="A829" s="28"/>
      <c r="B829" s="29"/>
      <c r="C829" s="30"/>
      <c r="D829" s="31"/>
      <c r="E829" s="33">
        <f>IF(OR($D829="",$K829=""),"",IF(COUNTIFS(Payments!$G$5:$G$2500,$K829,Payments!$C$5:$C$2500,"&lt;&gt;")=0,"",_xlfn.MAXIFS(Payments!$C$5:$C$2500,Payments!$G$5:$G$2500,$K829)))</f>
      </c>
      <c r="F829" s="34">
        <f>IF(OR($D829="",$K829=""),"",SUMIF(Payments!$G$5:$G$2500,$K829,Payments!$D$5:$D$2500))</f>
      </c>
      <c r="G829" s="36">
        <f>IF($D829="","",ROUND($D829-IF($F829="",0,$F829),2))</f>
      </c>
      <c r="H829" s="35">
        <f>IF(OR($D829="",$K829=""),"",COUNTIF(Payments!$G$5:$G$2500,$K829))</f>
      </c>
      <c r="I829" s="37">
        <f>IF($D829="","",IF(OR($F829="",$F829=0),"Pending",IF(ROUND($F829-$D829,2)&gt;0,"Overpaid",IF(ROUND($F829-$D829,2)=0,"Paid","Partial"))))</f>
      </c>
      <c r="J829" s="29"/>
      <c r="K829">
        <f>IF($A829="","","#"&amp;TRIM(SUBSTITUTE(SUBSTITUTE(SUBSTITUTE(SUBSTITUTE(SUBSTITUTE(SUBSTITUTE($A829,"-",""),"(",""),")",""),".",""),"+","")," ","")))</f>
      </c>
    </row>
    <row r="830" spans="1:11" x14ac:dyDescent="0.3">
      <c r="A830" s="28"/>
      <c r="B830" s="29"/>
      <c r="C830" s="30"/>
      <c r="D830" s="31"/>
      <c r="E830" s="33">
        <f>IF(OR($D830="",$K830=""),"",IF(COUNTIFS(Payments!$G$5:$G$2500,$K830,Payments!$C$5:$C$2500,"&lt;&gt;")=0,"",_xlfn.MAXIFS(Payments!$C$5:$C$2500,Payments!$G$5:$G$2500,$K830)))</f>
      </c>
      <c r="F830" s="34">
        <f>IF(OR($D830="",$K830=""),"",SUMIF(Payments!$G$5:$G$2500,$K830,Payments!$D$5:$D$2500))</f>
      </c>
      <c r="G830" s="36">
        <f>IF($D830="","",ROUND($D830-IF($F830="",0,$F830),2))</f>
      </c>
      <c r="H830" s="35">
        <f>IF(OR($D830="",$K830=""),"",COUNTIF(Payments!$G$5:$G$2500,$K830))</f>
      </c>
      <c r="I830" s="37">
        <f>IF($D830="","",IF(OR($F830="",$F830=0),"Pending",IF(ROUND($F830-$D830,2)&gt;0,"Overpaid",IF(ROUND($F830-$D830,2)=0,"Paid","Partial"))))</f>
      </c>
      <c r="J830" s="29"/>
      <c r="K830">
        <f>IF($A830="","","#"&amp;TRIM(SUBSTITUTE(SUBSTITUTE(SUBSTITUTE(SUBSTITUTE(SUBSTITUTE(SUBSTITUTE($A830,"-",""),"(",""),")",""),".",""),"+","")," ","")))</f>
      </c>
    </row>
    <row r="831" spans="1:11" x14ac:dyDescent="0.3">
      <c r="A831" s="28"/>
      <c r="B831" s="29"/>
      <c r="C831" s="30"/>
      <c r="D831" s="31"/>
      <c r="E831" s="33">
        <f>IF(OR($D831="",$K831=""),"",IF(COUNTIFS(Payments!$G$5:$G$2500,$K831,Payments!$C$5:$C$2500,"&lt;&gt;")=0,"",_xlfn.MAXIFS(Payments!$C$5:$C$2500,Payments!$G$5:$G$2500,$K831)))</f>
      </c>
      <c r="F831" s="34">
        <f>IF(OR($D831="",$K831=""),"",SUMIF(Payments!$G$5:$G$2500,$K831,Payments!$D$5:$D$2500))</f>
      </c>
      <c r="G831" s="36">
        <f>IF($D831="","",ROUND($D831-IF($F831="",0,$F831),2))</f>
      </c>
      <c r="H831" s="35">
        <f>IF(OR($D831="",$K831=""),"",COUNTIF(Payments!$G$5:$G$2500,$K831))</f>
      </c>
      <c r="I831" s="37">
        <f>IF($D831="","",IF(OR($F831="",$F831=0),"Pending",IF(ROUND($F831-$D831,2)&gt;0,"Overpaid",IF(ROUND($F831-$D831,2)=0,"Paid","Partial"))))</f>
      </c>
      <c r="J831" s="29"/>
      <c r="K831">
        <f>IF($A831="","","#"&amp;TRIM(SUBSTITUTE(SUBSTITUTE(SUBSTITUTE(SUBSTITUTE(SUBSTITUTE(SUBSTITUTE($A831,"-",""),"(",""),")",""),".",""),"+","")," ","")))</f>
      </c>
    </row>
    <row r="832" spans="1:11" x14ac:dyDescent="0.3">
      <c r="A832" s="28"/>
      <c r="B832" s="29"/>
      <c r="C832" s="30"/>
      <c r="D832" s="31"/>
      <c r="E832" s="33">
        <f>IF(OR($D832="",$K832=""),"",IF(COUNTIFS(Payments!$G$5:$G$2500,$K832,Payments!$C$5:$C$2500,"&lt;&gt;")=0,"",_xlfn.MAXIFS(Payments!$C$5:$C$2500,Payments!$G$5:$G$2500,$K832)))</f>
      </c>
      <c r="F832" s="34">
        <f>IF(OR($D832="",$K832=""),"",SUMIF(Payments!$G$5:$G$2500,$K832,Payments!$D$5:$D$2500))</f>
      </c>
      <c r="G832" s="36">
        <f>IF($D832="","",ROUND($D832-IF($F832="",0,$F832),2))</f>
      </c>
      <c r="H832" s="35">
        <f>IF(OR($D832="",$K832=""),"",COUNTIF(Payments!$G$5:$G$2500,$K832))</f>
      </c>
      <c r="I832" s="37">
        <f>IF($D832="","",IF(OR($F832="",$F832=0),"Pending",IF(ROUND($F832-$D832,2)&gt;0,"Overpaid",IF(ROUND($F832-$D832,2)=0,"Paid","Partial"))))</f>
      </c>
      <c r="J832" s="29"/>
      <c r="K832">
        <f>IF($A832="","","#"&amp;TRIM(SUBSTITUTE(SUBSTITUTE(SUBSTITUTE(SUBSTITUTE(SUBSTITUTE(SUBSTITUTE($A832,"-",""),"(",""),")",""),".",""),"+","")," ","")))</f>
      </c>
    </row>
    <row r="833" spans="1:11" x14ac:dyDescent="0.3">
      <c r="A833" s="28"/>
      <c r="B833" s="29"/>
      <c r="C833" s="30"/>
      <c r="D833" s="31"/>
      <c r="E833" s="33">
        <f>IF(OR($D833="",$K833=""),"",IF(COUNTIFS(Payments!$G$5:$G$2500,$K833,Payments!$C$5:$C$2500,"&lt;&gt;")=0,"",_xlfn.MAXIFS(Payments!$C$5:$C$2500,Payments!$G$5:$G$2500,$K833)))</f>
      </c>
      <c r="F833" s="34">
        <f>IF(OR($D833="",$K833=""),"",SUMIF(Payments!$G$5:$G$2500,$K833,Payments!$D$5:$D$2500))</f>
      </c>
      <c r="G833" s="36">
        <f>IF($D833="","",ROUND($D833-IF($F833="",0,$F833),2))</f>
      </c>
      <c r="H833" s="35">
        <f>IF(OR($D833="",$K833=""),"",COUNTIF(Payments!$G$5:$G$2500,$K833))</f>
      </c>
      <c r="I833" s="37">
        <f>IF($D833="","",IF(OR($F833="",$F833=0),"Pending",IF(ROUND($F833-$D833,2)&gt;0,"Overpaid",IF(ROUND($F833-$D833,2)=0,"Paid","Partial"))))</f>
      </c>
      <c r="J833" s="29"/>
      <c r="K833">
        <f>IF($A833="","","#"&amp;TRIM(SUBSTITUTE(SUBSTITUTE(SUBSTITUTE(SUBSTITUTE(SUBSTITUTE(SUBSTITUTE($A833,"-",""),"(",""),")",""),".",""),"+","")," ","")))</f>
      </c>
    </row>
    <row r="834" spans="1:11" x14ac:dyDescent="0.3">
      <c r="A834" s="28"/>
      <c r="B834" s="29"/>
      <c r="C834" s="30"/>
      <c r="D834" s="31"/>
      <c r="E834" s="33">
        <f>IF(OR($D834="",$K834=""),"",IF(COUNTIFS(Payments!$G$5:$G$2500,$K834,Payments!$C$5:$C$2500,"&lt;&gt;")=0,"",_xlfn.MAXIFS(Payments!$C$5:$C$2500,Payments!$G$5:$G$2500,$K834)))</f>
      </c>
      <c r="F834" s="34">
        <f>IF(OR($D834="",$K834=""),"",SUMIF(Payments!$G$5:$G$2500,$K834,Payments!$D$5:$D$2500))</f>
      </c>
      <c r="G834" s="36">
        <f>IF($D834="","",ROUND($D834-IF($F834="",0,$F834),2))</f>
      </c>
      <c r="H834" s="35">
        <f>IF(OR($D834="",$K834=""),"",COUNTIF(Payments!$G$5:$G$2500,$K834))</f>
      </c>
      <c r="I834" s="37">
        <f>IF($D834="","",IF(OR($F834="",$F834=0),"Pending",IF(ROUND($F834-$D834,2)&gt;0,"Overpaid",IF(ROUND($F834-$D834,2)=0,"Paid","Partial"))))</f>
      </c>
      <c r="J834" s="29"/>
      <c r="K834">
        <f>IF($A834="","","#"&amp;TRIM(SUBSTITUTE(SUBSTITUTE(SUBSTITUTE(SUBSTITUTE(SUBSTITUTE(SUBSTITUTE($A834,"-",""),"(",""),")",""),".",""),"+","")," ","")))</f>
      </c>
    </row>
    <row r="835" spans="1:11" x14ac:dyDescent="0.3">
      <c r="A835" s="28"/>
      <c r="B835" s="29"/>
      <c r="C835" s="30"/>
      <c r="D835" s="31"/>
      <c r="E835" s="33">
        <f>IF(OR($D835="",$K835=""),"",IF(COUNTIFS(Payments!$G$5:$G$2500,$K835,Payments!$C$5:$C$2500,"&lt;&gt;")=0,"",_xlfn.MAXIFS(Payments!$C$5:$C$2500,Payments!$G$5:$G$2500,$K835)))</f>
      </c>
      <c r="F835" s="34">
        <f>IF(OR($D835="",$K835=""),"",SUMIF(Payments!$G$5:$G$2500,$K835,Payments!$D$5:$D$2500))</f>
      </c>
      <c r="G835" s="36">
        <f>IF($D835="","",ROUND($D835-IF($F835="",0,$F835),2))</f>
      </c>
      <c r="H835" s="35">
        <f>IF(OR($D835="",$K835=""),"",COUNTIF(Payments!$G$5:$G$2500,$K835))</f>
      </c>
      <c r="I835" s="37">
        <f>IF($D835="","",IF(OR($F835="",$F835=0),"Pending",IF(ROUND($F835-$D835,2)&gt;0,"Overpaid",IF(ROUND($F835-$D835,2)=0,"Paid","Partial"))))</f>
      </c>
      <c r="J835" s="29"/>
      <c r="K835">
        <f>IF($A835="","","#"&amp;TRIM(SUBSTITUTE(SUBSTITUTE(SUBSTITUTE(SUBSTITUTE(SUBSTITUTE(SUBSTITUTE($A835,"-",""),"(",""),")",""),".",""),"+","")," ","")))</f>
      </c>
    </row>
    <row r="836" spans="1:11" x14ac:dyDescent="0.3">
      <c r="A836" s="28"/>
      <c r="B836" s="29"/>
      <c r="C836" s="30"/>
      <c r="D836" s="31"/>
      <c r="E836" s="33">
        <f>IF(OR($D836="",$K836=""),"",IF(COUNTIFS(Payments!$G$5:$G$2500,$K836,Payments!$C$5:$C$2500,"&lt;&gt;")=0,"",_xlfn.MAXIFS(Payments!$C$5:$C$2500,Payments!$G$5:$G$2500,$K836)))</f>
      </c>
      <c r="F836" s="34">
        <f>IF(OR($D836="",$K836=""),"",SUMIF(Payments!$G$5:$G$2500,$K836,Payments!$D$5:$D$2500))</f>
      </c>
      <c r="G836" s="36">
        <f>IF($D836="","",ROUND($D836-IF($F836="",0,$F836),2))</f>
      </c>
      <c r="H836" s="35">
        <f>IF(OR($D836="",$K836=""),"",COUNTIF(Payments!$G$5:$G$2500,$K836))</f>
      </c>
      <c r="I836" s="37">
        <f>IF($D836="","",IF(OR($F836="",$F836=0),"Pending",IF(ROUND($F836-$D836,2)&gt;0,"Overpaid",IF(ROUND($F836-$D836,2)=0,"Paid","Partial"))))</f>
      </c>
      <c r="J836" s="29"/>
      <c r="K836">
        <f>IF($A836="","","#"&amp;TRIM(SUBSTITUTE(SUBSTITUTE(SUBSTITUTE(SUBSTITUTE(SUBSTITUTE(SUBSTITUTE($A836,"-",""),"(",""),")",""),".",""),"+","")," ","")))</f>
      </c>
    </row>
    <row r="837" spans="1:11" x14ac:dyDescent="0.3">
      <c r="A837" s="28"/>
      <c r="B837" s="29"/>
      <c r="C837" s="30"/>
      <c r="D837" s="31"/>
      <c r="E837" s="33">
        <f>IF(OR($D837="",$K837=""),"",IF(COUNTIFS(Payments!$G$5:$G$2500,$K837,Payments!$C$5:$C$2500,"&lt;&gt;")=0,"",_xlfn.MAXIFS(Payments!$C$5:$C$2500,Payments!$G$5:$G$2500,$K837)))</f>
      </c>
      <c r="F837" s="34">
        <f>IF(OR($D837="",$K837=""),"",SUMIF(Payments!$G$5:$G$2500,$K837,Payments!$D$5:$D$2500))</f>
      </c>
      <c r="G837" s="36">
        <f>IF($D837="","",ROUND($D837-IF($F837="",0,$F837),2))</f>
      </c>
      <c r="H837" s="35">
        <f>IF(OR($D837="",$K837=""),"",COUNTIF(Payments!$G$5:$G$2500,$K837))</f>
      </c>
      <c r="I837" s="37">
        <f>IF($D837="","",IF(OR($F837="",$F837=0),"Pending",IF(ROUND($F837-$D837,2)&gt;0,"Overpaid",IF(ROUND($F837-$D837,2)=0,"Paid","Partial"))))</f>
      </c>
      <c r="J837" s="29"/>
      <c r="K837">
        <f>IF($A837="","","#"&amp;TRIM(SUBSTITUTE(SUBSTITUTE(SUBSTITUTE(SUBSTITUTE(SUBSTITUTE(SUBSTITUTE($A837,"-",""),"(",""),")",""),".",""),"+","")," ","")))</f>
      </c>
    </row>
    <row r="838" spans="1:11" x14ac:dyDescent="0.3">
      <c r="A838" s="28"/>
      <c r="B838" s="29"/>
      <c r="C838" s="30"/>
      <c r="D838" s="31"/>
      <c r="E838" s="33">
        <f>IF(OR($D838="",$K838=""),"",IF(COUNTIFS(Payments!$G$5:$G$2500,$K838,Payments!$C$5:$C$2500,"&lt;&gt;")=0,"",_xlfn.MAXIFS(Payments!$C$5:$C$2500,Payments!$G$5:$G$2500,$K838)))</f>
      </c>
      <c r="F838" s="34">
        <f>IF(OR($D838="",$K838=""),"",SUMIF(Payments!$G$5:$G$2500,$K838,Payments!$D$5:$D$2500))</f>
      </c>
      <c r="G838" s="36">
        <f>IF($D838="","",ROUND($D838-IF($F838="",0,$F838),2))</f>
      </c>
      <c r="H838" s="35">
        <f>IF(OR($D838="",$K838=""),"",COUNTIF(Payments!$G$5:$G$2500,$K838))</f>
      </c>
      <c r="I838" s="37">
        <f>IF($D838="","",IF(OR($F838="",$F838=0),"Pending",IF(ROUND($F838-$D838,2)&gt;0,"Overpaid",IF(ROUND($F838-$D838,2)=0,"Paid","Partial"))))</f>
      </c>
      <c r="J838" s="29"/>
      <c r="K838">
        <f>IF($A838="","","#"&amp;TRIM(SUBSTITUTE(SUBSTITUTE(SUBSTITUTE(SUBSTITUTE(SUBSTITUTE(SUBSTITUTE($A838,"-",""),"(",""),")",""),".",""),"+","")," ","")))</f>
      </c>
    </row>
    <row r="839" spans="1:11" x14ac:dyDescent="0.3">
      <c r="A839" s="28"/>
      <c r="B839" s="29"/>
      <c r="C839" s="30"/>
      <c r="D839" s="31"/>
      <c r="E839" s="33">
        <f>IF(OR($D839="",$K839=""),"",IF(COUNTIFS(Payments!$G$5:$G$2500,$K839,Payments!$C$5:$C$2500,"&lt;&gt;")=0,"",_xlfn.MAXIFS(Payments!$C$5:$C$2500,Payments!$G$5:$G$2500,$K839)))</f>
      </c>
      <c r="F839" s="34">
        <f>IF(OR($D839="",$K839=""),"",SUMIF(Payments!$G$5:$G$2500,$K839,Payments!$D$5:$D$2500))</f>
      </c>
      <c r="G839" s="36">
        <f>IF($D839="","",ROUND($D839-IF($F839="",0,$F839),2))</f>
      </c>
      <c r="H839" s="35">
        <f>IF(OR($D839="",$K839=""),"",COUNTIF(Payments!$G$5:$G$2500,$K839))</f>
      </c>
      <c r="I839" s="37">
        <f>IF($D839="","",IF(OR($F839="",$F839=0),"Pending",IF(ROUND($F839-$D839,2)&gt;0,"Overpaid",IF(ROUND($F839-$D839,2)=0,"Paid","Partial"))))</f>
      </c>
      <c r="J839" s="29"/>
      <c r="K839">
        <f>IF($A839="","","#"&amp;TRIM(SUBSTITUTE(SUBSTITUTE(SUBSTITUTE(SUBSTITUTE(SUBSTITUTE(SUBSTITUTE($A839,"-",""),"(",""),")",""),".",""),"+","")," ","")))</f>
      </c>
    </row>
    <row r="840" spans="1:11" x14ac:dyDescent="0.3">
      <c r="A840" s="28"/>
      <c r="B840" s="29"/>
      <c r="C840" s="30"/>
      <c r="D840" s="31"/>
      <c r="E840" s="33">
        <f>IF(OR($D840="",$K840=""),"",IF(COUNTIFS(Payments!$G$5:$G$2500,$K840,Payments!$C$5:$C$2500,"&lt;&gt;")=0,"",_xlfn.MAXIFS(Payments!$C$5:$C$2500,Payments!$G$5:$G$2500,$K840)))</f>
      </c>
      <c r="F840" s="34">
        <f>IF(OR($D840="",$K840=""),"",SUMIF(Payments!$G$5:$G$2500,$K840,Payments!$D$5:$D$2500))</f>
      </c>
      <c r="G840" s="36">
        <f>IF($D840="","",ROUND($D840-IF($F840="",0,$F840),2))</f>
      </c>
      <c r="H840" s="35">
        <f>IF(OR($D840="",$K840=""),"",COUNTIF(Payments!$G$5:$G$2500,$K840))</f>
      </c>
      <c r="I840" s="37">
        <f>IF($D840="","",IF(OR($F840="",$F840=0),"Pending",IF(ROUND($F840-$D840,2)&gt;0,"Overpaid",IF(ROUND($F840-$D840,2)=0,"Paid","Partial"))))</f>
      </c>
      <c r="J840" s="29"/>
      <c r="K840">
        <f>IF($A840="","","#"&amp;TRIM(SUBSTITUTE(SUBSTITUTE(SUBSTITUTE(SUBSTITUTE(SUBSTITUTE(SUBSTITUTE($A840,"-",""),"(",""),")",""),".",""),"+","")," ","")))</f>
      </c>
    </row>
    <row r="841" spans="1:11" x14ac:dyDescent="0.3">
      <c r="A841" s="28"/>
      <c r="B841" s="29"/>
      <c r="C841" s="30"/>
      <c r="D841" s="31"/>
      <c r="E841" s="33">
        <f>IF(OR($D841="",$K841=""),"",IF(COUNTIFS(Payments!$G$5:$G$2500,$K841,Payments!$C$5:$C$2500,"&lt;&gt;")=0,"",_xlfn.MAXIFS(Payments!$C$5:$C$2500,Payments!$G$5:$G$2500,$K841)))</f>
      </c>
      <c r="F841" s="34">
        <f>IF(OR($D841="",$K841=""),"",SUMIF(Payments!$G$5:$G$2500,$K841,Payments!$D$5:$D$2500))</f>
      </c>
      <c r="G841" s="36">
        <f>IF($D841="","",ROUND($D841-IF($F841="",0,$F841),2))</f>
      </c>
      <c r="H841" s="35">
        <f>IF(OR($D841="",$K841=""),"",COUNTIF(Payments!$G$5:$G$2500,$K841))</f>
      </c>
      <c r="I841" s="37">
        <f>IF($D841="","",IF(OR($F841="",$F841=0),"Pending",IF(ROUND($F841-$D841,2)&gt;0,"Overpaid",IF(ROUND($F841-$D841,2)=0,"Paid","Partial"))))</f>
      </c>
      <c r="J841" s="29"/>
      <c r="K841">
        <f>IF($A841="","","#"&amp;TRIM(SUBSTITUTE(SUBSTITUTE(SUBSTITUTE(SUBSTITUTE(SUBSTITUTE(SUBSTITUTE($A841,"-",""),"(",""),")",""),".",""),"+","")," ","")))</f>
      </c>
    </row>
    <row r="842" spans="1:11" x14ac:dyDescent="0.3">
      <c r="A842" s="28"/>
      <c r="B842" s="29"/>
      <c r="C842" s="30"/>
      <c r="D842" s="31"/>
      <c r="E842" s="33">
        <f>IF(OR($D842="",$K842=""),"",IF(COUNTIFS(Payments!$G$5:$G$2500,$K842,Payments!$C$5:$C$2500,"&lt;&gt;")=0,"",_xlfn.MAXIFS(Payments!$C$5:$C$2500,Payments!$G$5:$G$2500,$K842)))</f>
      </c>
      <c r="F842" s="34">
        <f>IF(OR($D842="",$K842=""),"",SUMIF(Payments!$G$5:$G$2500,$K842,Payments!$D$5:$D$2500))</f>
      </c>
      <c r="G842" s="36">
        <f>IF($D842="","",ROUND($D842-IF($F842="",0,$F842),2))</f>
      </c>
      <c r="H842" s="35">
        <f>IF(OR($D842="",$K842=""),"",COUNTIF(Payments!$G$5:$G$2500,$K842))</f>
      </c>
      <c r="I842" s="37">
        <f>IF($D842="","",IF(OR($F842="",$F842=0),"Pending",IF(ROUND($F842-$D842,2)&gt;0,"Overpaid",IF(ROUND($F842-$D842,2)=0,"Paid","Partial"))))</f>
      </c>
      <c r="J842" s="29"/>
      <c r="K842">
        <f>IF($A842="","","#"&amp;TRIM(SUBSTITUTE(SUBSTITUTE(SUBSTITUTE(SUBSTITUTE(SUBSTITUTE(SUBSTITUTE($A842,"-",""),"(",""),")",""),".",""),"+","")," ","")))</f>
      </c>
    </row>
    <row r="843" spans="1:11" x14ac:dyDescent="0.3">
      <c r="A843" s="28"/>
      <c r="B843" s="29"/>
      <c r="C843" s="30"/>
      <c r="D843" s="31"/>
      <c r="E843" s="33">
        <f>IF(OR($D843="",$K843=""),"",IF(COUNTIFS(Payments!$G$5:$G$2500,$K843,Payments!$C$5:$C$2500,"&lt;&gt;")=0,"",_xlfn.MAXIFS(Payments!$C$5:$C$2500,Payments!$G$5:$G$2500,$K843)))</f>
      </c>
      <c r="F843" s="34">
        <f>IF(OR($D843="",$K843=""),"",SUMIF(Payments!$G$5:$G$2500,$K843,Payments!$D$5:$D$2500))</f>
      </c>
      <c r="G843" s="36">
        <f>IF($D843="","",ROUND($D843-IF($F843="",0,$F843),2))</f>
      </c>
      <c r="H843" s="35">
        <f>IF(OR($D843="",$K843=""),"",COUNTIF(Payments!$G$5:$G$2500,$K843))</f>
      </c>
      <c r="I843" s="37">
        <f>IF($D843="","",IF(OR($F843="",$F843=0),"Pending",IF(ROUND($F843-$D843,2)&gt;0,"Overpaid",IF(ROUND($F843-$D843,2)=0,"Paid","Partial"))))</f>
      </c>
      <c r="J843" s="29"/>
      <c r="K843">
        <f>IF($A843="","","#"&amp;TRIM(SUBSTITUTE(SUBSTITUTE(SUBSTITUTE(SUBSTITUTE(SUBSTITUTE(SUBSTITUTE($A843,"-",""),"(",""),")",""),".",""),"+","")," ","")))</f>
      </c>
    </row>
    <row r="844" spans="1:11" x14ac:dyDescent="0.3">
      <c r="A844" s="28"/>
      <c r="B844" s="29"/>
      <c r="C844" s="30"/>
      <c r="D844" s="31"/>
      <c r="E844" s="33">
        <f>IF(OR($D844="",$K844=""),"",IF(COUNTIFS(Payments!$G$5:$G$2500,$K844,Payments!$C$5:$C$2500,"&lt;&gt;")=0,"",_xlfn.MAXIFS(Payments!$C$5:$C$2500,Payments!$G$5:$G$2500,$K844)))</f>
      </c>
      <c r="F844" s="34">
        <f>IF(OR($D844="",$K844=""),"",SUMIF(Payments!$G$5:$G$2500,$K844,Payments!$D$5:$D$2500))</f>
      </c>
      <c r="G844" s="36">
        <f>IF($D844="","",ROUND($D844-IF($F844="",0,$F844),2))</f>
      </c>
      <c r="H844" s="35">
        <f>IF(OR($D844="",$K844=""),"",COUNTIF(Payments!$G$5:$G$2500,$K844))</f>
      </c>
      <c r="I844" s="37">
        <f>IF($D844="","",IF(OR($F844="",$F844=0),"Pending",IF(ROUND($F844-$D844,2)&gt;0,"Overpaid",IF(ROUND($F844-$D844,2)=0,"Paid","Partial"))))</f>
      </c>
      <c r="J844" s="29"/>
      <c r="K844">
        <f>IF($A844="","","#"&amp;TRIM(SUBSTITUTE(SUBSTITUTE(SUBSTITUTE(SUBSTITUTE(SUBSTITUTE(SUBSTITUTE($A844,"-",""),"(",""),")",""),".",""),"+","")," ","")))</f>
      </c>
    </row>
    <row r="845" spans="1:11" x14ac:dyDescent="0.3">
      <c r="A845" s="28"/>
      <c r="B845" s="29"/>
      <c r="C845" s="30"/>
      <c r="D845" s="31"/>
      <c r="E845" s="33">
        <f>IF(OR($D845="",$K845=""),"",IF(COUNTIFS(Payments!$G$5:$G$2500,$K845,Payments!$C$5:$C$2500,"&lt;&gt;")=0,"",_xlfn.MAXIFS(Payments!$C$5:$C$2500,Payments!$G$5:$G$2500,$K845)))</f>
      </c>
      <c r="F845" s="34">
        <f>IF(OR($D845="",$K845=""),"",SUMIF(Payments!$G$5:$G$2500,$K845,Payments!$D$5:$D$2500))</f>
      </c>
      <c r="G845" s="36">
        <f>IF($D845="","",ROUND($D845-IF($F845="",0,$F845),2))</f>
      </c>
      <c r="H845" s="35">
        <f>IF(OR($D845="",$K845=""),"",COUNTIF(Payments!$G$5:$G$2500,$K845))</f>
      </c>
      <c r="I845" s="37">
        <f>IF($D845="","",IF(OR($F845="",$F845=0),"Pending",IF(ROUND($F845-$D845,2)&gt;0,"Overpaid",IF(ROUND($F845-$D845,2)=0,"Paid","Partial"))))</f>
      </c>
      <c r="J845" s="29"/>
      <c r="K845">
        <f>IF($A845="","","#"&amp;TRIM(SUBSTITUTE(SUBSTITUTE(SUBSTITUTE(SUBSTITUTE(SUBSTITUTE(SUBSTITUTE($A845,"-",""),"(",""),")",""),".",""),"+","")," ","")))</f>
      </c>
    </row>
    <row r="846" spans="1:11" x14ac:dyDescent="0.3">
      <c r="A846" s="28"/>
      <c r="B846" s="29"/>
      <c r="C846" s="30"/>
      <c r="D846" s="31"/>
      <c r="E846" s="33">
        <f>IF(OR($D846="",$K846=""),"",IF(COUNTIFS(Payments!$G$5:$G$2500,$K846,Payments!$C$5:$C$2500,"&lt;&gt;")=0,"",_xlfn.MAXIFS(Payments!$C$5:$C$2500,Payments!$G$5:$G$2500,$K846)))</f>
      </c>
      <c r="F846" s="34">
        <f>IF(OR($D846="",$K846=""),"",SUMIF(Payments!$G$5:$G$2500,$K846,Payments!$D$5:$D$2500))</f>
      </c>
      <c r="G846" s="36">
        <f>IF($D846="","",ROUND($D846-IF($F846="",0,$F846),2))</f>
      </c>
      <c r="H846" s="35">
        <f>IF(OR($D846="",$K846=""),"",COUNTIF(Payments!$G$5:$G$2500,$K846))</f>
      </c>
      <c r="I846" s="37">
        <f>IF($D846="","",IF(OR($F846="",$F846=0),"Pending",IF(ROUND($F846-$D846,2)&gt;0,"Overpaid",IF(ROUND($F846-$D846,2)=0,"Paid","Partial"))))</f>
      </c>
      <c r="J846" s="29"/>
      <c r="K846">
        <f>IF($A846="","","#"&amp;TRIM(SUBSTITUTE(SUBSTITUTE(SUBSTITUTE(SUBSTITUTE(SUBSTITUTE(SUBSTITUTE($A846,"-",""),"(",""),")",""),".",""),"+","")," ","")))</f>
      </c>
    </row>
    <row r="847" spans="1:11" x14ac:dyDescent="0.3">
      <c r="A847" s="28"/>
      <c r="B847" s="29"/>
      <c r="C847" s="30"/>
      <c r="D847" s="31"/>
      <c r="E847" s="33">
        <f>IF(OR($D847="",$K847=""),"",IF(COUNTIFS(Payments!$G$5:$G$2500,$K847,Payments!$C$5:$C$2500,"&lt;&gt;")=0,"",_xlfn.MAXIFS(Payments!$C$5:$C$2500,Payments!$G$5:$G$2500,$K847)))</f>
      </c>
      <c r="F847" s="34">
        <f>IF(OR($D847="",$K847=""),"",SUMIF(Payments!$G$5:$G$2500,$K847,Payments!$D$5:$D$2500))</f>
      </c>
      <c r="G847" s="36">
        <f>IF($D847="","",ROUND($D847-IF($F847="",0,$F847),2))</f>
      </c>
      <c r="H847" s="35">
        <f>IF(OR($D847="",$K847=""),"",COUNTIF(Payments!$G$5:$G$2500,$K847))</f>
      </c>
      <c r="I847" s="37">
        <f>IF($D847="","",IF(OR($F847="",$F847=0),"Pending",IF(ROUND($F847-$D847,2)&gt;0,"Overpaid",IF(ROUND($F847-$D847,2)=0,"Paid","Partial"))))</f>
      </c>
      <c r="J847" s="29"/>
      <c r="K847">
        <f>IF($A847="","","#"&amp;TRIM(SUBSTITUTE(SUBSTITUTE(SUBSTITUTE(SUBSTITUTE(SUBSTITUTE(SUBSTITUTE($A847,"-",""),"(",""),")",""),".",""),"+","")," ","")))</f>
      </c>
    </row>
    <row r="848" spans="1:11" x14ac:dyDescent="0.3">
      <c r="A848" s="28"/>
      <c r="B848" s="29"/>
      <c r="C848" s="30"/>
      <c r="D848" s="31"/>
      <c r="E848" s="33">
        <f>IF(OR($D848="",$K848=""),"",IF(COUNTIFS(Payments!$G$5:$G$2500,$K848,Payments!$C$5:$C$2500,"&lt;&gt;")=0,"",_xlfn.MAXIFS(Payments!$C$5:$C$2500,Payments!$G$5:$G$2500,$K848)))</f>
      </c>
      <c r="F848" s="34">
        <f>IF(OR($D848="",$K848=""),"",SUMIF(Payments!$G$5:$G$2500,$K848,Payments!$D$5:$D$2500))</f>
      </c>
      <c r="G848" s="36">
        <f>IF($D848="","",ROUND($D848-IF($F848="",0,$F848),2))</f>
      </c>
      <c r="H848" s="35">
        <f>IF(OR($D848="",$K848=""),"",COUNTIF(Payments!$G$5:$G$2500,$K848))</f>
      </c>
      <c r="I848" s="37">
        <f>IF($D848="","",IF(OR($F848="",$F848=0),"Pending",IF(ROUND($F848-$D848,2)&gt;0,"Overpaid",IF(ROUND($F848-$D848,2)=0,"Paid","Partial"))))</f>
      </c>
      <c r="J848" s="29"/>
      <c r="K848">
        <f>IF($A848="","","#"&amp;TRIM(SUBSTITUTE(SUBSTITUTE(SUBSTITUTE(SUBSTITUTE(SUBSTITUTE(SUBSTITUTE($A848,"-",""),"(",""),")",""),".",""),"+","")," ","")))</f>
      </c>
    </row>
    <row r="849" spans="1:11" x14ac:dyDescent="0.3">
      <c r="A849" s="28"/>
      <c r="B849" s="29"/>
      <c r="C849" s="30"/>
      <c r="D849" s="31"/>
      <c r="E849" s="33">
        <f>IF(OR($D849="",$K849=""),"",IF(COUNTIFS(Payments!$G$5:$G$2500,$K849,Payments!$C$5:$C$2500,"&lt;&gt;")=0,"",_xlfn.MAXIFS(Payments!$C$5:$C$2500,Payments!$G$5:$G$2500,$K849)))</f>
      </c>
      <c r="F849" s="34">
        <f>IF(OR($D849="",$K849=""),"",SUMIF(Payments!$G$5:$G$2500,$K849,Payments!$D$5:$D$2500))</f>
      </c>
      <c r="G849" s="36">
        <f>IF($D849="","",ROUND($D849-IF($F849="",0,$F849),2))</f>
      </c>
      <c r="H849" s="35">
        <f>IF(OR($D849="",$K849=""),"",COUNTIF(Payments!$G$5:$G$2500,$K849))</f>
      </c>
      <c r="I849" s="37">
        <f>IF($D849="","",IF(OR($F849="",$F849=0),"Pending",IF(ROUND($F849-$D849,2)&gt;0,"Overpaid",IF(ROUND($F849-$D849,2)=0,"Paid","Partial"))))</f>
      </c>
      <c r="J849" s="29"/>
      <c r="K849">
        <f>IF($A849="","","#"&amp;TRIM(SUBSTITUTE(SUBSTITUTE(SUBSTITUTE(SUBSTITUTE(SUBSTITUTE(SUBSTITUTE($A849,"-",""),"(",""),")",""),".",""),"+","")," ","")))</f>
      </c>
    </row>
    <row r="850" spans="1:11" x14ac:dyDescent="0.3">
      <c r="A850" s="28"/>
      <c r="B850" s="29"/>
      <c r="C850" s="30"/>
      <c r="D850" s="31"/>
      <c r="E850" s="33">
        <f>IF(OR($D850="",$K850=""),"",IF(COUNTIFS(Payments!$G$5:$G$2500,$K850,Payments!$C$5:$C$2500,"&lt;&gt;")=0,"",_xlfn.MAXIFS(Payments!$C$5:$C$2500,Payments!$G$5:$G$2500,$K850)))</f>
      </c>
      <c r="F850" s="34">
        <f>IF(OR($D850="",$K850=""),"",SUMIF(Payments!$G$5:$G$2500,$K850,Payments!$D$5:$D$2500))</f>
      </c>
      <c r="G850" s="36">
        <f>IF($D850="","",ROUND($D850-IF($F850="",0,$F850),2))</f>
      </c>
      <c r="H850" s="35">
        <f>IF(OR($D850="",$K850=""),"",COUNTIF(Payments!$G$5:$G$2500,$K850))</f>
      </c>
      <c r="I850" s="37">
        <f>IF($D850="","",IF(OR($F850="",$F850=0),"Pending",IF(ROUND($F850-$D850,2)&gt;0,"Overpaid",IF(ROUND($F850-$D850,2)=0,"Paid","Partial"))))</f>
      </c>
      <c r="J850" s="29"/>
      <c r="K850">
        <f>IF($A850="","","#"&amp;TRIM(SUBSTITUTE(SUBSTITUTE(SUBSTITUTE(SUBSTITUTE(SUBSTITUTE(SUBSTITUTE($A850,"-",""),"(",""),")",""),".",""),"+","")," ","")))</f>
      </c>
    </row>
    <row r="851" spans="1:11" x14ac:dyDescent="0.3">
      <c r="A851" s="28"/>
      <c r="B851" s="29"/>
      <c r="C851" s="30"/>
      <c r="D851" s="31"/>
      <c r="E851" s="33">
        <f>IF(OR($D851="",$K851=""),"",IF(COUNTIFS(Payments!$G$5:$G$2500,$K851,Payments!$C$5:$C$2500,"&lt;&gt;")=0,"",_xlfn.MAXIFS(Payments!$C$5:$C$2500,Payments!$G$5:$G$2500,$K851)))</f>
      </c>
      <c r="F851" s="34">
        <f>IF(OR($D851="",$K851=""),"",SUMIF(Payments!$G$5:$G$2500,$K851,Payments!$D$5:$D$2500))</f>
      </c>
      <c r="G851" s="36">
        <f>IF($D851="","",ROUND($D851-IF($F851="",0,$F851),2))</f>
      </c>
      <c r="H851" s="35">
        <f>IF(OR($D851="",$K851=""),"",COUNTIF(Payments!$G$5:$G$2500,$K851))</f>
      </c>
      <c r="I851" s="37">
        <f>IF($D851="","",IF(OR($F851="",$F851=0),"Pending",IF(ROUND($F851-$D851,2)&gt;0,"Overpaid",IF(ROUND($F851-$D851,2)=0,"Paid","Partial"))))</f>
      </c>
      <c r="J851" s="29"/>
      <c r="K851">
        <f>IF($A851="","","#"&amp;TRIM(SUBSTITUTE(SUBSTITUTE(SUBSTITUTE(SUBSTITUTE(SUBSTITUTE(SUBSTITUTE($A851,"-",""),"(",""),")",""),".",""),"+","")," ","")))</f>
      </c>
    </row>
    <row r="852" spans="1:11" x14ac:dyDescent="0.3">
      <c r="A852" s="28"/>
      <c r="B852" s="29"/>
      <c r="C852" s="30"/>
      <c r="D852" s="31"/>
      <c r="E852" s="33">
        <f>IF(OR($D852="",$K852=""),"",IF(COUNTIFS(Payments!$G$5:$G$2500,$K852,Payments!$C$5:$C$2500,"&lt;&gt;")=0,"",_xlfn.MAXIFS(Payments!$C$5:$C$2500,Payments!$G$5:$G$2500,$K852)))</f>
      </c>
      <c r="F852" s="34">
        <f>IF(OR($D852="",$K852=""),"",SUMIF(Payments!$G$5:$G$2500,$K852,Payments!$D$5:$D$2500))</f>
      </c>
      <c r="G852" s="36">
        <f>IF($D852="","",ROUND($D852-IF($F852="",0,$F852),2))</f>
      </c>
      <c r="H852" s="35">
        <f>IF(OR($D852="",$K852=""),"",COUNTIF(Payments!$G$5:$G$2500,$K852))</f>
      </c>
      <c r="I852" s="37">
        <f>IF($D852="","",IF(OR($F852="",$F852=0),"Pending",IF(ROUND($F852-$D852,2)&gt;0,"Overpaid",IF(ROUND($F852-$D852,2)=0,"Paid","Partial"))))</f>
      </c>
      <c r="J852" s="29"/>
      <c r="K852">
        <f>IF($A852="","","#"&amp;TRIM(SUBSTITUTE(SUBSTITUTE(SUBSTITUTE(SUBSTITUTE(SUBSTITUTE(SUBSTITUTE($A852,"-",""),"(",""),")",""),".",""),"+","")," ","")))</f>
      </c>
    </row>
    <row r="853" spans="1:11" x14ac:dyDescent="0.3">
      <c r="A853" s="28"/>
      <c r="B853" s="29"/>
      <c r="C853" s="30"/>
      <c r="D853" s="31"/>
      <c r="E853" s="33">
        <f>IF(OR($D853="",$K853=""),"",IF(COUNTIFS(Payments!$G$5:$G$2500,$K853,Payments!$C$5:$C$2500,"&lt;&gt;")=0,"",_xlfn.MAXIFS(Payments!$C$5:$C$2500,Payments!$G$5:$G$2500,$K853)))</f>
      </c>
      <c r="F853" s="34">
        <f>IF(OR($D853="",$K853=""),"",SUMIF(Payments!$G$5:$G$2500,$K853,Payments!$D$5:$D$2500))</f>
      </c>
      <c r="G853" s="36">
        <f>IF($D853="","",ROUND($D853-IF($F853="",0,$F853),2))</f>
      </c>
      <c r="H853" s="35">
        <f>IF(OR($D853="",$K853=""),"",COUNTIF(Payments!$G$5:$G$2500,$K853))</f>
      </c>
      <c r="I853" s="37">
        <f>IF($D853="","",IF(OR($F853="",$F853=0),"Pending",IF(ROUND($F853-$D853,2)&gt;0,"Overpaid",IF(ROUND($F853-$D853,2)=0,"Paid","Partial"))))</f>
      </c>
      <c r="J853" s="29"/>
      <c r="K853">
        <f>IF($A853="","","#"&amp;TRIM(SUBSTITUTE(SUBSTITUTE(SUBSTITUTE(SUBSTITUTE(SUBSTITUTE(SUBSTITUTE($A853,"-",""),"(",""),")",""),".",""),"+","")," ","")))</f>
      </c>
    </row>
    <row r="854" spans="1:11" x14ac:dyDescent="0.3">
      <c r="A854" s="28"/>
      <c r="B854" s="29"/>
      <c r="C854" s="30"/>
      <c r="D854" s="31"/>
      <c r="E854" s="33">
        <f>IF(OR($D854="",$K854=""),"",IF(COUNTIFS(Payments!$G$5:$G$2500,$K854,Payments!$C$5:$C$2500,"&lt;&gt;")=0,"",_xlfn.MAXIFS(Payments!$C$5:$C$2500,Payments!$G$5:$G$2500,$K854)))</f>
      </c>
      <c r="F854" s="34">
        <f>IF(OR($D854="",$K854=""),"",SUMIF(Payments!$G$5:$G$2500,$K854,Payments!$D$5:$D$2500))</f>
      </c>
      <c r="G854" s="36">
        <f>IF($D854="","",ROUND($D854-IF($F854="",0,$F854),2))</f>
      </c>
      <c r="H854" s="35">
        <f>IF(OR($D854="",$K854=""),"",COUNTIF(Payments!$G$5:$G$2500,$K854))</f>
      </c>
      <c r="I854" s="37">
        <f>IF($D854="","",IF(OR($F854="",$F854=0),"Pending",IF(ROUND($F854-$D854,2)&gt;0,"Overpaid",IF(ROUND($F854-$D854,2)=0,"Paid","Partial"))))</f>
      </c>
      <c r="J854" s="29"/>
      <c r="K854">
        <f>IF($A854="","","#"&amp;TRIM(SUBSTITUTE(SUBSTITUTE(SUBSTITUTE(SUBSTITUTE(SUBSTITUTE(SUBSTITUTE($A854,"-",""),"(",""),")",""),".",""),"+","")," ","")))</f>
      </c>
    </row>
    <row r="855" spans="1:11" x14ac:dyDescent="0.3">
      <c r="A855" s="28"/>
      <c r="B855" s="29"/>
      <c r="C855" s="30"/>
      <c r="D855" s="31"/>
      <c r="E855" s="33">
        <f>IF(OR($D855="",$K855=""),"",IF(COUNTIFS(Payments!$G$5:$G$2500,$K855,Payments!$C$5:$C$2500,"&lt;&gt;")=0,"",_xlfn.MAXIFS(Payments!$C$5:$C$2500,Payments!$G$5:$G$2500,$K855)))</f>
      </c>
      <c r="F855" s="34">
        <f>IF(OR($D855="",$K855=""),"",SUMIF(Payments!$G$5:$G$2500,$K855,Payments!$D$5:$D$2500))</f>
      </c>
      <c r="G855" s="36">
        <f>IF($D855="","",ROUND($D855-IF($F855="",0,$F855),2))</f>
      </c>
      <c r="H855" s="35">
        <f>IF(OR($D855="",$K855=""),"",COUNTIF(Payments!$G$5:$G$2500,$K855))</f>
      </c>
      <c r="I855" s="37">
        <f>IF($D855="","",IF(OR($F855="",$F855=0),"Pending",IF(ROUND($F855-$D855,2)&gt;0,"Overpaid",IF(ROUND($F855-$D855,2)=0,"Paid","Partial"))))</f>
      </c>
      <c r="J855" s="29"/>
      <c r="K855">
        <f>IF($A855="","","#"&amp;TRIM(SUBSTITUTE(SUBSTITUTE(SUBSTITUTE(SUBSTITUTE(SUBSTITUTE(SUBSTITUTE($A855,"-",""),"(",""),")",""),".",""),"+","")," ","")))</f>
      </c>
    </row>
    <row r="856" spans="1:11" x14ac:dyDescent="0.3">
      <c r="A856" s="28"/>
      <c r="B856" s="29"/>
      <c r="C856" s="30"/>
      <c r="D856" s="31"/>
      <c r="E856" s="33">
        <f>IF(OR($D856="",$K856=""),"",IF(COUNTIFS(Payments!$G$5:$G$2500,$K856,Payments!$C$5:$C$2500,"&lt;&gt;")=0,"",_xlfn.MAXIFS(Payments!$C$5:$C$2500,Payments!$G$5:$G$2500,$K856)))</f>
      </c>
      <c r="F856" s="34">
        <f>IF(OR($D856="",$K856=""),"",SUMIF(Payments!$G$5:$G$2500,$K856,Payments!$D$5:$D$2500))</f>
      </c>
      <c r="G856" s="36">
        <f>IF($D856="","",ROUND($D856-IF($F856="",0,$F856),2))</f>
      </c>
      <c r="H856" s="35">
        <f>IF(OR($D856="",$K856=""),"",COUNTIF(Payments!$G$5:$G$2500,$K856))</f>
      </c>
      <c r="I856" s="37">
        <f>IF($D856="","",IF(OR($F856="",$F856=0),"Pending",IF(ROUND($F856-$D856,2)&gt;0,"Overpaid",IF(ROUND($F856-$D856,2)=0,"Paid","Partial"))))</f>
      </c>
      <c r="J856" s="29"/>
      <c r="K856">
        <f>IF($A856="","","#"&amp;TRIM(SUBSTITUTE(SUBSTITUTE(SUBSTITUTE(SUBSTITUTE(SUBSTITUTE(SUBSTITUTE($A856,"-",""),"(",""),")",""),".",""),"+","")," ","")))</f>
      </c>
    </row>
    <row r="857" spans="1:11" x14ac:dyDescent="0.3">
      <c r="A857" s="28"/>
      <c r="B857" s="29"/>
      <c r="C857" s="30"/>
      <c r="D857" s="31"/>
      <c r="E857" s="33">
        <f>IF(OR($D857="",$K857=""),"",IF(COUNTIFS(Payments!$G$5:$G$2500,$K857,Payments!$C$5:$C$2500,"&lt;&gt;")=0,"",_xlfn.MAXIFS(Payments!$C$5:$C$2500,Payments!$G$5:$G$2500,$K857)))</f>
      </c>
      <c r="F857" s="34">
        <f>IF(OR($D857="",$K857=""),"",SUMIF(Payments!$G$5:$G$2500,$K857,Payments!$D$5:$D$2500))</f>
      </c>
      <c r="G857" s="36">
        <f>IF($D857="","",ROUND($D857-IF($F857="",0,$F857),2))</f>
      </c>
      <c r="H857" s="35">
        <f>IF(OR($D857="",$K857=""),"",COUNTIF(Payments!$G$5:$G$2500,$K857))</f>
      </c>
      <c r="I857" s="37">
        <f>IF($D857="","",IF(OR($F857="",$F857=0),"Pending",IF(ROUND($F857-$D857,2)&gt;0,"Overpaid",IF(ROUND($F857-$D857,2)=0,"Paid","Partial"))))</f>
      </c>
      <c r="J857" s="29"/>
      <c r="K857">
        <f>IF($A857="","","#"&amp;TRIM(SUBSTITUTE(SUBSTITUTE(SUBSTITUTE(SUBSTITUTE(SUBSTITUTE(SUBSTITUTE($A857,"-",""),"(",""),")",""),".",""),"+","")," ","")))</f>
      </c>
    </row>
    <row r="858" spans="1:11" x14ac:dyDescent="0.3">
      <c r="A858" s="28"/>
      <c r="B858" s="29"/>
      <c r="C858" s="30"/>
      <c r="D858" s="31"/>
      <c r="E858" s="33">
        <f>IF(OR($D858="",$K858=""),"",IF(COUNTIFS(Payments!$G$5:$G$2500,$K858,Payments!$C$5:$C$2500,"&lt;&gt;")=0,"",_xlfn.MAXIFS(Payments!$C$5:$C$2500,Payments!$G$5:$G$2500,$K858)))</f>
      </c>
      <c r="F858" s="34">
        <f>IF(OR($D858="",$K858=""),"",SUMIF(Payments!$G$5:$G$2500,$K858,Payments!$D$5:$D$2500))</f>
      </c>
      <c r="G858" s="36">
        <f>IF($D858="","",ROUND($D858-IF($F858="",0,$F858),2))</f>
      </c>
      <c r="H858" s="35">
        <f>IF(OR($D858="",$K858=""),"",COUNTIF(Payments!$G$5:$G$2500,$K858))</f>
      </c>
      <c r="I858" s="37">
        <f>IF($D858="","",IF(OR($F858="",$F858=0),"Pending",IF(ROUND($F858-$D858,2)&gt;0,"Overpaid",IF(ROUND($F858-$D858,2)=0,"Paid","Partial"))))</f>
      </c>
      <c r="J858" s="29"/>
      <c r="K858">
        <f>IF($A858="","","#"&amp;TRIM(SUBSTITUTE(SUBSTITUTE(SUBSTITUTE(SUBSTITUTE(SUBSTITUTE(SUBSTITUTE($A858,"-",""),"(",""),")",""),".",""),"+","")," ","")))</f>
      </c>
    </row>
    <row r="859" spans="1:11" x14ac:dyDescent="0.3">
      <c r="A859" s="28"/>
      <c r="B859" s="29"/>
      <c r="C859" s="30"/>
      <c r="D859" s="31"/>
      <c r="E859" s="33">
        <f>IF(OR($D859="",$K859=""),"",IF(COUNTIFS(Payments!$G$5:$G$2500,$K859,Payments!$C$5:$C$2500,"&lt;&gt;")=0,"",_xlfn.MAXIFS(Payments!$C$5:$C$2500,Payments!$G$5:$G$2500,$K859)))</f>
      </c>
      <c r="F859" s="34">
        <f>IF(OR($D859="",$K859=""),"",SUMIF(Payments!$G$5:$G$2500,$K859,Payments!$D$5:$D$2500))</f>
      </c>
      <c r="G859" s="36">
        <f>IF($D859="","",ROUND($D859-IF($F859="",0,$F859),2))</f>
      </c>
      <c r="H859" s="35">
        <f>IF(OR($D859="",$K859=""),"",COUNTIF(Payments!$G$5:$G$2500,$K859))</f>
      </c>
      <c r="I859" s="37">
        <f>IF($D859="","",IF(OR($F859="",$F859=0),"Pending",IF(ROUND($F859-$D859,2)&gt;0,"Overpaid",IF(ROUND($F859-$D859,2)=0,"Paid","Partial"))))</f>
      </c>
      <c r="J859" s="29"/>
      <c r="K859">
        <f>IF($A859="","","#"&amp;TRIM(SUBSTITUTE(SUBSTITUTE(SUBSTITUTE(SUBSTITUTE(SUBSTITUTE(SUBSTITUTE($A859,"-",""),"(",""),")",""),".",""),"+","")," ","")))</f>
      </c>
    </row>
    <row r="860" spans="1:11" x14ac:dyDescent="0.3">
      <c r="A860" s="28"/>
      <c r="B860" s="29"/>
      <c r="C860" s="30"/>
      <c r="D860" s="31"/>
      <c r="E860" s="33">
        <f>IF(OR($D860="",$K860=""),"",IF(COUNTIFS(Payments!$G$5:$G$2500,$K860,Payments!$C$5:$C$2500,"&lt;&gt;")=0,"",_xlfn.MAXIFS(Payments!$C$5:$C$2500,Payments!$G$5:$G$2500,$K860)))</f>
      </c>
      <c r="F860" s="34">
        <f>IF(OR($D860="",$K860=""),"",SUMIF(Payments!$G$5:$G$2500,$K860,Payments!$D$5:$D$2500))</f>
      </c>
      <c r="G860" s="36">
        <f>IF($D860="","",ROUND($D860-IF($F860="",0,$F860),2))</f>
      </c>
      <c r="H860" s="35">
        <f>IF(OR($D860="",$K860=""),"",COUNTIF(Payments!$G$5:$G$2500,$K860))</f>
      </c>
      <c r="I860" s="37">
        <f>IF($D860="","",IF(OR($F860="",$F860=0),"Pending",IF(ROUND($F860-$D860,2)&gt;0,"Overpaid",IF(ROUND($F860-$D860,2)=0,"Paid","Partial"))))</f>
      </c>
      <c r="J860" s="29"/>
      <c r="K860">
        <f>IF($A860="","","#"&amp;TRIM(SUBSTITUTE(SUBSTITUTE(SUBSTITUTE(SUBSTITUTE(SUBSTITUTE(SUBSTITUTE($A860,"-",""),"(",""),")",""),".",""),"+","")," ","")))</f>
      </c>
    </row>
    <row r="861" spans="1:11" x14ac:dyDescent="0.3">
      <c r="A861" s="28"/>
      <c r="B861" s="29"/>
      <c r="C861" s="30"/>
      <c r="D861" s="31"/>
      <c r="E861" s="33">
        <f>IF(OR($D861="",$K861=""),"",IF(COUNTIFS(Payments!$G$5:$G$2500,$K861,Payments!$C$5:$C$2500,"&lt;&gt;")=0,"",_xlfn.MAXIFS(Payments!$C$5:$C$2500,Payments!$G$5:$G$2500,$K861)))</f>
      </c>
      <c r="F861" s="34">
        <f>IF(OR($D861="",$K861=""),"",SUMIF(Payments!$G$5:$G$2500,$K861,Payments!$D$5:$D$2500))</f>
      </c>
      <c r="G861" s="36">
        <f>IF($D861="","",ROUND($D861-IF($F861="",0,$F861),2))</f>
      </c>
      <c r="H861" s="35">
        <f>IF(OR($D861="",$K861=""),"",COUNTIF(Payments!$G$5:$G$2500,$K861))</f>
      </c>
      <c r="I861" s="37">
        <f>IF($D861="","",IF(OR($F861="",$F861=0),"Pending",IF(ROUND($F861-$D861,2)&gt;0,"Overpaid",IF(ROUND($F861-$D861,2)=0,"Paid","Partial"))))</f>
      </c>
      <c r="J861" s="29"/>
      <c r="K861">
        <f>IF($A861="","","#"&amp;TRIM(SUBSTITUTE(SUBSTITUTE(SUBSTITUTE(SUBSTITUTE(SUBSTITUTE(SUBSTITUTE($A861,"-",""),"(",""),")",""),".",""),"+","")," ","")))</f>
      </c>
    </row>
    <row r="862" spans="1:11" x14ac:dyDescent="0.3">
      <c r="A862" s="28"/>
      <c r="B862" s="29"/>
      <c r="C862" s="30"/>
      <c r="D862" s="31"/>
      <c r="E862" s="33">
        <f>IF(OR($D862="",$K862=""),"",IF(COUNTIFS(Payments!$G$5:$G$2500,$K862,Payments!$C$5:$C$2500,"&lt;&gt;")=0,"",_xlfn.MAXIFS(Payments!$C$5:$C$2500,Payments!$G$5:$G$2500,$K862)))</f>
      </c>
      <c r="F862" s="34">
        <f>IF(OR($D862="",$K862=""),"",SUMIF(Payments!$G$5:$G$2500,$K862,Payments!$D$5:$D$2500))</f>
      </c>
      <c r="G862" s="36">
        <f>IF($D862="","",ROUND($D862-IF($F862="",0,$F862),2))</f>
      </c>
      <c r="H862" s="35">
        <f>IF(OR($D862="",$K862=""),"",COUNTIF(Payments!$G$5:$G$2500,$K862))</f>
      </c>
      <c r="I862" s="37">
        <f>IF($D862="","",IF(OR($F862="",$F862=0),"Pending",IF(ROUND($F862-$D862,2)&gt;0,"Overpaid",IF(ROUND($F862-$D862,2)=0,"Paid","Partial"))))</f>
      </c>
      <c r="J862" s="29"/>
      <c r="K862">
        <f>IF($A862="","","#"&amp;TRIM(SUBSTITUTE(SUBSTITUTE(SUBSTITUTE(SUBSTITUTE(SUBSTITUTE(SUBSTITUTE($A862,"-",""),"(",""),")",""),".",""),"+","")," ","")))</f>
      </c>
    </row>
    <row r="863" spans="1:11" x14ac:dyDescent="0.3">
      <c r="A863" s="28"/>
      <c r="B863" s="29"/>
      <c r="C863" s="30"/>
      <c r="D863" s="31"/>
      <c r="E863" s="33">
        <f>IF(OR($D863="",$K863=""),"",IF(COUNTIFS(Payments!$G$5:$G$2500,$K863,Payments!$C$5:$C$2500,"&lt;&gt;")=0,"",_xlfn.MAXIFS(Payments!$C$5:$C$2500,Payments!$G$5:$G$2500,$K863)))</f>
      </c>
      <c r="F863" s="34">
        <f>IF(OR($D863="",$K863=""),"",SUMIF(Payments!$G$5:$G$2500,$K863,Payments!$D$5:$D$2500))</f>
      </c>
      <c r="G863" s="36">
        <f>IF($D863="","",ROUND($D863-IF($F863="",0,$F863),2))</f>
      </c>
      <c r="H863" s="35">
        <f>IF(OR($D863="",$K863=""),"",COUNTIF(Payments!$G$5:$G$2500,$K863))</f>
      </c>
      <c r="I863" s="37">
        <f>IF($D863="","",IF(OR($F863="",$F863=0),"Pending",IF(ROUND($F863-$D863,2)&gt;0,"Overpaid",IF(ROUND($F863-$D863,2)=0,"Paid","Partial"))))</f>
      </c>
      <c r="J863" s="29"/>
      <c r="K863">
        <f>IF($A863="","","#"&amp;TRIM(SUBSTITUTE(SUBSTITUTE(SUBSTITUTE(SUBSTITUTE(SUBSTITUTE(SUBSTITUTE($A863,"-",""),"(",""),")",""),".",""),"+","")," ","")))</f>
      </c>
    </row>
    <row r="864" spans="1:11" x14ac:dyDescent="0.3">
      <c r="A864" s="28"/>
      <c r="B864" s="29"/>
      <c r="C864" s="30"/>
      <c r="D864" s="31"/>
      <c r="E864" s="33">
        <f>IF(OR($D864="",$K864=""),"",IF(COUNTIFS(Payments!$G$5:$G$2500,$K864,Payments!$C$5:$C$2500,"&lt;&gt;")=0,"",_xlfn.MAXIFS(Payments!$C$5:$C$2500,Payments!$G$5:$G$2500,$K864)))</f>
      </c>
      <c r="F864" s="34">
        <f>IF(OR($D864="",$K864=""),"",SUMIF(Payments!$G$5:$G$2500,$K864,Payments!$D$5:$D$2500))</f>
      </c>
      <c r="G864" s="36">
        <f>IF($D864="","",ROUND($D864-IF($F864="",0,$F864),2))</f>
      </c>
      <c r="H864" s="35">
        <f>IF(OR($D864="",$K864=""),"",COUNTIF(Payments!$G$5:$G$2500,$K864))</f>
      </c>
      <c r="I864" s="37">
        <f>IF($D864="","",IF(OR($F864="",$F864=0),"Pending",IF(ROUND($F864-$D864,2)&gt;0,"Overpaid",IF(ROUND($F864-$D864,2)=0,"Paid","Partial"))))</f>
      </c>
      <c r="J864" s="29"/>
      <c r="K864">
        <f>IF($A864="","","#"&amp;TRIM(SUBSTITUTE(SUBSTITUTE(SUBSTITUTE(SUBSTITUTE(SUBSTITUTE(SUBSTITUTE($A864,"-",""),"(",""),")",""),".",""),"+","")," ","")))</f>
      </c>
    </row>
    <row r="865" spans="1:11" x14ac:dyDescent="0.3">
      <c r="A865" s="28"/>
      <c r="B865" s="29"/>
      <c r="C865" s="30"/>
      <c r="D865" s="31"/>
      <c r="E865" s="33">
        <f>IF(OR($D865="",$K865=""),"",IF(COUNTIFS(Payments!$G$5:$G$2500,$K865,Payments!$C$5:$C$2500,"&lt;&gt;")=0,"",_xlfn.MAXIFS(Payments!$C$5:$C$2500,Payments!$G$5:$G$2500,$K865)))</f>
      </c>
      <c r="F865" s="34">
        <f>IF(OR($D865="",$K865=""),"",SUMIF(Payments!$G$5:$G$2500,$K865,Payments!$D$5:$D$2500))</f>
      </c>
      <c r="G865" s="36">
        <f>IF($D865="","",ROUND($D865-IF($F865="",0,$F865),2))</f>
      </c>
      <c r="H865" s="35">
        <f>IF(OR($D865="",$K865=""),"",COUNTIF(Payments!$G$5:$G$2500,$K865))</f>
      </c>
      <c r="I865" s="37">
        <f>IF($D865="","",IF(OR($F865="",$F865=0),"Pending",IF(ROUND($F865-$D865,2)&gt;0,"Overpaid",IF(ROUND($F865-$D865,2)=0,"Paid","Partial"))))</f>
      </c>
      <c r="J865" s="29"/>
      <c r="K865">
        <f>IF($A865="","","#"&amp;TRIM(SUBSTITUTE(SUBSTITUTE(SUBSTITUTE(SUBSTITUTE(SUBSTITUTE(SUBSTITUTE($A865,"-",""),"(",""),")",""),".",""),"+","")," ","")))</f>
      </c>
    </row>
    <row r="866" spans="1:11" x14ac:dyDescent="0.3">
      <c r="A866" s="28"/>
      <c r="B866" s="29"/>
      <c r="C866" s="30"/>
      <c r="D866" s="31"/>
      <c r="E866" s="33">
        <f>IF(OR($D866="",$K866=""),"",IF(COUNTIFS(Payments!$G$5:$G$2500,$K866,Payments!$C$5:$C$2500,"&lt;&gt;")=0,"",_xlfn.MAXIFS(Payments!$C$5:$C$2500,Payments!$G$5:$G$2500,$K866)))</f>
      </c>
      <c r="F866" s="34">
        <f>IF(OR($D866="",$K866=""),"",SUMIF(Payments!$G$5:$G$2500,$K866,Payments!$D$5:$D$2500))</f>
      </c>
      <c r="G866" s="36">
        <f>IF($D866="","",ROUND($D866-IF($F866="",0,$F866),2))</f>
      </c>
      <c r="H866" s="35">
        <f>IF(OR($D866="",$K866=""),"",COUNTIF(Payments!$G$5:$G$2500,$K866))</f>
      </c>
      <c r="I866" s="37">
        <f>IF($D866="","",IF(OR($F866="",$F866=0),"Pending",IF(ROUND($F866-$D866,2)&gt;0,"Overpaid",IF(ROUND($F866-$D866,2)=0,"Paid","Partial"))))</f>
      </c>
      <c r="J866" s="29"/>
      <c r="K866">
        <f>IF($A866="","","#"&amp;TRIM(SUBSTITUTE(SUBSTITUTE(SUBSTITUTE(SUBSTITUTE(SUBSTITUTE(SUBSTITUTE($A866,"-",""),"(",""),")",""),".",""),"+","")," ","")))</f>
      </c>
    </row>
    <row r="867" spans="1:11" x14ac:dyDescent="0.3">
      <c r="A867" s="28"/>
      <c r="B867" s="29"/>
      <c r="C867" s="30"/>
      <c r="D867" s="31"/>
      <c r="E867" s="33">
        <f>IF(OR($D867="",$K867=""),"",IF(COUNTIFS(Payments!$G$5:$G$2500,$K867,Payments!$C$5:$C$2500,"&lt;&gt;")=0,"",_xlfn.MAXIFS(Payments!$C$5:$C$2500,Payments!$G$5:$G$2500,$K867)))</f>
      </c>
      <c r="F867" s="34">
        <f>IF(OR($D867="",$K867=""),"",SUMIF(Payments!$G$5:$G$2500,$K867,Payments!$D$5:$D$2500))</f>
      </c>
      <c r="G867" s="36">
        <f>IF($D867="","",ROUND($D867-IF($F867="",0,$F867),2))</f>
      </c>
      <c r="H867" s="35">
        <f>IF(OR($D867="",$K867=""),"",COUNTIF(Payments!$G$5:$G$2500,$K867))</f>
      </c>
      <c r="I867" s="37">
        <f>IF($D867="","",IF(OR($F867="",$F867=0),"Pending",IF(ROUND($F867-$D867,2)&gt;0,"Overpaid",IF(ROUND($F867-$D867,2)=0,"Paid","Partial"))))</f>
      </c>
      <c r="J867" s="29"/>
      <c r="K867">
        <f>IF($A867="","","#"&amp;TRIM(SUBSTITUTE(SUBSTITUTE(SUBSTITUTE(SUBSTITUTE(SUBSTITUTE(SUBSTITUTE($A867,"-",""),"(",""),")",""),".",""),"+","")," ","")))</f>
      </c>
    </row>
    <row r="868" spans="1:11" x14ac:dyDescent="0.3">
      <c r="A868" s="28"/>
      <c r="B868" s="29"/>
      <c r="C868" s="30"/>
      <c r="D868" s="31"/>
      <c r="E868" s="33">
        <f>IF(OR($D868="",$K868=""),"",IF(COUNTIFS(Payments!$G$5:$G$2500,$K868,Payments!$C$5:$C$2500,"&lt;&gt;")=0,"",_xlfn.MAXIFS(Payments!$C$5:$C$2500,Payments!$G$5:$G$2500,$K868)))</f>
      </c>
      <c r="F868" s="34">
        <f>IF(OR($D868="",$K868=""),"",SUMIF(Payments!$G$5:$G$2500,$K868,Payments!$D$5:$D$2500))</f>
      </c>
      <c r="G868" s="36">
        <f>IF($D868="","",ROUND($D868-IF($F868="",0,$F868),2))</f>
      </c>
      <c r="H868" s="35">
        <f>IF(OR($D868="",$K868=""),"",COUNTIF(Payments!$G$5:$G$2500,$K868))</f>
      </c>
      <c r="I868" s="37">
        <f>IF($D868="","",IF(OR($F868="",$F868=0),"Pending",IF(ROUND($F868-$D868,2)&gt;0,"Overpaid",IF(ROUND($F868-$D868,2)=0,"Paid","Partial"))))</f>
      </c>
      <c r="J868" s="29"/>
      <c r="K868">
        <f>IF($A868="","","#"&amp;TRIM(SUBSTITUTE(SUBSTITUTE(SUBSTITUTE(SUBSTITUTE(SUBSTITUTE(SUBSTITUTE($A868,"-",""),"(",""),")",""),".",""),"+","")," ","")))</f>
      </c>
    </row>
    <row r="869" spans="1:11" x14ac:dyDescent="0.3">
      <c r="A869" s="28"/>
      <c r="B869" s="29"/>
      <c r="C869" s="30"/>
      <c r="D869" s="31"/>
      <c r="E869" s="33">
        <f>IF(OR($D869="",$K869=""),"",IF(COUNTIFS(Payments!$G$5:$G$2500,$K869,Payments!$C$5:$C$2500,"&lt;&gt;")=0,"",_xlfn.MAXIFS(Payments!$C$5:$C$2500,Payments!$G$5:$G$2500,$K869)))</f>
      </c>
      <c r="F869" s="34">
        <f>IF(OR($D869="",$K869=""),"",SUMIF(Payments!$G$5:$G$2500,$K869,Payments!$D$5:$D$2500))</f>
      </c>
      <c r="G869" s="36">
        <f>IF($D869="","",ROUND($D869-IF($F869="",0,$F869),2))</f>
      </c>
      <c r="H869" s="35">
        <f>IF(OR($D869="",$K869=""),"",COUNTIF(Payments!$G$5:$G$2500,$K869))</f>
      </c>
      <c r="I869" s="37">
        <f>IF($D869="","",IF(OR($F869="",$F869=0),"Pending",IF(ROUND($F869-$D869,2)&gt;0,"Overpaid",IF(ROUND($F869-$D869,2)=0,"Paid","Partial"))))</f>
      </c>
      <c r="J869" s="29"/>
      <c r="K869">
        <f>IF($A869="","","#"&amp;TRIM(SUBSTITUTE(SUBSTITUTE(SUBSTITUTE(SUBSTITUTE(SUBSTITUTE(SUBSTITUTE($A869,"-",""),"(",""),")",""),".",""),"+","")," ","")))</f>
      </c>
    </row>
    <row r="870" spans="1:11" x14ac:dyDescent="0.3">
      <c r="A870" s="28"/>
      <c r="B870" s="29"/>
      <c r="C870" s="30"/>
      <c r="D870" s="31"/>
      <c r="E870" s="33">
        <f>IF(OR($D870="",$K870=""),"",IF(COUNTIFS(Payments!$G$5:$G$2500,$K870,Payments!$C$5:$C$2500,"&lt;&gt;")=0,"",_xlfn.MAXIFS(Payments!$C$5:$C$2500,Payments!$G$5:$G$2500,$K870)))</f>
      </c>
      <c r="F870" s="34">
        <f>IF(OR($D870="",$K870=""),"",SUMIF(Payments!$G$5:$G$2500,$K870,Payments!$D$5:$D$2500))</f>
      </c>
      <c r="G870" s="36">
        <f>IF($D870="","",ROUND($D870-IF($F870="",0,$F870),2))</f>
      </c>
      <c r="H870" s="35">
        <f>IF(OR($D870="",$K870=""),"",COUNTIF(Payments!$G$5:$G$2500,$K870))</f>
      </c>
      <c r="I870" s="37">
        <f>IF($D870="","",IF(OR($F870="",$F870=0),"Pending",IF(ROUND($F870-$D870,2)&gt;0,"Overpaid",IF(ROUND($F870-$D870,2)=0,"Paid","Partial"))))</f>
      </c>
      <c r="J870" s="29"/>
      <c r="K870">
        <f>IF($A870="","","#"&amp;TRIM(SUBSTITUTE(SUBSTITUTE(SUBSTITUTE(SUBSTITUTE(SUBSTITUTE(SUBSTITUTE($A870,"-",""),"(",""),")",""),".",""),"+","")," ","")))</f>
      </c>
    </row>
    <row r="871" spans="1:11" x14ac:dyDescent="0.3">
      <c r="A871" s="28"/>
      <c r="B871" s="29"/>
      <c r="C871" s="30"/>
      <c r="D871" s="31"/>
      <c r="E871" s="33">
        <f>IF(OR($D871="",$K871=""),"",IF(COUNTIFS(Payments!$G$5:$G$2500,$K871,Payments!$C$5:$C$2500,"&lt;&gt;")=0,"",_xlfn.MAXIFS(Payments!$C$5:$C$2500,Payments!$G$5:$G$2500,$K871)))</f>
      </c>
      <c r="F871" s="34">
        <f>IF(OR($D871="",$K871=""),"",SUMIF(Payments!$G$5:$G$2500,$K871,Payments!$D$5:$D$2500))</f>
      </c>
      <c r="G871" s="36">
        <f>IF($D871="","",ROUND($D871-IF($F871="",0,$F871),2))</f>
      </c>
      <c r="H871" s="35">
        <f>IF(OR($D871="",$K871=""),"",COUNTIF(Payments!$G$5:$G$2500,$K871))</f>
      </c>
      <c r="I871" s="37">
        <f>IF($D871="","",IF(OR($F871="",$F871=0),"Pending",IF(ROUND($F871-$D871,2)&gt;0,"Overpaid",IF(ROUND($F871-$D871,2)=0,"Paid","Partial"))))</f>
      </c>
      <c r="J871" s="29"/>
      <c r="K871">
        <f>IF($A871="","","#"&amp;TRIM(SUBSTITUTE(SUBSTITUTE(SUBSTITUTE(SUBSTITUTE(SUBSTITUTE(SUBSTITUTE($A871,"-",""),"(",""),")",""),".",""),"+","")," ","")))</f>
      </c>
    </row>
    <row r="872" spans="1:11" x14ac:dyDescent="0.3">
      <c r="A872" s="28"/>
      <c r="B872" s="29"/>
      <c r="C872" s="30"/>
      <c r="D872" s="31"/>
      <c r="E872" s="33">
        <f>IF(OR($D872="",$K872=""),"",IF(COUNTIFS(Payments!$G$5:$G$2500,$K872,Payments!$C$5:$C$2500,"&lt;&gt;")=0,"",_xlfn.MAXIFS(Payments!$C$5:$C$2500,Payments!$G$5:$G$2500,$K872)))</f>
      </c>
      <c r="F872" s="34">
        <f>IF(OR($D872="",$K872=""),"",SUMIF(Payments!$G$5:$G$2500,$K872,Payments!$D$5:$D$2500))</f>
      </c>
      <c r="G872" s="36">
        <f>IF($D872="","",ROUND($D872-IF($F872="",0,$F872),2))</f>
      </c>
      <c r="H872" s="35">
        <f>IF(OR($D872="",$K872=""),"",COUNTIF(Payments!$G$5:$G$2500,$K872))</f>
      </c>
      <c r="I872" s="37">
        <f>IF($D872="","",IF(OR($F872="",$F872=0),"Pending",IF(ROUND($F872-$D872,2)&gt;0,"Overpaid",IF(ROUND($F872-$D872,2)=0,"Paid","Partial"))))</f>
      </c>
      <c r="J872" s="29"/>
      <c r="K872">
        <f>IF($A872="","","#"&amp;TRIM(SUBSTITUTE(SUBSTITUTE(SUBSTITUTE(SUBSTITUTE(SUBSTITUTE(SUBSTITUTE($A872,"-",""),"(",""),")",""),".",""),"+","")," ","")))</f>
      </c>
    </row>
    <row r="873" spans="1:11" x14ac:dyDescent="0.3">
      <c r="A873" s="28"/>
      <c r="B873" s="29"/>
      <c r="C873" s="30"/>
      <c r="D873" s="31"/>
      <c r="E873" s="33">
        <f>IF(OR($D873="",$K873=""),"",IF(COUNTIFS(Payments!$G$5:$G$2500,$K873,Payments!$C$5:$C$2500,"&lt;&gt;")=0,"",_xlfn.MAXIFS(Payments!$C$5:$C$2500,Payments!$G$5:$G$2500,$K873)))</f>
      </c>
      <c r="F873" s="34">
        <f>IF(OR($D873="",$K873=""),"",SUMIF(Payments!$G$5:$G$2500,$K873,Payments!$D$5:$D$2500))</f>
      </c>
      <c r="G873" s="36">
        <f>IF($D873="","",ROUND($D873-IF($F873="",0,$F873),2))</f>
      </c>
      <c r="H873" s="35">
        <f>IF(OR($D873="",$K873=""),"",COUNTIF(Payments!$G$5:$G$2500,$K873))</f>
      </c>
      <c r="I873" s="37">
        <f>IF($D873="","",IF(OR($F873="",$F873=0),"Pending",IF(ROUND($F873-$D873,2)&gt;0,"Overpaid",IF(ROUND($F873-$D873,2)=0,"Paid","Partial"))))</f>
      </c>
      <c r="J873" s="29"/>
      <c r="K873">
        <f>IF($A873="","","#"&amp;TRIM(SUBSTITUTE(SUBSTITUTE(SUBSTITUTE(SUBSTITUTE(SUBSTITUTE(SUBSTITUTE($A873,"-",""),"(",""),")",""),".",""),"+","")," ","")))</f>
      </c>
    </row>
    <row r="874" spans="1:11" x14ac:dyDescent="0.3">
      <c r="A874" s="28"/>
      <c r="B874" s="29"/>
      <c r="C874" s="30"/>
      <c r="D874" s="31"/>
      <c r="E874" s="33">
        <f>IF(OR($D874="",$K874=""),"",IF(COUNTIFS(Payments!$G$5:$G$2500,$K874,Payments!$C$5:$C$2500,"&lt;&gt;")=0,"",_xlfn.MAXIFS(Payments!$C$5:$C$2500,Payments!$G$5:$G$2500,$K874)))</f>
      </c>
      <c r="F874" s="34">
        <f>IF(OR($D874="",$K874=""),"",SUMIF(Payments!$G$5:$G$2500,$K874,Payments!$D$5:$D$2500))</f>
      </c>
      <c r="G874" s="36">
        <f>IF($D874="","",ROUND($D874-IF($F874="",0,$F874),2))</f>
      </c>
      <c r="H874" s="35">
        <f>IF(OR($D874="",$K874=""),"",COUNTIF(Payments!$G$5:$G$2500,$K874))</f>
      </c>
      <c r="I874" s="37">
        <f>IF($D874="","",IF(OR($F874="",$F874=0),"Pending",IF(ROUND($F874-$D874,2)&gt;0,"Overpaid",IF(ROUND($F874-$D874,2)=0,"Paid","Partial"))))</f>
      </c>
      <c r="J874" s="29"/>
      <c r="K874">
        <f>IF($A874="","","#"&amp;TRIM(SUBSTITUTE(SUBSTITUTE(SUBSTITUTE(SUBSTITUTE(SUBSTITUTE(SUBSTITUTE($A874,"-",""),"(",""),")",""),".",""),"+","")," ","")))</f>
      </c>
    </row>
    <row r="875" spans="1:11" x14ac:dyDescent="0.3">
      <c r="A875" s="28"/>
      <c r="B875" s="29"/>
      <c r="C875" s="30"/>
      <c r="D875" s="31"/>
      <c r="E875" s="33">
        <f>IF(OR($D875="",$K875=""),"",IF(COUNTIFS(Payments!$G$5:$G$2500,$K875,Payments!$C$5:$C$2500,"&lt;&gt;")=0,"",_xlfn.MAXIFS(Payments!$C$5:$C$2500,Payments!$G$5:$G$2500,$K875)))</f>
      </c>
      <c r="F875" s="34">
        <f>IF(OR($D875="",$K875=""),"",SUMIF(Payments!$G$5:$G$2500,$K875,Payments!$D$5:$D$2500))</f>
      </c>
      <c r="G875" s="36">
        <f>IF($D875="","",ROUND($D875-IF($F875="",0,$F875),2))</f>
      </c>
      <c r="H875" s="35">
        <f>IF(OR($D875="",$K875=""),"",COUNTIF(Payments!$G$5:$G$2500,$K875))</f>
      </c>
      <c r="I875" s="37">
        <f>IF($D875="","",IF(OR($F875="",$F875=0),"Pending",IF(ROUND($F875-$D875,2)&gt;0,"Overpaid",IF(ROUND($F875-$D875,2)=0,"Paid","Partial"))))</f>
      </c>
      <c r="J875" s="29"/>
      <c r="K875">
        <f>IF($A875="","","#"&amp;TRIM(SUBSTITUTE(SUBSTITUTE(SUBSTITUTE(SUBSTITUTE(SUBSTITUTE(SUBSTITUTE($A875,"-",""),"(",""),")",""),".",""),"+","")," ","")))</f>
      </c>
    </row>
    <row r="876" spans="1:11" x14ac:dyDescent="0.3">
      <c r="A876" s="28"/>
      <c r="B876" s="29"/>
      <c r="C876" s="30"/>
      <c r="D876" s="31"/>
      <c r="E876" s="33">
        <f>IF(OR($D876="",$K876=""),"",IF(COUNTIFS(Payments!$G$5:$G$2500,$K876,Payments!$C$5:$C$2500,"&lt;&gt;")=0,"",_xlfn.MAXIFS(Payments!$C$5:$C$2500,Payments!$G$5:$G$2500,$K876)))</f>
      </c>
      <c r="F876" s="34">
        <f>IF(OR($D876="",$K876=""),"",SUMIF(Payments!$G$5:$G$2500,$K876,Payments!$D$5:$D$2500))</f>
      </c>
      <c r="G876" s="36">
        <f>IF($D876="","",ROUND($D876-IF($F876="",0,$F876),2))</f>
      </c>
      <c r="H876" s="35">
        <f>IF(OR($D876="",$K876=""),"",COUNTIF(Payments!$G$5:$G$2500,$K876))</f>
      </c>
      <c r="I876" s="37">
        <f>IF($D876="","",IF(OR($F876="",$F876=0),"Pending",IF(ROUND($F876-$D876,2)&gt;0,"Overpaid",IF(ROUND($F876-$D876,2)=0,"Paid","Partial"))))</f>
      </c>
      <c r="J876" s="29"/>
      <c r="K876">
        <f>IF($A876="","","#"&amp;TRIM(SUBSTITUTE(SUBSTITUTE(SUBSTITUTE(SUBSTITUTE(SUBSTITUTE(SUBSTITUTE($A876,"-",""),"(",""),")",""),".",""),"+","")," ","")))</f>
      </c>
    </row>
    <row r="877" spans="1:11" x14ac:dyDescent="0.3">
      <c r="A877" s="28"/>
      <c r="B877" s="29"/>
      <c r="C877" s="30"/>
      <c r="D877" s="31"/>
      <c r="E877" s="33">
        <f>IF(OR($D877="",$K877=""),"",IF(COUNTIFS(Payments!$G$5:$G$2500,$K877,Payments!$C$5:$C$2500,"&lt;&gt;")=0,"",_xlfn.MAXIFS(Payments!$C$5:$C$2500,Payments!$G$5:$G$2500,$K877)))</f>
      </c>
      <c r="F877" s="34">
        <f>IF(OR($D877="",$K877=""),"",SUMIF(Payments!$G$5:$G$2500,$K877,Payments!$D$5:$D$2500))</f>
      </c>
      <c r="G877" s="36">
        <f>IF($D877="","",ROUND($D877-IF($F877="",0,$F877),2))</f>
      </c>
      <c r="H877" s="35">
        <f>IF(OR($D877="",$K877=""),"",COUNTIF(Payments!$G$5:$G$2500,$K877))</f>
      </c>
      <c r="I877" s="37">
        <f>IF($D877="","",IF(OR($F877="",$F877=0),"Pending",IF(ROUND($F877-$D877,2)&gt;0,"Overpaid",IF(ROUND($F877-$D877,2)=0,"Paid","Partial"))))</f>
      </c>
      <c r="J877" s="29"/>
      <c r="K877">
        <f>IF($A877="","","#"&amp;TRIM(SUBSTITUTE(SUBSTITUTE(SUBSTITUTE(SUBSTITUTE(SUBSTITUTE(SUBSTITUTE($A877,"-",""),"(",""),")",""),".",""),"+","")," ","")))</f>
      </c>
    </row>
    <row r="878" spans="1:11" x14ac:dyDescent="0.3">
      <c r="A878" s="28"/>
      <c r="B878" s="29"/>
      <c r="C878" s="30"/>
      <c r="D878" s="31"/>
      <c r="E878" s="33">
        <f>IF(OR($D878="",$K878=""),"",IF(COUNTIFS(Payments!$G$5:$G$2500,$K878,Payments!$C$5:$C$2500,"&lt;&gt;")=0,"",_xlfn.MAXIFS(Payments!$C$5:$C$2500,Payments!$G$5:$G$2500,$K878)))</f>
      </c>
      <c r="F878" s="34">
        <f>IF(OR($D878="",$K878=""),"",SUMIF(Payments!$G$5:$G$2500,$K878,Payments!$D$5:$D$2500))</f>
      </c>
      <c r="G878" s="36">
        <f>IF($D878="","",ROUND($D878-IF($F878="",0,$F878),2))</f>
      </c>
      <c r="H878" s="35">
        <f>IF(OR($D878="",$K878=""),"",COUNTIF(Payments!$G$5:$G$2500,$K878))</f>
      </c>
      <c r="I878" s="37">
        <f>IF($D878="","",IF(OR($F878="",$F878=0),"Pending",IF(ROUND($F878-$D878,2)&gt;0,"Overpaid",IF(ROUND($F878-$D878,2)=0,"Paid","Partial"))))</f>
      </c>
      <c r="J878" s="29"/>
      <c r="K878">
        <f>IF($A878="","","#"&amp;TRIM(SUBSTITUTE(SUBSTITUTE(SUBSTITUTE(SUBSTITUTE(SUBSTITUTE(SUBSTITUTE($A878,"-",""),"(",""),")",""),".",""),"+","")," ","")))</f>
      </c>
    </row>
    <row r="879" spans="1:11" x14ac:dyDescent="0.3">
      <c r="A879" s="28"/>
      <c r="B879" s="29"/>
      <c r="C879" s="30"/>
      <c r="D879" s="31"/>
      <c r="E879" s="33">
        <f>IF(OR($D879="",$K879=""),"",IF(COUNTIFS(Payments!$G$5:$G$2500,$K879,Payments!$C$5:$C$2500,"&lt;&gt;")=0,"",_xlfn.MAXIFS(Payments!$C$5:$C$2500,Payments!$G$5:$G$2500,$K879)))</f>
      </c>
      <c r="F879" s="34">
        <f>IF(OR($D879="",$K879=""),"",SUMIF(Payments!$G$5:$G$2500,$K879,Payments!$D$5:$D$2500))</f>
      </c>
      <c r="G879" s="36">
        <f>IF($D879="","",ROUND($D879-IF($F879="",0,$F879),2))</f>
      </c>
      <c r="H879" s="35">
        <f>IF(OR($D879="",$K879=""),"",COUNTIF(Payments!$G$5:$G$2500,$K879))</f>
      </c>
      <c r="I879" s="37">
        <f>IF($D879="","",IF(OR($F879="",$F879=0),"Pending",IF(ROUND($F879-$D879,2)&gt;0,"Overpaid",IF(ROUND($F879-$D879,2)=0,"Paid","Partial"))))</f>
      </c>
      <c r="J879" s="29"/>
      <c r="K879">
        <f>IF($A879="","","#"&amp;TRIM(SUBSTITUTE(SUBSTITUTE(SUBSTITUTE(SUBSTITUTE(SUBSTITUTE(SUBSTITUTE($A879,"-",""),"(",""),")",""),".",""),"+","")," ","")))</f>
      </c>
    </row>
    <row r="880" spans="1:11" x14ac:dyDescent="0.3">
      <c r="A880" s="28"/>
      <c r="B880" s="29"/>
      <c r="C880" s="30"/>
      <c r="D880" s="31"/>
      <c r="E880" s="33">
        <f>IF(OR($D880="",$K880=""),"",IF(COUNTIFS(Payments!$G$5:$G$2500,$K880,Payments!$C$5:$C$2500,"&lt;&gt;")=0,"",_xlfn.MAXIFS(Payments!$C$5:$C$2500,Payments!$G$5:$G$2500,$K880)))</f>
      </c>
      <c r="F880" s="34">
        <f>IF(OR($D880="",$K880=""),"",SUMIF(Payments!$G$5:$G$2500,$K880,Payments!$D$5:$D$2500))</f>
      </c>
      <c r="G880" s="36">
        <f>IF($D880="","",ROUND($D880-IF($F880="",0,$F880),2))</f>
      </c>
      <c r="H880" s="35">
        <f>IF(OR($D880="",$K880=""),"",COUNTIF(Payments!$G$5:$G$2500,$K880))</f>
      </c>
      <c r="I880" s="37">
        <f>IF($D880="","",IF(OR($F880="",$F880=0),"Pending",IF(ROUND($F880-$D880,2)&gt;0,"Overpaid",IF(ROUND($F880-$D880,2)=0,"Paid","Partial"))))</f>
      </c>
      <c r="J880" s="29"/>
      <c r="K880">
        <f>IF($A880="","","#"&amp;TRIM(SUBSTITUTE(SUBSTITUTE(SUBSTITUTE(SUBSTITUTE(SUBSTITUTE(SUBSTITUTE($A880,"-",""),"(",""),")",""),".",""),"+","")," ","")))</f>
      </c>
    </row>
    <row r="881" spans="1:11" x14ac:dyDescent="0.3">
      <c r="A881" s="28"/>
      <c r="B881" s="29"/>
      <c r="C881" s="30"/>
      <c r="D881" s="31"/>
      <c r="E881" s="33">
        <f>IF(OR($D881="",$K881=""),"",IF(COUNTIFS(Payments!$G$5:$G$2500,$K881,Payments!$C$5:$C$2500,"&lt;&gt;")=0,"",_xlfn.MAXIFS(Payments!$C$5:$C$2500,Payments!$G$5:$G$2500,$K881)))</f>
      </c>
      <c r="F881" s="34">
        <f>IF(OR($D881="",$K881=""),"",SUMIF(Payments!$G$5:$G$2500,$K881,Payments!$D$5:$D$2500))</f>
      </c>
      <c r="G881" s="36">
        <f>IF($D881="","",ROUND($D881-IF($F881="",0,$F881),2))</f>
      </c>
      <c r="H881" s="35">
        <f>IF(OR($D881="",$K881=""),"",COUNTIF(Payments!$G$5:$G$2500,$K881))</f>
      </c>
      <c r="I881" s="37">
        <f>IF($D881="","",IF(OR($F881="",$F881=0),"Pending",IF(ROUND($F881-$D881,2)&gt;0,"Overpaid",IF(ROUND($F881-$D881,2)=0,"Paid","Partial"))))</f>
      </c>
      <c r="J881" s="29"/>
      <c r="K881">
        <f>IF($A881="","","#"&amp;TRIM(SUBSTITUTE(SUBSTITUTE(SUBSTITUTE(SUBSTITUTE(SUBSTITUTE(SUBSTITUTE($A881,"-",""),"(",""),")",""),".",""),"+","")," ","")))</f>
      </c>
    </row>
    <row r="882" spans="1:11" x14ac:dyDescent="0.3">
      <c r="A882" s="28"/>
      <c r="B882" s="29"/>
      <c r="C882" s="30"/>
      <c r="D882" s="31"/>
      <c r="E882" s="33">
        <f>IF(OR($D882="",$K882=""),"",IF(COUNTIFS(Payments!$G$5:$G$2500,$K882,Payments!$C$5:$C$2500,"&lt;&gt;")=0,"",_xlfn.MAXIFS(Payments!$C$5:$C$2500,Payments!$G$5:$G$2500,$K882)))</f>
      </c>
      <c r="F882" s="34">
        <f>IF(OR($D882="",$K882=""),"",SUMIF(Payments!$G$5:$G$2500,$K882,Payments!$D$5:$D$2500))</f>
      </c>
      <c r="G882" s="36">
        <f>IF($D882="","",ROUND($D882-IF($F882="",0,$F882),2))</f>
      </c>
      <c r="H882" s="35">
        <f>IF(OR($D882="",$K882=""),"",COUNTIF(Payments!$G$5:$G$2500,$K882))</f>
      </c>
      <c r="I882" s="37">
        <f>IF($D882="","",IF(OR($F882="",$F882=0),"Pending",IF(ROUND($F882-$D882,2)&gt;0,"Overpaid",IF(ROUND($F882-$D882,2)=0,"Paid","Partial"))))</f>
      </c>
      <c r="J882" s="29"/>
      <c r="K882">
        <f>IF($A882="","","#"&amp;TRIM(SUBSTITUTE(SUBSTITUTE(SUBSTITUTE(SUBSTITUTE(SUBSTITUTE(SUBSTITUTE($A882,"-",""),"(",""),")",""),".",""),"+","")," ","")))</f>
      </c>
    </row>
    <row r="883" spans="1:11" x14ac:dyDescent="0.3">
      <c r="A883" s="28"/>
      <c r="B883" s="29"/>
      <c r="C883" s="30"/>
      <c r="D883" s="31"/>
      <c r="E883" s="33">
        <f>IF(OR($D883="",$K883=""),"",IF(COUNTIFS(Payments!$G$5:$G$2500,$K883,Payments!$C$5:$C$2500,"&lt;&gt;")=0,"",_xlfn.MAXIFS(Payments!$C$5:$C$2500,Payments!$G$5:$G$2500,$K883)))</f>
      </c>
      <c r="F883" s="34">
        <f>IF(OR($D883="",$K883=""),"",SUMIF(Payments!$G$5:$G$2500,$K883,Payments!$D$5:$D$2500))</f>
      </c>
      <c r="G883" s="36">
        <f>IF($D883="","",ROUND($D883-IF($F883="",0,$F883),2))</f>
      </c>
      <c r="H883" s="35">
        <f>IF(OR($D883="",$K883=""),"",COUNTIF(Payments!$G$5:$G$2500,$K883))</f>
      </c>
      <c r="I883" s="37">
        <f>IF($D883="","",IF(OR($F883="",$F883=0),"Pending",IF(ROUND($F883-$D883,2)&gt;0,"Overpaid",IF(ROUND($F883-$D883,2)=0,"Paid","Partial"))))</f>
      </c>
      <c r="J883" s="29"/>
      <c r="K883">
        <f>IF($A883="","","#"&amp;TRIM(SUBSTITUTE(SUBSTITUTE(SUBSTITUTE(SUBSTITUTE(SUBSTITUTE(SUBSTITUTE($A883,"-",""),"(",""),")",""),".",""),"+","")," ","")))</f>
      </c>
    </row>
    <row r="884" spans="1:11" x14ac:dyDescent="0.3">
      <c r="A884" s="28"/>
      <c r="B884" s="29"/>
      <c r="C884" s="30"/>
      <c r="D884" s="31"/>
      <c r="E884" s="33">
        <f>IF(OR($D884="",$K884=""),"",IF(COUNTIFS(Payments!$G$5:$G$2500,$K884,Payments!$C$5:$C$2500,"&lt;&gt;")=0,"",_xlfn.MAXIFS(Payments!$C$5:$C$2500,Payments!$G$5:$G$2500,$K884)))</f>
      </c>
      <c r="F884" s="34">
        <f>IF(OR($D884="",$K884=""),"",SUMIF(Payments!$G$5:$G$2500,$K884,Payments!$D$5:$D$2500))</f>
      </c>
      <c r="G884" s="36">
        <f>IF($D884="","",ROUND($D884-IF($F884="",0,$F884),2))</f>
      </c>
      <c r="H884" s="35">
        <f>IF(OR($D884="",$K884=""),"",COUNTIF(Payments!$G$5:$G$2500,$K884))</f>
      </c>
      <c r="I884" s="37">
        <f>IF($D884="","",IF(OR($F884="",$F884=0),"Pending",IF(ROUND($F884-$D884,2)&gt;0,"Overpaid",IF(ROUND($F884-$D884,2)=0,"Paid","Partial"))))</f>
      </c>
      <c r="J884" s="29"/>
      <c r="K884">
        <f>IF($A884="","","#"&amp;TRIM(SUBSTITUTE(SUBSTITUTE(SUBSTITUTE(SUBSTITUTE(SUBSTITUTE(SUBSTITUTE($A884,"-",""),"(",""),")",""),".",""),"+","")," ","")))</f>
      </c>
    </row>
    <row r="885" spans="1:11" x14ac:dyDescent="0.3">
      <c r="A885" s="28"/>
      <c r="B885" s="29"/>
      <c r="C885" s="30"/>
      <c r="D885" s="31"/>
      <c r="E885" s="33">
        <f>IF(OR($D885="",$K885=""),"",IF(COUNTIFS(Payments!$G$5:$G$2500,$K885,Payments!$C$5:$C$2500,"&lt;&gt;")=0,"",_xlfn.MAXIFS(Payments!$C$5:$C$2500,Payments!$G$5:$G$2500,$K885)))</f>
      </c>
      <c r="F885" s="34">
        <f>IF(OR($D885="",$K885=""),"",SUMIF(Payments!$G$5:$G$2500,$K885,Payments!$D$5:$D$2500))</f>
      </c>
      <c r="G885" s="36">
        <f>IF($D885="","",ROUND($D885-IF($F885="",0,$F885),2))</f>
      </c>
      <c r="H885" s="35">
        <f>IF(OR($D885="",$K885=""),"",COUNTIF(Payments!$G$5:$G$2500,$K885))</f>
      </c>
      <c r="I885" s="37">
        <f>IF($D885="","",IF(OR($F885="",$F885=0),"Pending",IF(ROUND($F885-$D885,2)&gt;0,"Overpaid",IF(ROUND($F885-$D885,2)=0,"Paid","Partial"))))</f>
      </c>
      <c r="J885" s="29"/>
      <c r="K885">
        <f>IF($A885="","","#"&amp;TRIM(SUBSTITUTE(SUBSTITUTE(SUBSTITUTE(SUBSTITUTE(SUBSTITUTE(SUBSTITUTE($A885,"-",""),"(",""),")",""),".",""),"+","")," ","")))</f>
      </c>
    </row>
    <row r="886" spans="1:11" x14ac:dyDescent="0.3">
      <c r="A886" s="28"/>
      <c r="B886" s="29"/>
      <c r="C886" s="30"/>
      <c r="D886" s="31"/>
      <c r="E886" s="33">
        <f>IF(OR($D886="",$K886=""),"",IF(COUNTIFS(Payments!$G$5:$G$2500,$K886,Payments!$C$5:$C$2500,"&lt;&gt;")=0,"",_xlfn.MAXIFS(Payments!$C$5:$C$2500,Payments!$G$5:$G$2500,$K886)))</f>
      </c>
      <c r="F886" s="34">
        <f>IF(OR($D886="",$K886=""),"",SUMIF(Payments!$G$5:$G$2500,$K886,Payments!$D$5:$D$2500))</f>
      </c>
      <c r="G886" s="36">
        <f>IF($D886="","",ROUND($D886-IF($F886="",0,$F886),2))</f>
      </c>
      <c r="H886" s="35">
        <f>IF(OR($D886="",$K886=""),"",COUNTIF(Payments!$G$5:$G$2500,$K886))</f>
      </c>
      <c r="I886" s="37">
        <f>IF($D886="","",IF(OR($F886="",$F886=0),"Pending",IF(ROUND($F886-$D886,2)&gt;0,"Overpaid",IF(ROUND($F886-$D886,2)=0,"Paid","Partial"))))</f>
      </c>
      <c r="J886" s="29"/>
      <c r="K886">
        <f>IF($A886="","","#"&amp;TRIM(SUBSTITUTE(SUBSTITUTE(SUBSTITUTE(SUBSTITUTE(SUBSTITUTE(SUBSTITUTE($A886,"-",""),"(",""),")",""),".",""),"+","")," ","")))</f>
      </c>
    </row>
    <row r="887" spans="1:11" x14ac:dyDescent="0.3">
      <c r="A887" s="28"/>
      <c r="B887" s="29"/>
      <c r="C887" s="30"/>
      <c r="D887" s="31"/>
      <c r="E887" s="33">
        <f>IF(OR($D887="",$K887=""),"",IF(COUNTIFS(Payments!$G$5:$G$2500,$K887,Payments!$C$5:$C$2500,"&lt;&gt;")=0,"",_xlfn.MAXIFS(Payments!$C$5:$C$2500,Payments!$G$5:$G$2500,$K887)))</f>
      </c>
      <c r="F887" s="34">
        <f>IF(OR($D887="",$K887=""),"",SUMIF(Payments!$G$5:$G$2500,$K887,Payments!$D$5:$D$2500))</f>
      </c>
      <c r="G887" s="36">
        <f>IF($D887="","",ROUND($D887-IF($F887="",0,$F887),2))</f>
      </c>
      <c r="H887" s="35">
        <f>IF(OR($D887="",$K887=""),"",COUNTIF(Payments!$G$5:$G$2500,$K887))</f>
      </c>
      <c r="I887" s="37">
        <f>IF($D887="","",IF(OR($F887="",$F887=0),"Pending",IF(ROUND($F887-$D887,2)&gt;0,"Overpaid",IF(ROUND($F887-$D887,2)=0,"Paid","Partial"))))</f>
      </c>
      <c r="J887" s="29"/>
      <c r="K887">
        <f>IF($A887="","","#"&amp;TRIM(SUBSTITUTE(SUBSTITUTE(SUBSTITUTE(SUBSTITUTE(SUBSTITUTE(SUBSTITUTE($A887,"-",""),"(",""),")",""),".",""),"+","")," ","")))</f>
      </c>
    </row>
    <row r="888" spans="1:11" x14ac:dyDescent="0.3">
      <c r="A888" s="28"/>
      <c r="B888" s="29"/>
      <c r="C888" s="30"/>
      <c r="D888" s="31"/>
      <c r="E888" s="33">
        <f>IF(OR($D888="",$K888=""),"",IF(COUNTIFS(Payments!$G$5:$G$2500,$K888,Payments!$C$5:$C$2500,"&lt;&gt;")=0,"",_xlfn.MAXIFS(Payments!$C$5:$C$2500,Payments!$G$5:$G$2500,$K888)))</f>
      </c>
      <c r="F888" s="34">
        <f>IF(OR($D888="",$K888=""),"",SUMIF(Payments!$G$5:$G$2500,$K888,Payments!$D$5:$D$2500))</f>
      </c>
      <c r="G888" s="36">
        <f>IF($D888="","",ROUND($D888-IF($F888="",0,$F888),2))</f>
      </c>
      <c r="H888" s="35">
        <f>IF(OR($D888="",$K888=""),"",COUNTIF(Payments!$G$5:$G$2500,$K888))</f>
      </c>
      <c r="I888" s="37">
        <f>IF($D888="","",IF(OR($F888="",$F888=0),"Pending",IF(ROUND($F888-$D888,2)&gt;0,"Overpaid",IF(ROUND($F888-$D888,2)=0,"Paid","Partial"))))</f>
      </c>
      <c r="J888" s="29"/>
      <c r="K888">
        <f>IF($A888="","","#"&amp;TRIM(SUBSTITUTE(SUBSTITUTE(SUBSTITUTE(SUBSTITUTE(SUBSTITUTE(SUBSTITUTE($A888,"-",""),"(",""),")",""),".",""),"+","")," ","")))</f>
      </c>
    </row>
    <row r="889" spans="1:11" x14ac:dyDescent="0.3">
      <c r="A889" s="28"/>
      <c r="B889" s="29"/>
      <c r="C889" s="30"/>
      <c r="D889" s="31"/>
      <c r="E889" s="33">
        <f>IF(OR($D889="",$K889=""),"",IF(COUNTIFS(Payments!$G$5:$G$2500,$K889,Payments!$C$5:$C$2500,"&lt;&gt;")=0,"",_xlfn.MAXIFS(Payments!$C$5:$C$2500,Payments!$G$5:$G$2500,$K889)))</f>
      </c>
      <c r="F889" s="34">
        <f>IF(OR($D889="",$K889=""),"",SUMIF(Payments!$G$5:$G$2500,$K889,Payments!$D$5:$D$2500))</f>
      </c>
      <c r="G889" s="36">
        <f>IF($D889="","",ROUND($D889-IF($F889="",0,$F889),2))</f>
      </c>
      <c r="H889" s="35">
        <f>IF(OR($D889="",$K889=""),"",COUNTIF(Payments!$G$5:$G$2500,$K889))</f>
      </c>
      <c r="I889" s="37">
        <f>IF($D889="","",IF(OR($F889="",$F889=0),"Pending",IF(ROUND($F889-$D889,2)&gt;0,"Overpaid",IF(ROUND($F889-$D889,2)=0,"Paid","Partial"))))</f>
      </c>
      <c r="J889" s="29"/>
      <c r="K889">
        <f>IF($A889="","","#"&amp;TRIM(SUBSTITUTE(SUBSTITUTE(SUBSTITUTE(SUBSTITUTE(SUBSTITUTE(SUBSTITUTE($A889,"-",""),"(",""),")",""),".",""),"+","")," ","")))</f>
      </c>
    </row>
    <row r="890" spans="1:11" x14ac:dyDescent="0.3">
      <c r="A890" s="28"/>
      <c r="B890" s="29"/>
      <c r="C890" s="30"/>
      <c r="D890" s="31"/>
      <c r="E890" s="33">
        <f>IF(OR($D890="",$K890=""),"",IF(COUNTIFS(Payments!$G$5:$G$2500,$K890,Payments!$C$5:$C$2500,"&lt;&gt;")=0,"",_xlfn.MAXIFS(Payments!$C$5:$C$2500,Payments!$G$5:$G$2500,$K890)))</f>
      </c>
      <c r="F890" s="34">
        <f>IF(OR($D890="",$K890=""),"",SUMIF(Payments!$G$5:$G$2500,$K890,Payments!$D$5:$D$2500))</f>
      </c>
      <c r="G890" s="36">
        <f>IF($D890="","",ROUND($D890-IF($F890="",0,$F890),2))</f>
      </c>
      <c r="H890" s="35">
        <f>IF(OR($D890="",$K890=""),"",COUNTIF(Payments!$G$5:$G$2500,$K890))</f>
      </c>
      <c r="I890" s="37">
        <f>IF($D890="","",IF(OR($F890="",$F890=0),"Pending",IF(ROUND($F890-$D890,2)&gt;0,"Overpaid",IF(ROUND($F890-$D890,2)=0,"Paid","Partial"))))</f>
      </c>
      <c r="J890" s="29"/>
      <c r="K890">
        <f>IF($A890="","","#"&amp;TRIM(SUBSTITUTE(SUBSTITUTE(SUBSTITUTE(SUBSTITUTE(SUBSTITUTE(SUBSTITUTE($A890,"-",""),"(",""),")",""),".",""),"+","")," ","")))</f>
      </c>
    </row>
    <row r="891" spans="1:11" x14ac:dyDescent="0.3">
      <c r="A891" s="28"/>
      <c r="B891" s="29"/>
      <c r="C891" s="30"/>
      <c r="D891" s="31"/>
      <c r="E891" s="33">
        <f>IF(OR($D891="",$K891=""),"",IF(COUNTIFS(Payments!$G$5:$G$2500,$K891,Payments!$C$5:$C$2500,"&lt;&gt;")=0,"",_xlfn.MAXIFS(Payments!$C$5:$C$2500,Payments!$G$5:$G$2500,$K891)))</f>
      </c>
      <c r="F891" s="34">
        <f>IF(OR($D891="",$K891=""),"",SUMIF(Payments!$G$5:$G$2500,$K891,Payments!$D$5:$D$2500))</f>
      </c>
      <c r="G891" s="36">
        <f>IF($D891="","",ROUND($D891-IF($F891="",0,$F891),2))</f>
      </c>
      <c r="H891" s="35">
        <f>IF(OR($D891="",$K891=""),"",COUNTIF(Payments!$G$5:$G$2500,$K891))</f>
      </c>
      <c r="I891" s="37">
        <f>IF($D891="","",IF(OR($F891="",$F891=0),"Pending",IF(ROUND($F891-$D891,2)&gt;0,"Overpaid",IF(ROUND($F891-$D891,2)=0,"Paid","Partial"))))</f>
      </c>
      <c r="J891" s="29"/>
      <c r="K891">
        <f>IF($A891="","","#"&amp;TRIM(SUBSTITUTE(SUBSTITUTE(SUBSTITUTE(SUBSTITUTE(SUBSTITUTE(SUBSTITUTE($A891,"-",""),"(",""),")",""),".",""),"+","")," ","")))</f>
      </c>
    </row>
    <row r="892" spans="1:11" x14ac:dyDescent="0.3">
      <c r="A892" s="28"/>
      <c r="B892" s="29"/>
      <c r="C892" s="30"/>
      <c r="D892" s="31"/>
      <c r="E892" s="33">
        <f>IF(OR($D892="",$K892=""),"",IF(COUNTIFS(Payments!$G$5:$G$2500,$K892,Payments!$C$5:$C$2500,"&lt;&gt;")=0,"",_xlfn.MAXIFS(Payments!$C$5:$C$2500,Payments!$G$5:$G$2500,$K892)))</f>
      </c>
      <c r="F892" s="34">
        <f>IF(OR($D892="",$K892=""),"",SUMIF(Payments!$G$5:$G$2500,$K892,Payments!$D$5:$D$2500))</f>
      </c>
      <c r="G892" s="36">
        <f>IF($D892="","",ROUND($D892-IF($F892="",0,$F892),2))</f>
      </c>
      <c r="H892" s="35">
        <f>IF(OR($D892="",$K892=""),"",COUNTIF(Payments!$G$5:$G$2500,$K892))</f>
      </c>
      <c r="I892" s="37">
        <f>IF($D892="","",IF(OR($F892="",$F892=0),"Pending",IF(ROUND($F892-$D892,2)&gt;0,"Overpaid",IF(ROUND($F892-$D892,2)=0,"Paid","Partial"))))</f>
      </c>
      <c r="J892" s="29"/>
      <c r="K892">
        <f>IF($A892="","","#"&amp;TRIM(SUBSTITUTE(SUBSTITUTE(SUBSTITUTE(SUBSTITUTE(SUBSTITUTE(SUBSTITUTE($A892,"-",""),"(",""),")",""),".",""),"+","")," ","")))</f>
      </c>
    </row>
    <row r="893" spans="1:11" x14ac:dyDescent="0.3">
      <c r="A893" s="28"/>
      <c r="B893" s="29"/>
      <c r="C893" s="30"/>
      <c r="D893" s="31"/>
      <c r="E893" s="33">
        <f>IF(OR($D893="",$K893=""),"",IF(COUNTIFS(Payments!$G$5:$G$2500,$K893,Payments!$C$5:$C$2500,"&lt;&gt;")=0,"",_xlfn.MAXIFS(Payments!$C$5:$C$2500,Payments!$G$5:$G$2500,$K893)))</f>
      </c>
      <c r="F893" s="34">
        <f>IF(OR($D893="",$K893=""),"",SUMIF(Payments!$G$5:$G$2500,$K893,Payments!$D$5:$D$2500))</f>
      </c>
      <c r="G893" s="36">
        <f>IF($D893="","",ROUND($D893-IF($F893="",0,$F893),2))</f>
      </c>
      <c r="H893" s="35">
        <f>IF(OR($D893="",$K893=""),"",COUNTIF(Payments!$G$5:$G$2500,$K893))</f>
      </c>
      <c r="I893" s="37">
        <f>IF($D893="","",IF(OR($F893="",$F893=0),"Pending",IF(ROUND($F893-$D893,2)&gt;0,"Overpaid",IF(ROUND($F893-$D893,2)=0,"Paid","Partial"))))</f>
      </c>
      <c r="J893" s="29"/>
      <c r="K893">
        <f>IF($A893="","","#"&amp;TRIM(SUBSTITUTE(SUBSTITUTE(SUBSTITUTE(SUBSTITUTE(SUBSTITUTE(SUBSTITUTE($A893,"-",""),"(",""),")",""),".",""),"+","")," ","")))</f>
      </c>
    </row>
    <row r="894" spans="1:11" x14ac:dyDescent="0.3">
      <c r="A894" s="28"/>
      <c r="B894" s="29"/>
      <c r="C894" s="30"/>
      <c r="D894" s="31"/>
      <c r="E894" s="33">
        <f>IF(OR($D894="",$K894=""),"",IF(COUNTIFS(Payments!$G$5:$G$2500,$K894,Payments!$C$5:$C$2500,"&lt;&gt;")=0,"",_xlfn.MAXIFS(Payments!$C$5:$C$2500,Payments!$G$5:$G$2500,$K894)))</f>
      </c>
      <c r="F894" s="34">
        <f>IF(OR($D894="",$K894=""),"",SUMIF(Payments!$G$5:$G$2500,$K894,Payments!$D$5:$D$2500))</f>
      </c>
      <c r="G894" s="36">
        <f>IF($D894="","",ROUND($D894-IF($F894="",0,$F894),2))</f>
      </c>
      <c r="H894" s="35">
        <f>IF(OR($D894="",$K894=""),"",COUNTIF(Payments!$G$5:$G$2500,$K894))</f>
      </c>
      <c r="I894" s="37">
        <f>IF($D894="","",IF(OR($F894="",$F894=0),"Pending",IF(ROUND($F894-$D894,2)&gt;0,"Overpaid",IF(ROUND($F894-$D894,2)=0,"Paid","Partial"))))</f>
      </c>
      <c r="J894" s="29"/>
      <c r="K894">
        <f>IF($A894="","","#"&amp;TRIM(SUBSTITUTE(SUBSTITUTE(SUBSTITUTE(SUBSTITUTE(SUBSTITUTE(SUBSTITUTE($A894,"-",""),"(",""),")",""),".",""),"+","")," ","")))</f>
      </c>
    </row>
    <row r="895" spans="1:11" x14ac:dyDescent="0.3">
      <c r="A895" s="28"/>
      <c r="B895" s="29"/>
      <c r="C895" s="30"/>
      <c r="D895" s="31"/>
      <c r="E895" s="33">
        <f>IF(OR($D895="",$K895=""),"",IF(COUNTIFS(Payments!$G$5:$G$2500,$K895,Payments!$C$5:$C$2500,"&lt;&gt;")=0,"",_xlfn.MAXIFS(Payments!$C$5:$C$2500,Payments!$G$5:$G$2500,$K895)))</f>
      </c>
      <c r="F895" s="34">
        <f>IF(OR($D895="",$K895=""),"",SUMIF(Payments!$G$5:$G$2500,$K895,Payments!$D$5:$D$2500))</f>
      </c>
      <c r="G895" s="36">
        <f>IF($D895="","",ROUND($D895-IF($F895="",0,$F895),2))</f>
      </c>
      <c r="H895" s="35">
        <f>IF(OR($D895="",$K895=""),"",COUNTIF(Payments!$G$5:$G$2500,$K895))</f>
      </c>
      <c r="I895" s="37">
        <f>IF($D895="","",IF(OR($F895="",$F895=0),"Pending",IF(ROUND($F895-$D895,2)&gt;0,"Overpaid",IF(ROUND($F895-$D895,2)=0,"Paid","Partial"))))</f>
      </c>
      <c r="J895" s="29"/>
      <c r="K895">
        <f>IF($A895="","","#"&amp;TRIM(SUBSTITUTE(SUBSTITUTE(SUBSTITUTE(SUBSTITUTE(SUBSTITUTE(SUBSTITUTE($A895,"-",""),"(",""),")",""),".",""),"+","")," ","")))</f>
      </c>
    </row>
    <row r="896" spans="1:11" x14ac:dyDescent="0.3">
      <c r="A896" s="28"/>
      <c r="B896" s="29"/>
      <c r="C896" s="30"/>
      <c r="D896" s="31"/>
      <c r="E896" s="33">
        <f>IF(OR($D896="",$K896=""),"",IF(COUNTIFS(Payments!$G$5:$G$2500,$K896,Payments!$C$5:$C$2500,"&lt;&gt;")=0,"",_xlfn.MAXIFS(Payments!$C$5:$C$2500,Payments!$G$5:$G$2500,$K896)))</f>
      </c>
      <c r="F896" s="34">
        <f>IF(OR($D896="",$K896=""),"",SUMIF(Payments!$G$5:$G$2500,$K896,Payments!$D$5:$D$2500))</f>
      </c>
      <c r="G896" s="36">
        <f>IF($D896="","",ROUND($D896-IF($F896="",0,$F896),2))</f>
      </c>
      <c r="H896" s="35">
        <f>IF(OR($D896="",$K896=""),"",COUNTIF(Payments!$G$5:$G$2500,$K896))</f>
      </c>
      <c r="I896" s="37">
        <f>IF($D896="","",IF(OR($F896="",$F896=0),"Pending",IF(ROUND($F896-$D896,2)&gt;0,"Overpaid",IF(ROUND($F896-$D896,2)=0,"Paid","Partial"))))</f>
      </c>
      <c r="J896" s="29"/>
      <c r="K896">
        <f>IF($A896="","","#"&amp;TRIM(SUBSTITUTE(SUBSTITUTE(SUBSTITUTE(SUBSTITUTE(SUBSTITUTE(SUBSTITUTE($A896,"-",""),"(",""),")",""),".",""),"+","")," ","")))</f>
      </c>
    </row>
    <row r="897" spans="1:11" x14ac:dyDescent="0.3">
      <c r="A897" s="28"/>
      <c r="B897" s="29"/>
      <c r="C897" s="30"/>
      <c r="D897" s="31"/>
      <c r="E897" s="33">
        <f>IF(OR($D897="",$K897=""),"",IF(COUNTIFS(Payments!$G$5:$G$2500,$K897,Payments!$C$5:$C$2500,"&lt;&gt;")=0,"",_xlfn.MAXIFS(Payments!$C$5:$C$2500,Payments!$G$5:$G$2500,$K897)))</f>
      </c>
      <c r="F897" s="34">
        <f>IF(OR($D897="",$K897=""),"",SUMIF(Payments!$G$5:$G$2500,$K897,Payments!$D$5:$D$2500))</f>
      </c>
      <c r="G897" s="36">
        <f>IF($D897="","",ROUND($D897-IF($F897="",0,$F897),2))</f>
      </c>
      <c r="H897" s="35">
        <f>IF(OR($D897="",$K897=""),"",COUNTIF(Payments!$G$5:$G$2500,$K897))</f>
      </c>
      <c r="I897" s="37">
        <f>IF($D897="","",IF(OR($F897="",$F897=0),"Pending",IF(ROUND($F897-$D897,2)&gt;0,"Overpaid",IF(ROUND($F897-$D897,2)=0,"Paid","Partial"))))</f>
      </c>
      <c r="J897" s="29"/>
      <c r="K897">
        <f>IF($A897="","","#"&amp;TRIM(SUBSTITUTE(SUBSTITUTE(SUBSTITUTE(SUBSTITUTE(SUBSTITUTE(SUBSTITUTE($A897,"-",""),"(",""),")",""),".",""),"+","")," ","")))</f>
      </c>
    </row>
    <row r="898" spans="1:11" x14ac:dyDescent="0.3">
      <c r="A898" s="28"/>
      <c r="B898" s="29"/>
      <c r="C898" s="30"/>
      <c r="D898" s="31"/>
      <c r="E898" s="33">
        <f>IF(OR($D898="",$K898=""),"",IF(COUNTIFS(Payments!$G$5:$G$2500,$K898,Payments!$C$5:$C$2500,"&lt;&gt;")=0,"",_xlfn.MAXIFS(Payments!$C$5:$C$2500,Payments!$G$5:$G$2500,$K898)))</f>
      </c>
      <c r="F898" s="34">
        <f>IF(OR($D898="",$K898=""),"",SUMIF(Payments!$G$5:$G$2500,$K898,Payments!$D$5:$D$2500))</f>
      </c>
      <c r="G898" s="36">
        <f>IF($D898="","",ROUND($D898-IF($F898="",0,$F898),2))</f>
      </c>
      <c r="H898" s="35">
        <f>IF(OR($D898="",$K898=""),"",COUNTIF(Payments!$G$5:$G$2500,$K898))</f>
      </c>
      <c r="I898" s="37">
        <f>IF($D898="","",IF(OR($F898="",$F898=0),"Pending",IF(ROUND($F898-$D898,2)&gt;0,"Overpaid",IF(ROUND($F898-$D898,2)=0,"Paid","Partial"))))</f>
      </c>
      <c r="J898" s="29"/>
      <c r="K898">
        <f>IF($A898="","","#"&amp;TRIM(SUBSTITUTE(SUBSTITUTE(SUBSTITUTE(SUBSTITUTE(SUBSTITUTE(SUBSTITUTE($A898,"-",""),"(",""),")",""),".",""),"+","")," ","")))</f>
      </c>
    </row>
    <row r="899" spans="1:11" x14ac:dyDescent="0.3">
      <c r="A899" s="28"/>
      <c r="B899" s="29"/>
      <c r="C899" s="30"/>
      <c r="D899" s="31"/>
      <c r="E899" s="33">
        <f>IF(OR($D899="",$K899=""),"",IF(COUNTIFS(Payments!$G$5:$G$2500,$K899,Payments!$C$5:$C$2500,"&lt;&gt;")=0,"",_xlfn.MAXIFS(Payments!$C$5:$C$2500,Payments!$G$5:$G$2500,$K899)))</f>
      </c>
      <c r="F899" s="34">
        <f>IF(OR($D899="",$K899=""),"",SUMIF(Payments!$G$5:$G$2500,$K899,Payments!$D$5:$D$2500))</f>
      </c>
      <c r="G899" s="36">
        <f>IF($D899="","",ROUND($D899-IF($F899="",0,$F899),2))</f>
      </c>
      <c r="H899" s="35">
        <f>IF(OR($D899="",$K899=""),"",COUNTIF(Payments!$G$5:$G$2500,$K899))</f>
      </c>
      <c r="I899" s="37">
        <f>IF($D899="","",IF(OR($F899="",$F899=0),"Pending",IF(ROUND($F899-$D899,2)&gt;0,"Overpaid",IF(ROUND($F899-$D899,2)=0,"Paid","Partial"))))</f>
      </c>
      <c r="J899" s="29"/>
      <c r="K899">
        <f>IF($A899="","","#"&amp;TRIM(SUBSTITUTE(SUBSTITUTE(SUBSTITUTE(SUBSTITUTE(SUBSTITUTE(SUBSTITUTE($A899,"-",""),"(",""),")",""),".",""),"+","")," ","")))</f>
      </c>
    </row>
    <row r="900" spans="1:11" x14ac:dyDescent="0.3">
      <c r="A900" s="28"/>
      <c r="B900" s="29"/>
      <c r="C900" s="30"/>
      <c r="D900" s="31"/>
      <c r="E900" s="33">
        <f>IF(OR($D900="",$K900=""),"",IF(COUNTIFS(Payments!$G$5:$G$2500,$K900,Payments!$C$5:$C$2500,"&lt;&gt;")=0,"",_xlfn.MAXIFS(Payments!$C$5:$C$2500,Payments!$G$5:$G$2500,$K900)))</f>
      </c>
      <c r="F900" s="34">
        <f>IF(OR($D900="",$K900=""),"",SUMIF(Payments!$G$5:$G$2500,$K900,Payments!$D$5:$D$2500))</f>
      </c>
      <c r="G900" s="36">
        <f>IF($D900="","",ROUND($D900-IF($F900="",0,$F900),2))</f>
      </c>
      <c r="H900" s="35">
        <f>IF(OR($D900="",$K900=""),"",COUNTIF(Payments!$G$5:$G$2500,$K900))</f>
      </c>
      <c r="I900" s="37">
        <f>IF($D900="","",IF(OR($F900="",$F900=0),"Pending",IF(ROUND($F900-$D900,2)&gt;0,"Overpaid",IF(ROUND($F900-$D900,2)=0,"Paid","Partial"))))</f>
      </c>
      <c r="J900" s="29"/>
      <c r="K900">
        <f>IF($A900="","","#"&amp;TRIM(SUBSTITUTE(SUBSTITUTE(SUBSTITUTE(SUBSTITUTE(SUBSTITUTE(SUBSTITUTE($A900,"-",""),"(",""),")",""),".",""),"+","")," ","")))</f>
      </c>
    </row>
    <row r="901" spans="1:11" x14ac:dyDescent="0.3">
      <c r="A901" s="28"/>
      <c r="B901" s="29"/>
      <c r="C901" s="30"/>
      <c r="D901" s="31"/>
      <c r="E901" s="33">
        <f>IF(OR($D901="",$K901=""),"",IF(COUNTIFS(Payments!$G$5:$G$2500,$K901,Payments!$C$5:$C$2500,"&lt;&gt;")=0,"",_xlfn.MAXIFS(Payments!$C$5:$C$2500,Payments!$G$5:$G$2500,$K901)))</f>
      </c>
      <c r="F901" s="34">
        <f>IF(OR($D901="",$K901=""),"",SUMIF(Payments!$G$5:$G$2500,$K901,Payments!$D$5:$D$2500))</f>
      </c>
      <c r="G901" s="36">
        <f>IF($D901="","",ROUND($D901-IF($F901="",0,$F901),2))</f>
      </c>
      <c r="H901" s="35">
        <f>IF(OR($D901="",$K901=""),"",COUNTIF(Payments!$G$5:$G$2500,$K901))</f>
      </c>
      <c r="I901" s="37">
        <f>IF($D901="","",IF(OR($F901="",$F901=0),"Pending",IF(ROUND($F901-$D901,2)&gt;0,"Overpaid",IF(ROUND($F901-$D901,2)=0,"Paid","Partial"))))</f>
      </c>
      <c r="J901" s="29"/>
      <c r="K901">
        <f>IF($A901="","","#"&amp;TRIM(SUBSTITUTE(SUBSTITUTE(SUBSTITUTE(SUBSTITUTE(SUBSTITUTE(SUBSTITUTE($A901,"-",""),"(",""),")",""),".",""),"+","")," ","")))</f>
      </c>
    </row>
    <row r="902" spans="1:11" x14ac:dyDescent="0.3">
      <c r="A902" s="28"/>
      <c r="B902" s="29"/>
      <c r="C902" s="30"/>
      <c r="D902" s="31"/>
      <c r="E902" s="33">
        <f>IF(OR($D902="",$K902=""),"",IF(COUNTIFS(Payments!$G$5:$G$2500,$K902,Payments!$C$5:$C$2500,"&lt;&gt;")=0,"",_xlfn.MAXIFS(Payments!$C$5:$C$2500,Payments!$G$5:$G$2500,$K902)))</f>
      </c>
      <c r="F902" s="34">
        <f>IF(OR($D902="",$K902=""),"",SUMIF(Payments!$G$5:$G$2500,$K902,Payments!$D$5:$D$2500))</f>
      </c>
      <c r="G902" s="36">
        <f>IF($D902="","",ROUND($D902-IF($F902="",0,$F902),2))</f>
      </c>
      <c r="H902" s="35">
        <f>IF(OR($D902="",$K902=""),"",COUNTIF(Payments!$G$5:$G$2500,$K902))</f>
      </c>
      <c r="I902" s="37">
        <f>IF($D902="","",IF(OR($F902="",$F902=0),"Pending",IF(ROUND($F902-$D902,2)&gt;0,"Overpaid",IF(ROUND($F902-$D902,2)=0,"Paid","Partial"))))</f>
      </c>
      <c r="J902" s="29"/>
      <c r="K902">
        <f>IF($A902="","","#"&amp;TRIM(SUBSTITUTE(SUBSTITUTE(SUBSTITUTE(SUBSTITUTE(SUBSTITUTE(SUBSTITUTE($A902,"-",""),"(",""),")",""),".",""),"+","")," ","")))</f>
      </c>
    </row>
    <row r="903" spans="1:11" x14ac:dyDescent="0.3">
      <c r="A903" s="28"/>
      <c r="B903" s="29"/>
      <c r="C903" s="30"/>
      <c r="D903" s="31"/>
      <c r="E903" s="33">
        <f>IF(OR($D903="",$K903=""),"",IF(COUNTIFS(Payments!$G$5:$G$2500,$K903,Payments!$C$5:$C$2500,"&lt;&gt;")=0,"",_xlfn.MAXIFS(Payments!$C$5:$C$2500,Payments!$G$5:$G$2500,$K903)))</f>
      </c>
      <c r="F903" s="34">
        <f>IF(OR($D903="",$K903=""),"",SUMIF(Payments!$G$5:$G$2500,$K903,Payments!$D$5:$D$2500))</f>
      </c>
      <c r="G903" s="36">
        <f>IF($D903="","",ROUND($D903-IF($F903="",0,$F903),2))</f>
      </c>
      <c r="H903" s="35">
        <f>IF(OR($D903="",$K903=""),"",COUNTIF(Payments!$G$5:$G$2500,$K903))</f>
      </c>
      <c r="I903" s="37">
        <f>IF($D903="","",IF(OR($F903="",$F903=0),"Pending",IF(ROUND($F903-$D903,2)&gt;0,"Overpaid",IF(ROUND($F903-$D903,2)=0,"Paid","Partial"))))</f>
      </c>
      <c r="J903" s="29"/>
      <c r="K903">
        <f>IF($A903="","","#"&amp;TRIM(SUBSTITUTE(SUBSTITUTE(SUBSTITUTE(SUBSTITUTE(SUBSTITUTE(SUBSTITUTE($A903,"-",""),"(",""),")",""),".",""),"+","")," ","")))</f>
      </c>
    </row>
    <row r="904" spans="1:11" x14ac:dyDescent="0.3">
      <c r="A904" s="28"/>
      <c r="B904" s="29"/>
      <c r="C904" s="30"/>
      <c r="D904" s="31"/>
      <c r="E904" s="33">
        <f>IF(OR($D904="",$K904=""),"",IF(COUNTIFS(Payments!$G$5:$G$2500,$K904,Payments!$C$5:$C$2500,"&lt;&gt;")=0,"",_xlfn.MAXIFS(Payments!$C$5:$C$2500,Payments!$G$5:$G$2500,$K904)))</f>
      </c>
      <c r="F904" s="34">
        <f>IF(OR($D904="",$K904=""),"",SUMIF(Payments!$G$5:$G$2500,$K904,Payments!$D$5:$D$2500))</f>
      </c>
      <c r="G904" s="36">
        <f>IF($D904="","",ROUND($D904-IF($F904="",0,$F904),2))</f>
      </c>
      <c r="H904" s="35">
        <f>IF(OR($D904="",$K904=""),"",COUNTIF(Payments!$G$5:$G$2500,$K904))</f>
      </c>
      <c r="I904" s="37">
        <f>IF($D904="","",IF(OR($F904="",$F904=0),"Pending",IF(ROUND($F904-$D904,2)&gt;0,"Overpaid",IF(ROUND($F904-$D904,2)=0,"Paid","Partial"))))</f>
      </c>
      <c r="J904" s="29"/>
      <c r="K904">
        <f>IF($A904="","","#"&amp;TRIM(SUBSTITUTE(SUBSTITUTE(SUBSTITUTE(SUBSTITUTE(SUBSTITUTE(SUBSTITUTE($A904,"-",""),"(",""),")",""),".",""),"+","")," ","")))</f>
      </c>
    </row>
    <row r="905" spans="1:11" x14ac:dyDescent="0.3">
      <c r="A905" s="28"/>
      <c r="B905" s="29"/>
      <c r="C905" s="30"/>
      <c r="D905" s="31"/>
      <c r="E905" s="33">
        <f>IF(OR($D905="",$K905=""),"",IF(COUNTIFS(Payments!$G$5:$G$2500,$K905,Payments!$C$5:$C$2500,"&lt;&gt;")=0,"",_xlfn.MAXIFS(Payments!$C$5:$C$2500,Payments!$G$5:$G$2500,$K905)))</f>
      </c>
      <c r="F905" s="34">
        <f>IF(OR($D905="",$K905=""),"",SUMIF(Payments!$G$5:$G$2500,$K905,Payments!$D$5:$D$2500))</f>
      </c>
      <c r="G905" s="36">
        <f>IF($D905="","",ROUND($D905-IF($F905="",0,$F905),2))</f>
      </c>
      <c r="H905" s="35">
        <f>IF(OR($D905="",$K905=""),"",COUNTIF(Payments!$G$5:$G$2500,$K905))</f>
      </c>
      <c r="I905" s="37">
        <f>IF($D905="","",IF(OR($F905="",$F905=0),"Pending",IF(ROUND($F905-$D905,2)&gt;0,"Overpaid",IF(ROUND($F905-$D905,2)=0,"Paid","Partial"))))</f>
      </c>
      <c r="J905" s="29"/>
      <c r="K905">
        <f>IF($A905="","","#"&amp;TRIM(SUBSTITUTE(SUBSTITUTE(SUBSTITUTE(SUBSTITUTE(SUBSTITUTE(SUBSTITUTE($A905,"-",""),"(",""),")",""),".",""),"+","")," ","")))</f>
      </c>
    </row>
    <row r="906" spans="1:11" x14ac:dyDescent="0.3">
      <c r="A906" s="28"/>
      <c r="B906" s="29"/>
      <c r="C906" s="30"/>
      <c r="D906" s="31"/>
      <c r="E906" s="33">
        <f>IF(OR($D906="",$K906=""),"",IF(COUNTIFS(Payments!$G$5:$G$2500,$K906,Payments!$C$5:$C$2500,"&lt;&gt;")=0,"",_xlfn.MAXIFS(Payments!$C$5:$C$2500,Payments!$G$5:$G$2500,$K906)))</f>
      </c>
      <c r="F906" s="34">
        <f>IF(OR($D906="",$K906=""),"",SUMIF(Payments!$G$5:$G$2500,$K906,Payments!$D$5:$D$2500))</f>
      </c>
      <c r="G906" s="36">
        <f>IF($D906="","",ROUND($D906-IF($F906="",0,$F906),2))</f>
      </c>
      <c r="H906" s="35">
        <f>IF(OR($D906="",$K906=""),"",COUNTIF(Payments!$G$5:$G$2500,$K906))</f>
      </c>
      <c r="I906" s="37">
        <f>IF($D906="","",IF(OR($F906="",$F906=0),"Pending",IF(ROUND($F906-$D906,2)&gt;0,"Overpaid",IF(ROUND($F906-$D906,2)=0,"Paid","Partial"))))</f>
      </c>
      <c r="J906" s="29"/>
      <c r="K906">
        <f>IF($A906="","","#"&amp;TRIM(SUBSTITUTE(SUBSTITUTE(SUBSTITUTE(SUBSTITUTE(SUBSTITUTE(SUBSTITUTE($A906,"-",""),"(",""),")",""),".",""),"+","")," ","")))</f>
      </c>
    </row>
    <row r="907" spans="1:11" x14ac:dyDescent="0.3">
      <c r="A907" s="28"/>
      <c r="B907" s="29"/>
      <c r="C907" s="30"/>
      <c r="D907" s="31"/>
      <c r="E907" s="33">
        <f>IF(OR($D907="",$K907=""),"",IF(COUNTIFS(Payments!$G$5:$G$2500,$K907,Payments!$C$5:$C$2500,"&lt;&gt;")=0,"",_xlfn.MAXIFS(Payments!$C$5:$C$2500,Payments!$G$5:$G$2500,$K907)))</f>
      </c>
      <c r="F907" s="34">
        <f>IF(OR($D907="",$K907=""),"",SUMIF(Payments!$G$5:$G$2500,$K907,Payments!$D$5:$D$2500))</f>
      </c>
      <c r="G907" s="36">
        <f>IF($D907="","",ROUND($D907-IF($F907="",0,$F907),2))</f>
      </c>
      <c r="H907" s="35">
        <f>IF(OR($D907="",$K907=""),"",COUNTIF(Payments!$G$5:$G$2500,$K907))</f>
      </c>
      <c r="I907" s="37">
        <f>IF($D907="","",IF(OR($F907="",$F907=0),"Pending",IF(ROUND($F907-$D907,2)&gt;0,"Overpaid",IF(ROUND($F907-$D907,2)=0,"Paid","Partial"))))</f>
      </c>
      <c r="J907" s="29"/>
      <c r="K907">
        <f>IF($A907="","","#"&amp;TRIM(SUBSTITUTE(SUBSTITUTE(SUBSTITUTE(SUBSTITUTE(SUBSTITUTE(SUBSTITUTE($A907,"-",""),"(",""),")",""),".",""),"+","")," ","")))</f>
      </c>
    </row>
    <row r="908" spans="1:11" x14ac:dyDescent="0.3">
      <c r="A908" s="28"/>
      <c r="B908" s="29"/>
      <c r="C908" s="30"/>
      <c r="D908" s="31"/>
      <c r="E908" s="33">
        <f>IF(OR($D908="",$K908=""),"",IF(COUNTIFS(Payments!$G$5:$G$2500,$K908,Payments!$C$5:$C$2500,"&lt;&gt;")=0,"",_xlfn.MAXIFS(Payments!$C$5:$C$2500,Payments!$G$5:$G$2500,$K908)))</f>
      </c>
      <c r="F908" s="34">
        <f>IF(OR($D908="",$K908=""),"",SUMIF(Payments!$G$5:$G$2500,$K908,Payments!$D$5:$D$2500))</f>
      </c>
      <c r="G908" s="36">
        <f>IF($D908="","",ROUND($D908-IF($F908="",0,$F908),2))</f>
      </c>
      <c r="H908" s="35">
        <f>IF(OR($D908="",$K908=""),"",COUNTIF(Payments!$G$5:$G$2500,$K908))</f>
      </c>
      <c r="I908" s="37">
        <f>IF($D908="","",IF(OR($F908="",$F908=0),"Pending",IF(ROUND($F908-$D908,2)&gt;0,"Overpaid",IF(ROUND($F908-$D908,2)=0,"Paid","Partial"))))</f>
      </c>
      <c r="J908" s="29"/>
      <c r="K908">
        <f>IF($A908="","","#"&amp;TRIM(SUBSTITUTE(SUBSTITUTE(SUBSTITUTE(SUBSTITUTE(SUBSTITUTE(SUBSTITUTE($A908,"-",""),"(",""),")",""),".",""),"+","")," ","")))</f>
      </c>
    </row>
    <row r="909" spans="1:11" x14ac:dyDescent="0.3">
      <c r="A909" s="28"/>
      <c r="B909" s="29"/>
      <c r="C909" s="30"/>
      <c r="D909" s="31"/>
      <c r="E909" s="33">
        <f>IF(OR($D909="",$K909=""),"",IF(COUNTIFS(Payments!$G$5:$G$2500,$K909,Payments!$C$5:$C$2500,"&lt;&gt;")=0,"",_xlfn.MAXIFS(Payments!$C$5:$C$2500,Payments!$G$5:$G$2500,$K909)))</f>
      </c>
      <c r="F909" s="34">
        <f>IF(OR($D909="",$K909=""),"",SUMIF(Payments!$G$5:$G$2500,$K909,Payments!$D$5:$D$2500))</f>
      </c>
      <c r="G909" s="36">
        <f>IF($D909="","",ROUND($D909-IF($F909="",0,$F909),2))</f>
      </c>
      <c r="H909" s="35">
        <f>IF(OR($D909="",$K909=""),"",COUNTIF(Payments!$G$5:$G$2500,$K909))</f>
      </c>
      <c r="I909" s="37">
        <f>IF($D909="","",IF(OR($F909="",$F909=0),"Pending",IF(ROUND($F909-$D909,2)&gt;0,"Overpaid",IF(ROUND($F909-$D909,2)=0,"Paid","Partial"))))</f>
      </c>
      <c r="J909" s="29"/>
      <c r="K909">
        <f>IF($A909="","","#"&amp;TRIM(SUBSTITUTE(SUBSTITUTE(SUBSTITUTE(SUBSTITUTE(SUBSTITUTE(SUBSTITUTE($A909,"-",""),"(",""),")",""),".",""),"+","")," ","")))</f>
      </c>
    </row>
    <row r="910" spans="1:11" x14ac:dyDescent="0.3">
      <c r="A910" s="28"/>
      <c r="B910" s="29"/>
      <c r="C910" s="30"/>
      <c r="D910" s="31"/>
      <c r="E910" s="33">
        <f>IF(OR($D910="",$K910=""),"",IF(COUNTIFS(Payments!$G$5:$G$2500,$K910,Payments!$C$5:$C$2500,"&lt;&gt;")=0,"",_xlfn.MAXIFS(Payments!$C$5:$C$2500,Payments!$G$5:$G$2500,$K910)))</f>
      </c>
      <c r="F910" s="34">
        <f>IF(OR($D910="",$K910=""),"",SUMIF(Payments!$G$5:$G$2500,$K910,Payments!$D$5:$D$2500))</f>
      </c>
      <c r="G910" s="36">
        <f>IF($D910="","",ROUND($D910-IF($F910="",0,$F910),2))</f>
      </c>
      <c r="H910" s="35">
        <f>IF(OR($D910="",$K910=""),"",COUNTIF(Payments!$G$5:$G$2500,$K910))</f>
      </c>
      <c r="I910" s="37">
        <f>IF($D910="","",IF(OR($F910="",$F910=0),"Pending",IF(ROUND($F910-$D910,2)&gt;0,"Overpaid",IF(ROUND($F910-$D910,2)=0,"Paid","Partial"))))</f>
      </c>
      <c r="J910" s="29"/>
      <c r="K910">
        <f>IF($A910="","","#"&amp;TRIM(SUBSTITUTE(SUBSTITUTE(SUBSTITUTE(SUBSTITUTE(SUBSTITUTE(SUBSTITUTE($A910,"-",""),"(",""),")",""),".",""),"+","")," ","")))</f>
      </c>
    </row>
    <row r="911" spans="1:11" x14ac:dyDescent="0.3">
      <c r="A911" s="28"/>
      <c r="B911" s="29"/>
      <c r="C911" s="30"/>
      <c r="D911" s="31"/>
      <c r="E911" s="33">
        <f>IF(OR($D911="",$K911=""),"",IF(COUNTIFS(Payments!$G$5:$G$2500,$K911,Payments!$C$5:$C$2500,"&lt;&gt;")=0,"",_xlfn.MAXIFS(Payments!$C$5:$C$2500,Payments!$G$5:$G$2500,$K911)))</f>
      </c>
      <c r="F911" s="34">
        <f>IF(OR($D911="",$K911=""),"",SUMIF(Payments!$G$5:$G$2500,$K911,Payments!$D$5:$D$2500))</f>
      </c>
      <c r="G911" s="36">
        <f>IF($D911="","",ROUND($D911-IF($F911="",0,$F911),2))</f>
      </c>
      <c r="H911" s="35">
        <f>IF(OR($D911="",$K911=""),"",COUNTIF(Payments!$G$5:$G$2500,$K911))</f>
      </c>
      <c r="I911" s="37">
        <f>IF($D911="","",IF(OR($F911="",$F911=0),"Pending",IF(ROUND($F911-$D911,2)&gt;0,"Overpaid",IF(ROUND($F911-$D911,2)=0,"Paid","Partial"))))</f>
      </c>
      <c r="J911" s="29"/>
      <c r="K911">
        <f>IF($A911="","","#"&amp;TRIM(SUBSTITUTE(SUBSTITUTE(SUBSTITUTE(SUBSTITUTE(SUBSTITUTE(SUBSTITUTE($A911,"-",""),"(",""),")",""),".",""),"+","")," ","")))</f>
      </c>
    </row>
    <row r="912" spans="1:11" x14ac:dyDescent="0.3">
      <c r="A912" s="28"/>
      <c r="B912" s="29"/>
      <c r="C912" s="30"/>
      <c r="D912" s="31"/>
      <c r="E912" s="33">
        <f>IF(OR($D912="",$K912=""),"",IF(COUNTIFS(Payments!$G$5:$G$2500,$K912,Payments!$C$5:$C$2500,"&lt;&gt;")=0,"",_xlfn.MAXIFS(Payments!$C$5:$C$2500,Payments!$G$5:$G$2500,$K912)))</f>
      </c>
      <c r="F912" s="34">
        <f>IF(OR($D912="",$K912=""),"",SUMIF(Payments!$G$5:$G$2500,$K912,Payments!$D$5:$D$2500))</f>
      </c>
      <c r="G912" s="36">
        <f>IF($D912="","",ROUND($D912-IF($F912="",0,$F912),2))</f>
      </c>
      <c r="H912" s="35">
        <f>IF(OR($D912="",$K912=""),"",COUNTIF(Payments!$G$5:$G$2500,$K912))</f>
      </c>
      <c r="I912" s="37">
        <f>IF($D912="","",IF(OR($F912="",$F912=0),"Pending",IF(ROUND($F912-$D912,2)&gt;0,"Overpaid",IF(ROUND($F912-$D912,2)=0,"Paid","Partial"))))</f>
      </c>
      <c r="J912" s="29"/>
      <c r="K912">
        <f>IF($A912="","","#"&amp;TRIM(SUBSTITUTE(SUBSTITUTE(SUBSTITUTE(SUBSTITUTE(SUBSTITUTE(SUBSTITUTE($A912,"-",""),"(",""),")",""),".",""),"+","")," ","")))</f>
      </c>
    </row>
    <row r="913" spans="1:11" x14ac:dyDescent="0.3">
      <c r="A913" s="28"/>
      <c r="B913" s="29"/>
      <c r="C913" s="30"/>
      <c r="D913" s="31"/>
      <c r="E913" s="33">
        <f>IF(OR($D913="",$K913=""),"",IF(COUNTIFS(Payments!$G$5:$G$2500,$K913,Payments!$C$5:$C$2500,"&lt;&gt;")=0,"",_xlfn.MAXIFS(Payments!$C$5:$C$2500,Payments!$G$5:$G$2500,$K913)))</f>
      </c>
      <c r="F913" s="34">
        <f>IF(OR($D913="",$K913=""),"",SUMIF(Payments!$G$5:$G$2500,$K913,Payments!$D$5:$D$2500))</f>
      </c>
      <c r="G913" s="36">
        <f>IF($D913="","",ROUND($D913-IF($F913="",0,$F913),2))</f>
      </c>
      <c r="H913" s="35">
        <f>IF(OR($D913="",$K913=""),"",COUNTIF(Payments!$G$5:$G$2500,$K913))</f>
      </c>
      <c r="I913" s="37">
        <f>IF($D913="","",IF(OR($F913="",$F913=0),"Pending",IF(ROUND($F913-$D913,2)&gt;0,"Overpaid",IF(ROUND($F913-$D913,2)=0,"Paid","Partial"))))</f>
      </c>
      <c r="J913" s="29"/>
      <c r="K913">
        <f>IF($A913="","","#"&amp;TRIM(SUBSTITUTE(SUBSTITUTE(SUBSTITUTE(SUBSTITUTE(SUBSTITUTE(SUBSTITUTE($A913,"-",""),"(",""),")",""),".",""),"+","")," ","")))</f>
      </c>
    </row>
    <row r="914" spans="1:11" x14ac:dyDescent="0.3">
      <c r="A914" s="28"/>
      <c r="B914" s="29"/>
      <c r="C914" s="30"/>
      <c r="D914" s="31"/>
      <c r="E914" s="33">
        <f>IF(OR($D914="",$K914=""),"",IF(COUNTIFS(Payments!$G$5:$G$2500,$K914,Payments!$C$5:$C$2500,"&lt;&gt;")=0,"",_xlfn.MAXIFS(Payments!$C$5:$C$2500,Payments!$G$5:$G$2500,$K914)))</f>
      </c>
      <c r="F914" s="34">
        <f>IF(OR($D914="",$K914=""),"",SUMIF(Payments!$G$5:$G$2500,$K914,Payments!$D$5:$D$2500))</f>
      </c>
      <c r="G914" s="36">
        <f>IF($D914="","",ROUND($D914-IF($F914="",0,$F914),2))</f>
      </c>
      <c r="H914" s="35">
        <f>IF(OR($D914="",$K914=""),"",COUNTIF(Payments!$G$5:$G$2500,$K914))</f>
      </c>
      <c r="I914" s="37">
        <f>IF($D914="","",IF(OR($F914="",$F914=0),"Pending",IF(ROUND($F914-$D914,2)&gt;0,"Overpaid",IF(ROUND($F914-$D914,2)=0,"Paid","Partial"))))</f>
      </c>
      <c r="J914" s="29"/>
      <c r="K914">
        <f>IF($A914="","","#"&amp;TRIM(SUBSTITUTE(SUBSTITUTE(SUBSTITUTE(SUBSTITUTE(SUBSTITUTE(SUBSTITUTE($A914,"-",""),"(",""),")",""),".",""),"+","")," ","")))</f>
      </c>
    </row>
    <row r="915" spans="1:11" x14ac:dyDescent="0.3">
      <c r="A915" s="28"/>
      <c r="B915" s="29"/>
      <c r="C915" s="30"/>
      <c r="D915" s="31"/>
      <c r="E915" s="33">
        <f>IF(OR($D915="",$K915=""),"",IF(COUNTIFS(Payments!$G$5:$G$2500,$K915,Payments!$C$5:$C$2500,"&lt;&gt;")=0,"",_xlfn.MAXIFS(Payments!$C$5:$C$2500,Payments!$G$5:$G$2500,$K915)))</f>
      </c>
      <c r="F915" s="34">
        <f>IF(OR($D915="",$K915=""),"",SUMIF(Payments!$G$5:$G$2500,$K915,Payments!$D$5:$D$2500))</f>
      </c>
      <c r="G915" s="36">
        <f>IF($D915="","",ROUND($D915-IF($F915="",0,$F915),2))</f>
      </c>
      <c r="H915" s="35">
        <f>IF(OR($D915="",$K915=""),"",COUNTIF(Payments!$G$5:$G$2500,$K915))</f>
      </c>
      <c r="I915" s="37">
        <f>IF($D915="","",IF(OR($F915="",$F915=0),"Pending",IF(ROUND($F915-$D915,2)&gt;0,"Overpaid",IF(ROUND($F915-$D915,2)=0,"Paid","Partial"))))</f>
      </c>
      <c r="J915" s="29"/>
      <c r="K915">
        <f>IF($A915="","","#"&amp;TRIM(SUBSTITUTE(SUBSTITUTE(SUBSTITUTE(SUBSTITUTE(SUBSTITUTE(SUBSTITUTE($A915,"-",""),"(",""),")",""),".",""),"+","")," ","")))</f>
      </c>
    </row>
    <row r="916" spans="1:11" x14ac:dyDescent="0.3">
      <c r="A916" s="28"/>
      <c r="B916" s="29"/>
      <c r="C916" s="30"/>
      <c r="D916" s="31"/>
      <c r="E916" s="33">
        <f>IF(OR($D916="",$K916=""),"",IF(COUNTIFS(Payments!$G$5:$G$2500,$K916,Payments!$C$5:$C$2500,"&lt;&gt;")=0,"",_xlfn.MAXIFS(Payments!$C$5:$C$2500,Payments!$G$5:$G$2500,$K916)))</f>
      </c>
      <c r="F916" s="34">
        <f>IF(OR($D916="",$K916=""),"",SUMIF(Payments!$G$5:$G$2500,$K916,Payments!$D$5:$D$2500))</f>
      </c>
      <c r="G916" s="36">
        <f>IF($D916="","",ROUND($D916-IF($F916="",0,$F916),2))</f>
      </c>
      <c r="H916" s="35">
        <f>IF(OR($D916="",$K916=""),"",COUNTIF(Payments!$G$5:$G$2500,$K916))</f>
      </c>
      <c r="I916" s="37">
        <f>IF($D916="","",IF(OR($F916="",$F916=0),"Pending",IF(ROUND($F916-$D916,2)&gt;0,"Overpaid",IF(ROUND($F916-$D916,2)=0,"Paid","Partial"))))</f>
      </c>
      <c r="J916" s="29"/>
      <c r="K916">
        <f>IF($A916="","","#"&amp;TRIM(SUBSTITUTE(SUBSTITUTE(SUBSTITUTE(SUBSTITUTE(SUBSTITUTE(SUBSTITUTE($A916,"-",""),"(",""),")",""),".",""),"+","")," ","")))</f>
      </c>
    </row>
    <row r="917" spans="1:11" x14ac:dyDescent="0.3">
      <c r="A917" s="28"/>
      <c r="B917" s="29"/>
      <c r="C917" s="30"/>
      <c r="D917" s="31"/>
      <c r="E917" s="33">
        <f>IF(OR($D917="",$K917=""),"",IF(COUNTIFS(Payments!$G$5:$G$2500,$K917,Payments!$C$5:$C$2500,"&lt;&gt;")=0,"",_xlfn.MAXIFS(Payments!$C$5:$C$2500,Payments!$G$5:$G$2500,$K917)))</f>
      </c>
      <c r="F917" s="34">
        <f>IF(OR($D917="",$K917=""),"",SUMIF(Payments!$G$5:$G$2500,$K917,Payments!$D$5:$D$2500))</f>
      </c>
      <c r="G917" s="36">
        <f>IF($D917="","",ROUND($D917-IF($F917="",0,$F917),2))</f>
      </c>
      <c r="H917" s="35">
        <f>IF(OR($D917="",$K917=""),"",COUNTIF(Payments!$G$5:$G$2500,$K917))</f>
      </c>
      <c r="I917" s="37">
        <f>IF($D917="","",IF(OR($F917="",$F917=0),"Pending",IF(ROUND($F917-$D917,2)&gt;0,"Overpaid",IF(ROUND($F917-$D917,2)=0,"Paid","Partial"))))</f>
      </c>
      <c r="J917" s="29"/>
      <c r="K917">
        <f>IF($A917="","","#"&amp;TRIM(SUBSTITUTE(SUBSTITUTE(SUBSTITUTE(SUBSTITUTE(SUBSTITUTE(SUBSTITUTE($A917,"-",""),"(",""),")",""),".",""),"+","")," ","")))</f>
      </c>
    </row>
    <row r="918" spans="1:11" x14ac:dyDescent="0.3">
      <c r="A918" s="28"/>
      <c r="B918" s="29"/>
      <c r="C918" s="30"/>
      <c r="D918" s="31"/>
      <c r="E918" s="33">
        <f>IF(OR($D918="",$K918=""),"",IF(COUNTIFS(Payments!$G$5:$G$2500,$K918,Payments!$C$5:$C$2500,"&lt;&gt;")=0,"",_xlfn.MAXIFS(Payments!$C$5:$C$2500,Payments!$G$5:$G$2500,$K918)))</f>
      </c>
      <c r="F918" s="34">
        <f>IF(OR($D918="",$K918=""),"",SUMIF(Payments!$G$5:$G$2500,$K918,Payments!$D$5:$D$2500))</f>
      </c>
      <c r="G918" s="36">
        <f>IF($D918="","",ROUND($D918-IF($F918="",0,$F918),2))</f>
      </c>
      <c r="H918" s="35">
        <f>IF(OR($D918="",$K918=""),"",COUNTIF(Payments!$G$5:$G$2500,$K918))</f>
      </c>
      <c r="I918" s="37">
        <f>IF($D918="","",IF(OR($F918="",$F918=0),"Pending",IF(ROUND($F918-$D918,2)&gt;0,"Overpaid",IF(ROUND($F918-$D918,2)=0,"Paid","Partial"))))</f>
      </c>
      <c r="J918" s="29"/>
      <c r="K918">
        <f>IF($A918="","","#"&amp;TRIM(SUBSTITUTE(SUBSTITUTE(SUBSTITUTE(SUBSTITUTE(SUBSTITUTE(SUBSTITUTE($A918,"-",""),"(",""),")",""),".",""),"+","")," ","")))</f>
      </c>
    </row>
    <row r="919" spans="1:11" x14ac:dyDescent="0.3">
      <c r="A919" s="28"/>
      <c r="B919" s="29"/>
      <c r="C919" s="30"/>
      <c r="D919" s="31"/>
      <c r="E919" s="33">
        <f>IF(OR($D919="",$K919=""),"",IF(COUNTIFS(Payments!$G$5:$G$2500,$K919,Payments!$C$5:$C$2500,"&lt;&gt;")=0,"",_xlfn.MAXIFS(Payments!$C$5:$C$2500,Payments!$G$5:$G$2500,$K919)))</f>
      </c>
      <c r="F919" s="34">
        <f>IF(OR($D919="",$K919=""),"",SUMIF(Payments!$G$5:$G$2500,$K919,Payments!$D$5:$D$2500))</f>
      </c>
      <c r="G919" s="36">
        <f>IF($D919="","",ROUND($D919-IF($F919="",0,$F919),2))</f>
      </c>
      <c r="H919" s="35">
        <f>IF(OR($D919="",$K919=""),"",COUNTIF(Payments!$G$5:$G$2500,$K919))</f>
      </c>
      <c r="I919" s="37">
        <f>IF($D919="","",IF(OR($F919="",$F919=0),"Pending",IF(ROUND($F919-$D919,2)&gt;0,"Overpaid",IF(ROUND($F919-$D919,2)=0,"Paid","Partial"))))</f>
      </c>
      <c r="J919" s="29"/>
      <c r="K919">
        <f>IF($A919="","","#"&amp;TRIM(SUBSTITUTE(SUBSTITUTE(SUBSTITUTE(SUBSTITUTE(SUBSTITUTE(SUBSTITUTE($A919,"-",""),"(",""),")",""),".",""),"+","")," ","")))</f>
      </c>
    </row>
    <row r="920" spans="1:11" x14ac:dyDescent="0.3">
      <c r="A920" s="28"/>
      <c r="B920" s="29"/>
      <c r="C920" s="30"/>
      <c r="D920" s="31"/>
      <c r="E920" s="33">
        <f>IF(OR($D920="",$K920=""),"",IF(COUNTIFS(Payments!$G$5:$G$2500,$K920,Payments!$C$5:$C$2500,"&lt;&gt;")=0,"",_xlfn.MAXIFS(Payments!$C$5:$C$2500,Payments!$G$5:$G$2500,$K920)))</f>
      </c>
      <c r="F920" s="34">
        <f>IF(OR($D920="",$K920=""),"",SUMIF(Payments!$G$5:$G$2500,$K920,Payments!$D$5:$D$2500))</f>
      </c>
      <c r="G920" s="36">
        <f>IF($D920="","",ROUND($D920-IF($F920="",0,$F920),2))</f>
      </c>
      <c r="H920" s="35">
        <f>IF(OR($D920="",$K920=""),"",COUNTIF(Payments!$G$5:$G$2500,$K920))</f>
      </c>
      <c r="I920" s="37">
        <f>IF($D920="","",IF(OR($F920="",$F920=0),"Pending",IF(ROUND($F920-$D920,2)&gt;0,"Overpaid",IF(ROUND($F920-$D920,2)=0,"Paid","Partial"))))</f>
      </c>
      <c r="J920" s="29"/>
      <c r="K920">
        <f>IF($A920="","","#"&amp;TRIM(SUBSTITUTE(SUBSTITUTE(SUBSTITUTE(SUBSTITUTE(SUBSTITUTE(SUBSTITUTE($A920,"-",""),"(",""),")",""),".",""),"+","")," ","")))</f>
      </c>
    </row>
    <row r="921" spans="1:11" x14ac:dyDescent="0.3">
      <c r="A921" s="28"/>
      <c r="B921" s="29"/>
      <c r="C921" s="30"/>
      <c r="D921" s="31"/>
      <c r="E921" s="33">
        <f>IF(OR($D921="",$K921=""),"",IF(COUNTIFS(Payments!$G$5:$G$2500,$K921,Payments!$C$5:$C$2500,"&lt;&gt;")=0,"",_xlfn.MAXIFS(Payments!$C$5:$C$2500,Payments!$G$5:$G$2500,$K921)))</f>
      </c>
      <c r="F921" s="34">
        <f>IF(OR($D921="",$K921=""),"",SUMIF(Payments!$G$5:$G$2500,$K921,Payments!$D$5:$D$2500))</f>
      </c>
      <c r="G921" s="36">
        <f>IF($D921="","",ROUND($D921-IF($F921="",0,$F921),2))</f>
      </c>
      <c r="H921" s="35">
        <f>IF(OR($D921="",$K921=""),"",COUNTIF(Payments!$G$5:$G$2500,$K921))</f>
      </c>
      <c r="I921" s="37">
        <f>IF($D921="","",IF(OR($F921="",$F921=0),"Pending",IF(ROUND($F921-$D921,2)&gt;0,"Overpaid",IF(ROUND($F921-$D921,2)=0,"Paid","Partial"))))</f>
      </c>
      <c r="J921" s="29"/>
      <c r="K921">
        <f>IF($A921="","","#"&amp;TRIM(SUBSTITUTE(SUBSTITUTE(SUBSTITUTE(SUBSTITUTE(SUBSTITUTE(SUBSTITUTE($A921,"-",""),"(",""),")",""),".",""),"+","")," ","")))</f>
      </c>
    </row>
    <row r="922" spans="1:11" x14ac:dyDescent="0.3">
      <c r="A922" s="28"/>
      <c r="B922" s="29"/>
      <c r="C922" s="30"/>
      <c r="D922" s="31"/>
      <c r="E922" s="33">
        <f>IF(OR($D922="",$K922=""),"",IF(COUNTIFS(Payments!$G$5:$G$2500,$K922,Payments!$C$5:$C$2500,"&lt;&gt;")=0,"",_xlfn.MAXIFS(Payments!$C$5:$C$2500,Payments!$G$5:$G$2500,$K922)))</f>
      </c>
      <c r="F922" s="34">
        <f>IF(OR($D922="",$K922=""),"",SUMIF(Payments!$G$5:$G$2500,$K922,Payments!$D$5:$D$2500))</f>
      </c>
      <c r="G922" s="36">
        <f>IF($D922="","",ROUND($D922-IF($F922="",0,$F922),2))</f>
      </c>
      <c r="H922" s="35">
        <f>IF(OR($D922="",$K922=""),"",COUNTIF(Payments!$G$5:$G$2500,$K922))</f>
      </c>
      <c r="I922" s="37">
        <f>IF($D922="","",IF(OR($F922="",$F922=0),"Pending",IF(ROUND($F922-$D922,2)&gt;0,"Overpaid",IF(ROUND($F922-$D922,2)=0,"Paid","Partial"))))</f>
      </c>
      <c r="J922" s="29"/>
      <c r="K922">
        <f>IF($A922="","","#"&amp;TRIM(SUBSTITUTE(SUBSTITUTE(SUBSTITUTE(SUBSTITUTE(SUBSTITUTE(SUBSTITUTE($A922,"-",""),"(",""),")",""),".",""),"+","")," ","")))</f>
      </c>
    </row>
    <row r="923" spans="1:11" x14ac:dyDescent="0.3">
      <c r="A923" s="28"/>
      <c r="B923" s="29"/>
      <c r="C923" s="30"/>
      <c r="D923" s="31"/>
      <c r="E923" s="33">
        <f>IF(OR($D923="",$K923=""),"",IF(COUNTIFS(Payments!$G$5:$G$2500,$K923,Payments!$C$5:$C$2500,"&lt;&gt;")=0,"",_xlfn.MAXIFS(Payments!$C$5:$C$2500,Payments!$G$5:$G$2500,$K923)))</f>
      </c>
      <c r="F923" s="34">
        <f>IF(OR($D923="",$K923=""),"",SUMIF(Payments!$G$5:$G$2500,$K923,Payments!$D$5:$D$2500))</f>
      </c>
      <c r="G923" s="36">
        <f>IF($D923="","",ROUND($D923-IF($F923="",0,$F923),2))</f>
      </c>
      <c r="H923" s="35">
        <f>IF(OR($D923="",$K923=""),"",COUNTIF(Payments!$G$5:$G$2500,$K923))</f>
      </c>
      <c r="I923" s="37">
        <f>IF($D923="","",IF(OR($F923="",$F923=0),"Pending",IF(ROUND($F923-$D923,2)&gt;0,"Overpaid",IF(ROUND($F923-$D923,2)=0,"Paid","Partial"))))</f>
      </c>
      <c r="J923" s="29"/>
      <c r="K923">
        <f>IF($A923="","","#"&amp;TRIM(SUBSTITUTE(SUBSTITUTE(SUBSTITUTE(SUBSTITUTE(SUBSTITUTE(SUBSTITUTE($A923,"-",""),"(",""),")",""),".",""),"+","")," ","")))</f>
      </c>
    </row>
    <row r="924" spans="1:11" x14ac:dyDescent="0.3">
      <c r="A924" s="28"/>
      <c r="B924" s="29"/>
      <c r="C924" s="30"/>
      <c r="D924" s="31"/>
      <c r="E924" s="33">
        <f>IF(OR($D924="",$K924=""),"",IF(COUNTIFS(Payments!$G$5:$G$2500,$K924,Payments!$C$5:$C$2500,"&lt;&gt;")=0,"",_xlfn.MAXIFS(Payments!$C$5:$C$2500,Payments!$G$5:$G$2500,$K924)))</f>
      </c>
      <c r="F924" s="34">
        <f>IF(OR($D924="",$K924=""),"",SUMIF(Payments!$G$5:$G$2500,$K924,Payments!$D$5:$D$2500))</f>
      </c>
      <c r="G924" s="36">
        <f>IF($D924="","",ROUND($D924-IF($F924="",0,$F924),2))</f>
      </c>
      <c r="H924" s="35">
        <f>IF(OR($D924="",$K924=""),"",COUNTIF(Payments!$G$5:$G$2500,$K924))</f>
      </c>
      <c r="I924" s="37">
        <f>IF($D924="","",IF(OR($F924="",$F924=0),"Pending",IF(ROUND($F924-$D924,2)&gt;0,"Overpaid",IF(ROUND($F924-$D924,2)=0,"Paid","Partial"))))</f>
      </c>
      <c r="J924" s="29"/>
      <c r="K924">
        <f>IF($A924="","","#"&amp;TRIM(SUBSTITUTE(SUBSTITUTE(SUBSTITUTE(SUBSTITUTE(SUBSTITUTE(SUBSTITUTE($A924,"-",""),"(",""),")",""),".",""),"+","")," ","")))</f>
      </c>
    </row>
    <row r="925" spans="1:11" x14ac:dyDescent="0.3">
      <c r="A925" s="28"/>
      <c r="B925" s="29"/>
      <c r="C925" s="30"/>
      <c r="D925" s="31"/>
      <c r="E925" s="33">
        <f>IF(OR($D925="",$K925=""),"",IF(COUNTIFS(Payments!$G$5:$G$2500,$K925,Payments!$C$5:$C$2500,"&lt;&gt;")=0,"",_xlfn.MAXIFS(Payments!$C$5:$C$2500,Payments!$G$5:$G$2500,$K925)))</f>
      </c>
      <c r="F925" s="34">
        <f>IF(OR($D925="",$K925=""),"",SUMIF(Payments!$G$5:$G$2500,$K925,Payments!$D$5:$D$2500))</f>
      </c>
      <c r="G925" s="36">
        <f>IF($D925="","",ROUND($D925-IF($F925="",0,$F925),2))</f>
      </c>
      <c r="H925" s="35">
        <f>IF(OR($D925="",$K925=""),"",COUNTIF(Payments!$G$5:$G$2500,$K925))</f>
      </c>
      <c r="I925" s="37">
        <f>IF($D925="","",IF(OR($F925="",$F925=0),"Pending",IF(ROUND($F925-$D925,2)&gt;0,"Overpaid",IF(ROUND($F925-$D925,2)=0,"Paid","Partial"))))</f>
      </c>
      <c r="J925" s="29"/>
      <c r="K925">
        <f>IF($A925="","","#"&amp;TRIM(SUBSTITUTE(SUBSTITUTE(SUBSTITUTE(SUBSTITUTE(SUBSTITUTE(SUBSTITUTE($A925,"-",""),"(",""),")",""),".",""),"+","")," ","")))</f>
      </c>
    </row>
    <row r="926" spans="1:11" x14ac:dyDescent="0.3">
      <c r="A926" s="28"/>
      <c r="B926" s="29"/>
      <c r="C926" s="30"/>
      <c r="D926" s="31"/>
      <c r="E926" s="33">
        <f>IF(OR($D926="",$K926=""),"",IF(COUNTIFS(Payments!$G$5:$G$2500,$K926,Payments!$C$5:$C$2500,"&lt;&gt;")=0,"",_xlfn.MAXIFS(Payments!$C$5:$C$2500,Payments!$G$5:$G$2500,$K926)))</f>
      </c>
      <c r="F926" s="34">
        <f>IF(OR($D926="",$K926=""),"",SUMIF(Payments!$G$5:$G$2500,$K926,Payments!$D$5:$D$2500))</f>
      </c>
      <c r="G926" s="36">
        <f>IF($D926="","",ROUND($D926-IF($F926="",0,$F926),2))</f>
      </c>
      <c r="H926" s="35">
        <f>IF(OR($D926="",$K926=""),"",COUNTIF(Payments!$G$5:$G$2500,$K926))</f>
      </c>
      <c r="I926" s="37">
        <f>IF($D926="","",IF(OR($F926="",$F926=0),"Pending",IF(ROUND($F926-$D926,2)&gt;0,"Overpaid",IF(ROUND($F926-$D926,2)=0,"Paid","Partial"))))</f>
      </c>
      <c r="J926" s="29"/>
      <c r="K926">
        <f>IF($A926="","","#"&amp;TRIM(SUBSTITUTE(SUBSTITUTE(SUBSTITUTE(SUBSTITUTE(SUBSTITUTE(SUBSTITUTE($A926,"-",""),"(",""),")",""),".",""),"+","")," ","")))</f>
      </c>
    </row>
    <row r="927" spans="1:11" x14ac:dyDescent="0.3">
      <c r="A927" s="28"/>
      <c r="B927" s="29"/>
      <c r="C927" s="30"/>
      <c r="D927" s="31"/>
      <c r="E927" s="33">
        <f>IF(OR($D927="",$K927=""),"",IF(COUNTIFS(Payments!$G$5:$G$2500,$K927,Payments!$C$5:$C$2500,"&lt;&gt;")=0,"",_xlfn.MAXIFS(Payments!$C$5:$C$2500,Payments!$G$5:$G$2500,$K927)))</f>
      </c>
      <c r="F927" s="34">
        <f>IF(OR($D927="",$K927=""),"",SUMIF(Payments!$G$5:$G$2500,$K927,Payments!$D$5:$D$2500))</f>
      </c>
      <c r="G927" s="36">
        <f>IF($D927="","",ROUND($D927-IF($F927="",0,$F927),2))</f>
      </c>
      <c r="H927" s="35">
        <f>IF(OR($D927="",$K927=""),"",COUNTIF(Payments!$G$5:$G$2500,$K927))</f>
      </c>
      <c r="I927" s="37">
        <f>IF($D927="","",IF(OR($F927="",$F927=0),"Pending",IF(ROUND($F927-$D927,2)&gt;0,"Overpaid",IF(ROUND($F927-$D927,2)=0,"Paid","Partial"))))</f>
      </c>
      <c r="J927" s="29"/>
      <c r="K927">
        <f>IF($A927="","","#"&amp;TRIM(SUBSTITUTE(SUBSTITUTE(SUBSTITUTE(SUBSTITUTE(SUBSTITUTE(SUBSTITUTE($A927,"-",""),"(",""),")",""),".",""),"+","")," ","")))</f>
      </c>
    </row>
    <row r="928" spans="1:11" x14ac:dyDescent="0.3">
      <c r="A928" s="28"/>
      <c r="B928" s="29"/>
      <c r="C928" s="30"/>
      <c r="D928" s="31"/>
      <c r="E928" s="33">
        <f>IF(OR($D928="",$K928=""),"",IF(COUNTIFS(Payments!$G$5:$G$2500,$K928,Payments!$C$5:$C$2500,"&lt;&gt;")=0,"",_xlfn.MAXIFS(Payments!$C$5:$C$2500,Payments!$G$5:$G$2500,$K928)))</f>
      </c>
      <c r="F928" s="34">
        <f>IF(OR($D928="",$K928=""),"",SUMIF(Payments!$G$5:$G$2500,$K928,Payments!$D$5:$D$2500))</f>
      </c>
      <c r="G928" s="36">
        <f>IF($D928="","",ROUND($D928-IF($F928="",0,$F928),2))</f>
      </c>
      <c r="H928" s="35">
        <f>IF(OR($D928="",$K928=""),"",COUNTIF(Payments!$G$5:$G$2500,$K928))</f>
      </c>
      <c r="I928" s="37">
        <f>IF($D928="","",IF(OR($F928="",$F928=0),"Pending",IF(ROUND($F928-$D928,2)&gt;0,"Overpaid",IF(ROUND($F928-$D928,2)=0,"Paid","Partial"))))</f>
      </c>
      <c r="J928" s="29"/>
      <c r="K928">
        <f>IF($A928="","","#"&amp;TRIM(SUBSTITUTE(SUBSTITUTE(SUBSTITUTE(SUBSTITUTE(SUBSTITUTE(SUBSTITUTE($A928,"-",""),"(",""),")",""),".",""),"+","")," ","")))</f>
      </c>
    </row>
    <row r="929" spans="1:11" x14ac:dyDescent="0.3">
      <c r="A929" s="28"/>
      <c r="B929" s="29"/>
      <c r="C929" s="30"/>
      <c r="D929" s="31"/>
      <c r="E929" s="33">
        <f>IF(OR($D929="",$K929=""),"",IF(COUNTIFS(Payments!$G$5:$G$2500,$K929,Payments!$C$5:$C$2500,"&lt;&gt;")=0,"",_xlfn.MAXIFS(Payments!$C$5:$C$2500,Payments!$G$5:$G$2500,$K929)))</f>
      </c>
      <c r="F929" s="34">
        <f>IF(OR($D929="",$K929=""),"",SUMIF(Payments!$G$5:$G$2500,$K929,Payments!$D$5:$D$2500))</f>
      </c>
      <c r="G929" s="36">
        <f>IF($D929="","",ROUND($D929-IF($F929="",0,$F929),2))</f>
      </c>
      <c r="H929" s="35">
        <f>IF(OR($D929="",$K929=""),"",COUNTIF(Payments!$G$5:$G$2500,$K929))</f>
      </c>
      <c r="I929" s="37">
        <f>IF($D929="","",IF(OR($F929="",$F929=0),"Pending",IF(ROUND($F929-$D929,2)&gt;0,"Overpaid",IF(ROUND($F929-$D929,2)=0,"Paid","Partial"))))</f>
      </c>
      <c r="J929" s="29"/>
      <c r="K929">
        <f>IF($A929="","","#"&amp;TRIM(SUBSTITUTE(SUBSTITUTE(SUBSTITUTE(SUBSTITUTE(SUBSTITUTE(SUBSTITUTE($A929,"-",""),"(",""),")",""),".",""),"+","")," ","")))</f>
      </c>
    </row>
    <row r="930" spans="1:11" x14ac:dyDescent="0.3">
      <c r="A930" s="28"/>
      <c r="B930" s="29"/>
      <c r="C930" s="30"/>
      <c r="D930" s="31"/>
      <c r="E930" s="33">
        <f>IF(OR($D930="",$K930=""),"",IF(COUNTIFS(Payments!$G$5:$G$2500,$K930,Payments!$C$5:$C$2500,"&lt;&gt;")=0,"",_xlfn.MAXIFS(Payments!$C$5:$C$2500,Payments!$G$5:$G$2500,$K930)))</f>
      </c>
      <c r="F930" s="34">
        <f>IF(OR($D930="",$K930=""),"",SUMIF(Payments!$G$5:$G$2500,$K930,Payments!$D$5:$D$2500))</f>
      </c>
      <c r="G930" s="36">
        <f>IF($D930="","",ROUND($D930-IF($F930="",0,$F930),2))</f>
      </c>
      <c r="H930" s="35">
        <f>IF(OR($D930="",$K930=""),"",COUNTIF(Payments!$G$5:$G$2500,$K930))</f>
      </c>
      <c r="I930" s="37">
        <f>IF($D930="","",IF(OR($F930="",$F930=0),"Pending",IF(ROUND($F930-$D930,2)&gt;0,"Overpaid",IF(ROUND($F930-$D930,2)=0,"Paid","Partial"))))</f>
      </c>
      <c r="J930" s="29"/>
      <c r="K930">
        <f>IF($A930="","","#"&amp;TRIM(SUBSTITUTE(SUBSTITUTE(SUBSTITUTE(SUBSTITUTE(SUBSTITUTE(SUBSTITUTE($A930,"-",""),"(",""),")",""),".",""),"+","")," ","")))</f>
      </c>
    </row>
    <row r="931" spans="1:11" x14ac:dyDescent="0.3">
      <c r="A931" s="28"/>
      <c r="B931" s="29"/>
      <c r="C931" s="30"/>
      <c r="D931" s="31"/>
      <c r="E931" s="33">
        <f>IF(OR($D931="",$K931=""),"",IF(COUNTIFS(Payments!$G$5:$G$2500,$K931,Payments!$C$5:$C$2500,"&lt;&gt;")=0,"",_xlfn.MAXIFS(Payments!$C$5:$C$2500,Payments!$G$5:$G$2500,$K931)))</f>
      </c>
      <c r="F931" s="34">
        <f>IF(OR($D931="",$K931=""),"",SUMIF(Payments!$G$5:$G$2500,$K931,Payments!$D$5:$D$2500))</f>
      </c>
      <c r="G931" s="36">
        <f>IF($D931="","",ROUND($D931-IF($F931="",0,$F931),2))</f>
      </c>
      <c r="H931" s="35">
        <f>IF(OR($D931="",$K931=""),"",COUNTIF(Payments!$G$5:$G$2500,$K931))</f>
      </c>
      <c r="I931" s="37">
        <f>IF($D931="","",IF(OR($F931="",$F931=0),"Pending",IF(ROUND($F931-$D931,2)&gt;0,"Overpaid",IF(ROUND($F931-$D931,2)=0,"Paid","Partial"))))</f>
      </c>
      <c r="J931" s="29"/>
      <c r="K931">
        <f>IF($A931="","","#"&amp;TRIM(SUBSTITUTE(SUBSTITUTE(SUBSTITUTE(SUBSTITUTE(SUBSTITUTE(SUBSTITUTE($A931,"-",""),"(",""),")",""),".",""),"+","")," ","")))</f>
      </c>
    </row>
    <row r="932" spans="1:11" x14ac:dyDescent="0.3">
      <c r="A932" s="28"/>
      <c r="B932" s="29"/>
      <c r="C932" s="30"/>
      <c r="D932" s="31"/>
      <c r="E932" s="33">
        <f>IF(OR($D932="",$K932=""),"",IF(COUNTIFS(Payments!$G$5:$G$2500,$K932,Payments!$C$5:$C$2500,"&lt;&gt;")=0,"",_xlfn.MAXIFS(Payments!$C$5:$C$2500,Payments!$G$5:$G$2500,$K932)))</f>
      </c>
      <c r="F932" s="34">
        <f>IF(OR($D932="",$K932=""),"",SUMIF(Payments!$G$5:$G$2500,$K932,Payments!$D$5:$D$2500))</f>
      </c>
      <c r="G932" s="36">
        <f>IF($D932="","",ROUND($D932-IF($F932="",0,$F932),2))</f>
      </c>
      <c r="H932" s="35">
        <f>IF(OR($D932="",$K932=""),"",COUNTIF(Payments!$G$5:$G$2500,$K932))</f>
      </c>
      <c r="I932" s="37">
        <f>IF($D932="","",IF(OR($F932="",$F932=0),"Pending",IF(ROUND($F932-$D932,2)&gt;0,"Overpaid",IF(ROUND($F932-$D932,2)=0,"Paid","Partial"))))</f>
      </c>
      <c r="J932" s="29"/>
      <c r="K932">
        <f>IF($A932="","","#"&amp;TRIM(SUBSTITUTE(SUBSTITUTE(SUBSTITUTE(SUBSTITUTE(SUBSTITUTE(SUBSTITUTE($A932,"-",""),"(",""),")",""),".",""),"+","")," ","")))</f>
      </c>
    </row>
    <row r="933" spans="1:11" x14ac:dyDescent="0.3">
      <c r="A933" s="28"/>
      <c r="B933" s="29"/>
      <c r="C933" s="30"/>
      <c r="D933" s="31"/>
      <c r="E933" s="33">
        <f>IF(OR($D933="",$K933=""),"",IF(COUNTIFS(Payments!$G$5:$G$2500,$K933,Payments!$C$5:$C$2500,"&lt;&gt;")=0,"",_xlfn.MAXIFS(Payments!$C$5:$C$2500,Payments!$G$5:$G$2500,$K933)))</f>
      </c>
      <c r="F933" s="34">
        <f>IF(OR($D933="",$K933=""),"",SUMIF(Payments!$G$5:$G$2500,$K933,Payments!$D$5:$D$2500))</f>
      </c>
      <c r="G933" s="36">
        <f>IF($D933="","",ROUND($D933-IF($F933="",0,$F933),2))</f>
      </c>
      <c r="H933" s="35">
        <f>IF(OR($D933="",$K933=""),"",COUNTIF(Payments!$G$5:$G$2500,$K933))</f>
      </c>
      <c r="I933" s="37">
        <f>IF($D933="","",IF(OR($F933="",$F933=0),"Pending",IF(ROUND($F933-$D933,2)&gt;0,"Overpaid",IF(ROUND($F933-$D933,2)=0,"Paid","Partial"))))</f>
      </c>
      <c r="J933" s="29"/>
      <c r="K933">
        <f>IF($A933="","","#"&amp;TRIM(SUBSTITUTE(SUBSTITUTE(SUBSTITUTE(SUBSTITUTE(SUBSTITUTE(SUBSTITUTE($A933,"-",""),"(",""),")",""),".",""),"+","")," ","")))</f>
      </c>
    </row>
    <row r="934" spans="1:11" x14ac:dyDescent="0.3">
      <c r="A934" s="28"/>
      <c r="B934" s="29"/>
      <c r="C934" s="30"/>
      <c r="D934" s="31"/>
      <c r="E934" s="33">
        <f>IF(OR($D934="",$K934=""),"",IF(COUNTIFS(Payments!$G$5:$G$2500,$K934,Payments!$C$5:$C$2500,"&lt;&gt;")=0,"",_xlfn.MAXIFS(Payments!$C$5:$C$2500,Payments!$G$5:$G$2500,$K934)))</f>
      </c>
      <c r="F934" s="34">
        <f>IF(OR($D934="",$K934=""),"",SUMIF(Payments!$G$5:$G$2500,$K934,Payments!$D$5:$D$2500))</f>
      </c>
      <c r="G934" s="36">
        <f>IF($D934="","",ROUND($D934-IF($F934="",0,$F934),2))</f>
      </c>
      <c r="H934" s="35">
        <f>IF(OR($D934="",$K934=""),"",COUNTIF(Payments!$G$5:$G$2500,$K934))</f>
      </c>
      <c r="I934" s="37">
        <f>IF($D934="","",IF(OR($F934="",$F934=0),"Pending",IF(ROUND($F934-$D934,2)&gt;0,"Overpaid",IF(ROUND($F934-$D934,2)=0,"Paid","Partial"))))</f>
      </c>
      <c r="J934" s="29"/>
      <c r="K934">
        <f>IF($A934="","","#"&amp;TRIM(SUBSTITUTE(SUBSTITUTE(SUBSTITUTE(SUBSTITUTE(SUBSTITUTE(SUBSTITUTE($A934,"-",""),"(",""),")",""),".",""),"+","")," ","")))</f>
      </c>
    </row>
    <row r="935" spans="1:11" x14ac:dyDescent="0.3">
      <c r="A935" s="28"/>
      <c r="B935" s="29"/>
      <c r="C935" s="30"/>
      <c r="D935" s="31"/>
      <c r="E935" s="33">
        <f>IF(OR($D935="",$K935=""),"",IF(COUNTIFS(Payments!$G$5:$G$2500,$K935,Payments!$C$5:$C$2500,"&lt;&gt;")=0,"",_xlfn.MAXIFS(Payments!$C$5:$C$2500,Payments!$G$5:$G$2500,$K935)))</f>
      </c>
      <c r="F935" s="34">
        <f>IF(OR($D935="",$K935=""),"",SUMIF(Payments!$G$5:$G$2500,$K935,Payments!$D$5:$D$2500))</f>
      </c>
      <c r="G935" s="36">
        <f>IF($D935="","",ROUND($D935-IF($F935="",0,$F935),2))</f>
      </c>
      <c r="H935" s="35">
        <f>IF(OR($D935="",$K935=""),"",COUNTIF(Payments!$G$5:$G$2500,$K935))</f>
      </c>
      <c r="I935" s="37">
        <f>IF($D935="","",IF(OR($F935="",$F935=0),"Pending",IF(ROUND($F935-$D935,2)&gt;0,"Overpaid",IF(ROUND($F935-$D935,2)=0,"Paid","Partial"))))</f>
      </c>
      <c r="J935" s="29"/>
      <c r="K935">
        <f>IF($A935="","","#"&amp;TRIM(SUBSTITUTE(SUBSTITUTE(SUBSTITUTE(SUBSTITUTE(SUBSTITUTE(SUBSTITUTE($A935,"-",""),"(",""),")",""),".",""),"+","")," ","")))</f>
      </c>
    </row>
    <row r="936" spans="1:11" x14ac:dyDescent="0.3">
      <c r="A936" s="28"/>
      <c r="B936" s="29"/>
      <c r="C936" s="30"/>
      <c r="D936" s="31"/>
      <c r="E936" s="33">
        <f>IF(OR($D936="",$K936=""),"",IF(COUNTIFS(Payments!$G$5:$G$2500,$K936,Payments!$C$5:$C$2500,"&lt;&gt;")=0,"",_xlfn.MAXIFS(Payments!$C$5:$C$2500,Payments!$G$5:$G$2500,$K936)))</f>
      </c>
      <c r="F936" s="34">
        <f>IF(OR($D936="",$K936=""),"",SUMIF(Payments!$G$5:$G$2500,$K936,Payments!$D$5:$D$2500))</f>
      </c>
      <c r="G936" s="36">
        <f>IF($D936="","",ROUND($D936-IF($F936="",0,$F936),2))</f>
      </c>
      <c r="H936" s="35">
        <f>IF(OR($D936="",$K936=""),"",COUNTIF(Payments!$G$5:$G$2500,$K936))</f>
      </c>
      <c r="I936" s="37">
        <f>IF($D936="","",IF(OR($F936="",$F936=0),"Pending",IF(ROUND($F936-$D936,2)&gt;0,"Overpaid",IF(ROUND($F936-$D936,2)=0,"Paid","Partial"))))</f>
      </c>
      <c r="J936" s="29"/>
      <c r="K936">
        <f>IF($A936="","","#"&amp;TRIM(SUBSTITUTE(SUBSTITUTE(SUBSTITUTE(SUBSTITUTE(SUBSTITUTE(SUBSTITUTE($A936,"-",""),"(",""),")",""),".",""),"+","")," ","")))</f>
      </c>
    </row>
    <row r="937" spans="1:11" x14ac:dyDescent="0.3">
      <c r="A937" s="28"/>
      <c r="B937" s="29"/>
      <c r="C937" s="30"/>
      <c r="D937" s="31"/>
      <c r="E937" s="33">
        <f>IF(OR($D937="",$K937=""),"",IF(COUNTIFS(Payments!$G$5:$G$2500,$K937,Payments!$C$5:$C$2500,"&lt;&gt;")=0,"",_xlfn.MAXIFS(Payments!$C$5:$C$2500,Payments!$G$5:$G$2500,$K937)))</f>
      </c>
      <c r="F937" s="34">
        <f>IF(OR($D937="",$K937=""),"",SUMIF(Payments!$G$5:$G$2500,$K937,Payments!$D$5:$D$2500))</f>
      </c>
      <c r="G937" s="36">
        <f>IF($D937="","",ROUND($D937-IF($F937="",0,$F937),2))</f>
      </c>
      <c r="H937" s="35">
        <f>IF(OR($D937="",$K937=""),"",COUNTIF(Payments!$G$5:$G$2500,$K937))</f>
      </c>
      <c r="I937" s="37">
        <f>IF($D937="","",IF(OR($F937="",$F937=0),"Pending",IF(ROUND($F937-$D937,2)&gt;0,"Overpaid",IF(ROUND($F937-$D937,2)=0,"Paid","Partial"))))</f>
      </c>
      <c r="J937" s="29"/>
      <c r="K937">
        <f>IF($A937="","","#"&amp;TRIM(SUBSTITUTE(SUBSTITUTE(SUBSTITUTE(SUBSTITUTE(SUBSTITUTE(SUBSTITUTE($A937,"-",""),"(",""),")",""),".",""),"+","")," ","")))</f>
      </c>
    </row>
    <row r="938" spans="1:11" x14ac:dyDescent="0.3">
      <c r="A938" s="28"/>
      <c r="B938" s="29"/>
      <c r="C938" s="30"/>
      <c r="D938" s="31"/>
      <c r="E938" s="33">
        <f>IF(OR($D938="",$K938=""),"",IF(COUNTIFS(Payments!$G$5:$G$2500,$K938,Payments!$C$5:$C$2500,"&lt;&gt;")=0,"",_xlfn.MAXIFS(Payments!$C$5:$C$2500,Payments!$G$5:$G$2500,$K938)))</f>
      </c>
      <c r="F938" s="34">
        <f>IF(OR($D938="",$K938=""),"",SUMIF(Payments!$G$5:$G$2500,$K938,Payments!$D$5:$D$2500))</f>
      </c>
      <c r="G938" s="36">
        <f>IF($D938="","",ROUND($D938-IF($F938="",0,$F938),2))</f>
      </c>
      <c r="H938" s="35">
        <f>IF(OR($D938="",$K938=""),"",COUNTIF(Payments!$G$5:$G$2500,$K938))</f>
      </c>
      <c r="I938" s="37">
        <f>IF($D938="","",IF(OR($F938="",$F938=0),"Pending",IF(ROUND($F938-$D938,2)&gt;0,"Overpaid",IF(ROUND($F938-$D938,2)=0,"Paid","Partial"))))</f>
      </c>
      <c r="J938" s="29"/>
      <c r="K938">
        <f>IF($A938="","","#"&amp;TRIM(SUBSTITUTE(SUBSTITUTE(SUBSTITUTE(SUBSTITUTE(SUBSTITUTE(SUBSTITUTE($A938,"-",""),"(",""),")",""),".",""),"+","")," ","")))</f>
      </c>
    </row>
    <row r="939" spans="1:11" x14ac:dyDescent="0.3">
      <c r="A939" s="28"/>
      <c r="B939" s="29"/>
      <c r="C939" s="30"/>
      <c r="D939" s="31"/>
      <c r="E939" s="33">
        <f>IF(OR($D939="",$K939=""),"",IF(COUNTIFS(Payments!$G$5:$G$2500,$K939,Payments!$C$5:$C$2500,"&lt;&gt;")=0,"",_xlfn.MAXIFS(Payments!$C$5:$C$2500,Payments!$G$5:$G$2500,$K939)))</f>
      </c>
      <c r="F939" s="34">
        <f>IF(OR($D939="",$K939=""),"",SUMIF(Payments!$G$5:$G$2500,$K939,Payments!$D$5:$D$2500))</f>
      </c>
      <c r="G939" s="36">
        <f>IF($D939="","",ROUND($D939-IF($F939="",0,$F939),2))</f>
      </c>
      <c r="H939" s="35">
        <f>IF(OR($D939="",$K939=""),"",COUNTIF(Payments!$G$5:$G$2500,$K939))</f>
      </c>
      <c r="I939" s="37">
        <f>IF($D939="","",IF(OR($F939="",$F939=0),"Pending",IF(ROUND($F939-$D939,2)&gt;0,"Overpaid",IF(ROUND($F939-$D939,2)=0,"Paid","Partial"))))</f>
      </c>
      <c r="J939" s="29"/>
      <c r="K939">
        <f>IF($A939="","","#"&amp;TRIM(SUBSTITUTE(SUBSTITUTE(SUBSTITUTE(SUBSTITUTE(SUBSTITUTE(SUBSTITUTE($A939,"-",""),"(",""),")",""),".",""),"+","")," ","")))</f>
      </c>
    </row>
    <row r="940" spans="1:11" x14ac:dyDescent="0.3">
      <c r="A940" s="28"/>
      <c r="B940" s="29"/>
      <c r="C940" s="30"/>
      <c r="D940" s="31"/>
      <c r="E940" s="33">
        <f>IF(OR($D940="",$K940=""),"",IF(COUNTIFS(Payments!$G$5:$G$2500,$K940,Payments!$C$5:$C$2500,"&lt;&gt;")=0,"",_xlfn.MAXIFS(Payments!$C$5:$C$2500,Payments!$G$5:$G$2500,$K940)))</f>
      </c>
      <c r="F940" s="34">
        <f>IF(OR($D940="",$K940=""),"",SUMIF(Payments!$G$5:$G$2500,$K940,Payments!$D$5:$D$2500))</f>
      </c>
      <c r="G940" s="36">
        <f>IF($D940="","",ROUND($D940-IF($F940="",0,$F940),2))</f>
      </c>
      <c r="H940" s="35">
        <f>IF(OR($D940="",$K940=""),"",COUNTIF(Payments!$G$5:$G$2500,$K940))</f>
      </c>
      <c r="I940" s="37">
        <f>IF($D940="","",IF(OR($F940="",$F940=0),"Pending",IF(ROUND($F940-$D940,2)&gt;0,"Overpaid",IF(ROUND($F940-$D940,2)=0,"Paid","Partial"))))</f>
      </c>
      <c r="J940" s="29"/>
      <c r="K940">
        <f>IF($A940="","","#"&amp;TRIM(SUBSTITUTE(SUBSTITUTE(SUBSTITUTE(SUBSTITUTE(SUBSTITUTE(SUBSTITUTE($A940,"-",""),"(",""),")",""),".",""),"+","")," ","")))</f>
      </c>
    </row>
    <row r="941" spans="1:11" x14ac:dyDescent="0.3">
      <c r="A941" s="28"/>
      <c r="B941" s="29"/>
      <c r="C941" s="30"/>
      <c r="D941" s="31"/>
      <c r="E941" s="33">
        <f>IF(OR($D941="",$K941=""),"",IF(COUNTIFS(Payments!$G$5:$G$2500,$K941,Payments!$C$5:$C$2500,"&lt;&gt;")=0,"",_xlfn.MAXIFS(Payments!$C$5:$C$2500,Payments!$G$5:$G$2500,$K941)))</f>
      </c>
      <c r="F941" s="34">
        <f>IF(OR($D941="",$K941=""),"",SUMIF(Payments!$G$5:$G$2500,$K941,Payments!$D$5:$D$2500))</f>
      </c>
      <c r="G941" s="36">
        <f>IF($D941="","",ROUND($D941-IF($F941="",0,$F941),2))</f>
      </c>
      <c r="H941" s="35">
        <f>IF(OR($D941="",$K941=""),"",COUNTIF(Payments!$G$5:$G$2500,$K941))</f>
      </c>
      <c r="I941" s="37">
        <f>IF($D941="","",IF(OR($F941="",$F941=0),"Pending",IF(ROUND($F941-$D941,2)&gt;0,"Overpaid",IF(ROUND($F941-$D941,2)=0,"Paid","Partial"))))</f>
      </c>
      <c r="J941" s="29"/>
      <c r="K941">
        <f>IF($A941="","","#"&amp;TRIM(SUBSTITUTE(SUBSTITUTE(SUBSTITUTE(SUBSTITUTE(SUBSTITUTE(SUBSTITUTE($A941,"-",""),"(",""),")",""),".",""),"+","")," ","")))</f>
      </c>
    </row>
    <row r="942" spans="1:11" x14ac:dyDescent="0.3">
      <c r="A942" s="28"/>
      <c r="B942" s="29"/>
      <c r="C942" s="30"/>
      <c r="D942" s="31"/>
      <c r="E942" s="33">
        <f>IF(OR($D942="",$K942=""),"",IF(COUNTIFS(Payments!$G$5:$G$2500,$K942,Payments!$C$5:$C$2500,"&lt;&gt;")=0,"",_xlfn.MAXIFS(Payments!$C$5:$C$2500,Payments!$G$5:$G$2500,$K942)))</f>
      </c>
      <c r="F942" s="34">
        <f>IF(OR($D942="",$K942=""),"",SUMIF(Payments!$G$5:$G$2500,$K942,Payments!$D$5:$D$2500))</f>
      </c>
      <c r="G942" s="36">
        <f>IF($D942="","",ROUND($D942-IF($F942="",0,$F942),2))</f>
      </c>
      <c r="H942" s="35">
        <f>IF(OR($D942="",$K942=""),"",COUNTIF(Payments!$G$5:$G$2500,$K942))</f>
      </c>
      <c r="I942" s="37">
        <f>IF($D942="","",IF(OR($F942="",$F942=0),"Pending",IF(ROUND($F942-$D942,2)&gt;0,"Overpaid",IF(ROUND($F942-$D942,2)=0,"Paid","Partial"))))</f>
      </c>
      <c r="J942" s="29"/>
      <c r="K942">
        <f>IF($A942="","","#"&amp;TRIM(SUBSTITUTE(SUBSTITUTE(SUBSTITUTE(SUBSTITUTE(SUBSTITUTE(SUBSTITUTE($A942,"-",""),"(",""),")",""),".",""),"+","")," ","")))</f>
      </c>
    </row>
    <row r="943" spans="1:11" x14ac:dyDescent="0.3">
      <c r="A943" s="28"/>
      <c r="B943" s="29"/>
      <c r="C943" s="30"/>
      <c r="D943" s="31"/>
      <c r="E943" s="33">
        <f>IF(OR($D943="",$K943=""),"",IF(COUNTIFS(Payments!$G$5:$G$2500,$K943,Payments!$C$5:$C$2500,"&lt;&gt;")=0,"",_xlfn.MAXIFS(Payments!$C$5:$C$2500,Payments!$G$5:$G$2500,$K943)))</f>
      </c>
      <c r="F943" s="34">
        <f>IF(OR($D943="",$K943=""),"",SUMIF(Payments!$G$5:$G$2500,$K943,Payments!$D$5:$D$2500))</f>
      </c>
      <c r="G943" s="36">
        <f>IF($D943="","",ROUND($D943-IF($F943="",0,$F943),2))</f>
      </c>
      <c r="H943" s="35">
        <f>IF(OR($D943="",$K943=""),"",COUNTIF(Payments!$G$5:$G$2500,$K943))</f>
      </c>
      <c r="I943" s="37">
        <f>IF($D943="","",IF(OR($F943="",$F943=0),"Pending",IF(ROUND($F943-$D943,2)&gt;0,"Overpaid",IF(ROUND($F943-$D943,2)=0,"Paid","Partial"))))</f>
      </c>
      <c r="J943" s="29"/>
      <c r="K943">
        <f>IF($A943="","","#"&amp;TRIM(SUBSTITUTE(SUBSTITUTE(SUBSTITUTE(SUBSTITUTE(SUBSTITUTE(SUBSTITUTE($A943,"-",""),"(",""),")",""),".",""),"+","")," ","")))</f>
      </c>
    </row>
    <row r="944" spans="1:11" x14ac:dyDescent="0.3">
      <c r="A944" s="28"/>
      <c r="B944" s="29"/>
      <c r="C944" s="30"/>
      <c r="D944" s="31"/>
      <c r="E944" s="33">
        <f>IF(OR($D944="",$K944=""),"",IF(COUNTIFS(Payments!$G$5:$G$2500,$K944,Payments!$C$5:$C$2500,"&lt;&gt;")=0,"",_xlfn.MAXIFS(Payments!$C$5:$C$2500,Payments!$G$5:$G$2500,$K944)))</f>
      </c>
      <c r="F944" s="34">
        <f>IF(OR($D944="",$K944=""),"",SUMIF(Payments!$G$5:$G$2500,$K944,Payments!$D$5:$D$2500))</f>
      </c>
      <c r="G944" s="36">
        <f>IF($D944="","",ROUND($D944-IF($F944="",0,$F944),2))</f>
      </c>
      <c r="H944" s="35">
        <f>IF(OR($D944="",$K944=""),"",COUNTIF(Payments!$G$5:$G$2500,$K944))</f>
      </c>
      <c r="I944" s="37">
        <f>IF($D944="","",IF(OR($F944="",$F944=0),"Pending",IF(ROUND($F944-$D944,2)&gt;0,"Overpaid",IF(ROUND($F944-$D944,2)=0,"Paid","Partial"))))</f>
      </c>
      <c r="J944" s="29"/>
      <c r="K944">
        <f>IF($A944="","","#"&amp;TRIM(SUBSTITUTE(SUBSTITUTE(SUBSTITUTE(SUBSTITUTE(SUBSTITUTE(SUBSTITUTE($A944,"-",""),"(",""),")",""),".",""),"+","")," ","")))</f>
      </c>
    </row>
    <row r="945" spans="1:11" x14ac:dyDescent="0.3">
      <c r="A945" s="28"/>
      <c r="B945" s="29"/>
      <c r="C945" s="30"/>
      <c r="D945" s="31"/>
      <c r="E945" s="33">
        <f>IF(OR($D945="",$K945=""),"",IF(COUNTIFS(Payments!$G$5:$G$2500,$K945,Payments!$C$5:$C$2500,"&lt;&gt;")=0,"",_xlfn.MAXIFS(Payments!$C$5:$C$2500,Payments!$G$5:$G$2500,$K945)))</f>
      </c>
      <c r="F945" s="34">
        <f>IF(OR($D945="",$K945=""),"",SUMIF(Payments!$G$5:$G$2500,$K945,Payments!$D$5:$D$2500))</f>
      </c>
      <c r="G945" s="36">
        <f>IF($D945="","",ROUND($D945-IF($F945="",0,$F945),2))</f>
      </c>
      <c r="H945" s="35">
        <f>IF(OR($D945="",$K945=""),"",COUNTIF(Payments!$G$5:$G$2500,$K945))</f>
      </c>
      <c r="I945" s="37">
        <f>IF($D945="","",IF(OR($F945="",$F945=0),"Pending",IF(ROUND($F945-$D945,2)&gt;0,"Overpaid",IF(ROUND($F945-$D945,2)=0,"Paid","Partial"))))</f>
      </c>
      <c r="J945" s="29"/>
      <c r="K945">
        <f>IF($A945="","","#"&amp;TRIM(SUBSTITUTE(SUBSTITUTE(SUBSTITUTE(SUBSTITUTE(SUBSTITUTE(SUBSTITUTE($A945,"-",""),"(",""),")",""),".",""),"+","")," ","")))</f>
      </c>
    </row>
    <row r="946" spans="1:11" x14ac:dyDescent="0.3">
      <c r="A946" s="28"/>
      <c r="B946" s="29"/>
      <c r="C946" s="30"/>
      <c r="D946" s="31"/>
      <c r="E946" s="33">
        <f>IF(OR($D946="",$K946=""),"",IF(COUNTIFS(Payments!$G$5:$G$2500,$K946,Payments!$C$5:$C$2500,"&lt;&gt;")=0,"",_xlfn.MAXIFS(Payments!$C$5:$C$2500,Payments!$G$5:$G$2500,$K946)))</f>
      </c>
      <c r="F946" s="34">
        <f>IF(OR($D946="",$K946=""),"",SUMIF(Payments!$G$5:$G$2500,$K946,Payments!$D$5:$D$2500))</f>
      </c>
      <c r="G946" s="36">
        <f>IF($D946="","",ROUND($D946-IF($F946="",0,$F946),2))</f>
      </c>
      <c r="H946" s="35">
        <f>IF(OR($D946="",$K946=""),"",COUNTIF(Payments!$G$5:$G$2500,$K946))</f>
      </c>
      <c r="I946" s="37">
        <f>IF($D946="","",IF(OR($F946="",$F946=0),"Pending",IF(ROUND($F946-$D946,2)&gt;0,"Overpaid",IF(ROUND($F946-$D946,2)=0,"Paid","Partial"))))</f>
      </c>
      <c r="J946" s="29"/>
      <c r="K946">
        <f>IF($A946="","","#"&amp;TRIM(SUBSTITUTE(SUBSTITUTE(SUBSTITUTE(SUBSTITUTE(SUBSTITUTE(SUBSTITUTE($A946,"-",""),"(",""),")",""),".",""),"+","")," ","")))</f>
      </c>
    </row>
    <row r="947" spans="1:11" x14ac:dyDescent="0.3">
      <c r="A947" s="28"/>
      <c r="B947" s="29"/>
      <c r="C947" s="30"/>
      <c r="D947" s="31"/>
      <c r="E947" s="33">
        <f>IF(OR($D947="",$K947=""),"",IF(COUNTIFS(Payments!$G$5:$G$2500,$K947,Payments!$C$5:$C$2500,"&lt;&gt;")=0,"",_xlfn.MAXIFS(Payments!$C$5:$C$2500,Payments!$G$5:$G$2500,$K947)))</f>
      </c>
      <c r="F947" s="34">
        <f>IF(OR($D947="",$K947=""),"",SUMIF(Payments!$G$5:$G$2500,$K947,Payments!$D$5:$D$2500))</f>
      </c>
      <c r="G947" s="36">
        <f>IF($D947="","",ROUND($D947-IF($F947="",0,$F947),2))</f>
      </c>
      <c r="H947" s="35">
        <f>IF(OR($D947="",$K947=""),"",COUNTIF(Payments!$G$5:$G$2500,$K947))</f>
      </c>
      <c r="I947" s="37">
        <f>IF($D947="","",IF(OR($F947="",$F947=0),"Pending",IF(ROUND($F947-$D947,2)&gt;0,"Overpaid",IF(ROUND($F947-$D947,2)=0,"Paid","Partial"))))</f>
      </c>
      <c r="J947" s="29"/>
      <c r="K947">
        <f>IF($A947="","","#"&amp;TRIM(SUBSTITUTE(SUBSTITUTE(SUBSTITUTE(SUBSTITUTE(SUBSTITUTE(SUBSTITUTE($A947,"-",""),"(",""),")",""),".",""),"+","")," ","")))</f>
      </c>
    </row>
    <row r="948" spans="1:11" x14ac:dyDescent="0.3">
      <c r="A948" s="28"/>
      <c r="B948" s="29"/>
      <c r="C948" s="30"/>
      <c r="D948" s="31"/>
      <c r="E948" s="33">
        <f>IF(OR($D948="",$K948=""),"",IF(COUNTIFS(Payments!$G$5:$G$2500,$K948,Payments!$C$5:$C$2500,"&lt;&gt;")=0,"",_xlfn.MAXIFS(Payments!$C$5:$C$2500,Payments!$G$5:$G$2500,$K948)))</f>
      </c>
      <c r="F948" s="34">
        <f>IF(OR($D948="",$K948=""),"",SUMIF(Payments!$G$5:$G$2500,$K948,Payments!$D$5:$D$2500))</f>
      </c>
      <c r="G948" s="36">
        <f>IF($D948="","",ROUND($D948-IF($F948="",0,$F948),2))</f>
      </c>
      <c r="H948" s="35">
        <f>IF(OR($D948="",$K948=""),"",COUNTIF(Payments!$G$5:$G$2500,$K948))</f>
      </c>
      <c r="I948" s="37">
        <f>IF($D948="","",IF(OR($F948="",$F948=0),"Pending",IF(ROUND($F948-$D948,2)&gt;0,"Overpaid",IF(ROUND($F948-$D948,2)=0,"Paid","Partial"))))</f>
      </c>
      <c r="J948" s="29"/>
      <c r="K948">
        <f>IF($A948="","","#"&amp;TRIM(SUBSTITUTE(SUBSTITUTE(SUBSTITUTE(SUBSTITUTE(SUBSTITUTE(SUBSTITUTE($A948,"-",""),"(",""),")",""),".",""),"+","")," ","")))</f>
      </c>
    </row>
    <row r="949" spans="1:11" x14ac:dyDescent="0.3">
      <c r="A949" s="28"/>
      <c r="B949" s="29"/>
      <c r="C949" s="30"/>
      <c r="D949" s="31"/>
      <c r="E949" s="33">
        <f>IF(OR($D949="",$K949=""),"",IF(COUNTIFS(Payments!$G$5:$G$2500,$K949,Payments!$C$5:$C$2500,"&lt;&gt;")=0,"",_xlfn.MAXIFS(Payments!$C$5:$C$2500,Payments!$G$5:$G$2500,$K949)))</f>
      </c>
      <c r="F949" s="34">
        <f>IF(OR($D949="",$K949=""),"",SUMIF(Payments!$G$5:$G$2500,$K949,Payments!$D$5:$D$2500))</f>
      </c>
      <c r="G949" s="36">
        <f>IF($D949="","",ROUND($D949-IF($F949="",0,$F949),2))</f>
      </c>
      <c r="H949" s="35">
        <f>IF(OR($D949="",$K949=""),"",COUNTIF(Payments!$G$5:$G$2500,$K949))</f>
      </c>
      <c r="I949" s="37">
        <f>IF($D949="","",IF(OR($F949="",$F949=0),"Pending",IF(ROUND($F949-$D949,2)&gt;0,"Overpaid",IF(ROUND($F949-$D949,2)=0,"Paid","Partial"))))</f>
      </c>
      <c r="J949" s="29"/>
      <c r="K949">
        <f>IF($A949="","","#"&amp;TRIM(SUBSTITUTE(SUBSTITUTE(SUBSTITUTE(SUBSTITUTE(SUBSTITUTE(SUBSTITUTE($A949,"-",""),"(",""),")",""),".",""),"+","")," ","")))</f>
      </c>
    </row>
    <row r="950" spans="1:11" x14ac:dyDescent="0.3">
      <c r="A950" s="28"/>
      <c r="B950" s="29"/>
      <c r="C950" s="30"/>
      <c r="D950" s="31"/>
      <c r="E950" s="33">
        <f>IF(OR($D950="",$K950=""),"",IF(COUNTIFS(Payments!$G$5:$G$2500,$K950,Payments!$C$5:$C$2500,"&lt;&gt;")=0,"",_xlfn.MAXIFS(Payments!$C$5:$C$2500,Payments!$G$5:$G$2500,$K950)))</f>
      </c>
      <c r="F950" s="34">
        <f>IF(OR($D950="",$K950=""),"",SUMIF(Payments!$G$5:$G$2500,$K950,Payments!$D$5:$D$2500))</f>
      </c>
      <c r="G950" s="36">
        <f>IF($D950="","",ROUND($D950-IF($F950="",0,$F950),2))</f>
      </c>
      <c r="H950" s="35">
        <f>IF(OR($D950="",$K950=""),"",COUNTIF(Payments!$G$5:$G$2500,$K950))</f>
      </c>
      <c r="I950" s="37">
        <f>IF($D950="","",IF(OR($F950="",$F950=0),"Pending",IF(ROUND($F950-$D950,2)&gt;0,"Overpaid",IF(ROUND($F950-$D950,2)=0,"Paid","Partial"))))</f>
      </c>
      <c r="J950" s="29"/>
      <c r="K950">
        <f>IF($A950="","","#"&amp;TRIM(SUBSTITUTE(SUBSTITUTE(SUBSTITUTE(SUBSTITUTE(SUBSTITUTE(SUBSTITUTE($A950,"-",""),"(",""),")",""),".",""),"+","")," ","")))</f>
      </c>
    </row>
    <row r="951" spans="1:11" x14ac:dyDescent="0.3">
      <c r="A951" s="28"/>
      <c r="B951" s="29"/>
      <c r="C951" s="30"/>
      <c r="D951" s="31"/>
      <c r="E951" s="33">
        <f>IF(OR($D951="",$K951=""),"",IF(COUNTIFS(Payments!$G$5:$G$2500,$K951,Payments!$C$5:$C$2500,"&lt;&gt;")=0,"",_xlfn.MAXIFS(Payments!$C$5:$C$2500,Payments!$G$5:$G$2500,$K951)))</f>
      </c>
      <c r="F951" s="34">
        <f>IF(OR($D951="",$K951=""),"",SUMIF(Payments!$G$5:$G$2500,$K951,Payments!$D$5:$D$2500))</f>
      </c>
      <c r="G951" s="36">
        <f>IF($D951="","",ROUND($D951-IF($F951="",0,$F951),2))</f>
      </c>
      <c r="H951" s="35">
        <f>IF(OR($D951="",$K951=""),"",COUNTIF(Payments!$G$5:$G$2500,$K951))</f>
      </c>
      <c r="I951" s="37">
        <f>IF($D951="","",IF(OR($F951="",$F951=0),"Pending",IF(ROUND($F951-$D951,2)&gt;0,"Overpaid",IF(ROUND($F951-$D951,2)=0,"Paid","Partial"))))</f>
      </c>
      <c r="J951" s="29"/>
      <c r="K951">
        <f>IF($A951="","","#"&amp;TRIM(SUBSTITUTE(SUBSTITUTE(SUBSTITUTE(SUBSTITUTE(SUBSTITUTE(SUBSTITUTE($A951,"-",""),"(",""),")",""),".",""),"+","")," ","")))</f>
      </c>
    </row>
    <row r="952" spans="1:11" x14ac:dyDescent="0.3">
      <c r="A952" s="28"/>
      <c r="B952" s="29"/>
      <c r="C952" s="30"/>
      <c r="D952" s="31"/>
      <c r="E952" s="33">
        <f>IF(OR($D952="",$K952=""),"",IF(COUNTIFS(Payments!$G$5:$G$2500,$K952,Payments!$C$5:$C$2500,"&lt;&gt;")=0,"",_xlfn.MAXIFS(Payments!$C$5:$C$2500,Payments!$G$5:$G$2500,$K952)))</f>
      </c>
      <c r="F952" s="34">
        <f>IF(OR($D952="",$K952=""),"",SUMIF(Payments!$G$5:$G$2500,$K952,Payments!$D$5:$D$2500))</f>
      </c>
      <c r="G952" s="36">
        <f>IF($D952="","",ROUND($D952-IF($F952="",0,$F952),2))</f>
      </c>
      <c r="H952" s="35">
        <f>IF(OR($D952="",$K952=""),"",COUNTIF(Payments!$G$5:$G$2500,$K952))</f>
      </c>
      <c r="I952" s="37">
        <f>IF($D952="","",IF(OR($F952="",$F952=0),"Pending",IF(ROUND($F952-$D952,2)&gt;0,"Overpaid",IF(ROUND($F952-$D952,2)=0,"Paid","Partial"))))</f>
      </c>
      <c r="J952" s="29"/>
      <c r="K952">
        <f>IF($A952="","","#"&amp;TRIM(SUBSTITUTE(SUBSTITUTE(SUBSTITUTE(SUBSTITUTE(SUBSTITUTE(SUBSTITUTE($A952,"-",""),"(",""),")",""),".",""),"+","")," ","")))</f>
      </c>
    </row>
    <row r="953" spans="1:11" x14ac:dyDescent="0.3">
      <c r="A953" s="28"/>
      <c r="B953" s="29"/>
      <c r="C953" s="30"/>
      <c r="D953" s="31"/>
      <c r="E953" s="33">
        <f>IF(OR($D953="",$K953=""),"",IF(COUNTIFS(Payments!$G$5:$G$2500,$K953,Payments!$C$5:$C$2500,"&lt;&gt;")=0,"",_xlfn.MAXIFS(Payments!$C$5:$C$2500,Payments!$G$5:$G$2500,$K953)))</f>
      </c>
      <c r="F953" s="34">
        <f>IF(OR($D953="",$K953=""),"",SUMIF(Payments!$G$5:$G$2500,$K953,Payments!$D$5:$D$2500))</f>
      </c>
      <c r="G953" s="36">
        <f>IF($D953="","",ROUND($D953-IF($F953="",0,$F953),2))</f>
      </c>
      <c r="H953" s="35">
        <f>IF(OR($D953="",$K953=""),"",COUNTIF(Payments!$G$5:$G$2500,$K953))</f>
      </c>
      <c r="I953" s="37">
        <f>IF($D953="","",IF(OR($F953="",$F953=0),"Pending",IF(ROUND($F953-$D953,2)&gt;0,"Overpaid",IF(ROUND($F953-$D953,2)=0,"Paid","Partial"))))</f>
      </c>
      <c r="J953" s="29"/>
      <c r="K953">
        <f>IF($A953="","","#"&amp;TRIM(SUBSTITUTE(SUBSTITUTE(SUBSTITUTE(SUBSTITUTE(SUBSTITUTE(SUBSTITUTE($A953,"-",""),"(",""),")",""),".",""),"+","")," ","")))</f>
      </c>
    </row>
    <row r="954" spans="1:11" x14ac:dyDescent="0.3">
      <c r="A954" s="28"/>
      <c r="B954" s="29"/>
      <c r="C954" s="30"/>
      <c r="D954" s="31"/>
      <c r="E954" s="33">
        <f>IF(OR($D954="",$K954=""),"",IF(COUNTIFS(Payments!$G$5:$G$2500,$K954,Payments!$C$5:$C$2500,"&lt;&gt;")=0,"",_xlfn.MAXIFS(Payments!$C$5:$C$2500,Payments!$G$5:$G$2500,$K954)))</f>
      </c>
      <c r="F954" s="34">
        <f>IF(OR($D954="",$K954=""),"",SUMIF(Payments!$G$5:$G$2500,$K954,Payments!$D$5:$D$2500))</f>
      </c>
      <c r="G954" s="36">
        <f>IF($D954="","",ROUND($D954-IF($F954="",0,$F954),2))</f>
      </c>
      <c r="H954" s="35">
        <f>IF(OR($D954="",$K954=""),"",COUNTIF(Payments!$G$5:$G$2500,$K954))</f>
      </c>
      <c r="I954" s="37">
        <f>IF($D954="","",IF(OR($F954="",$F954=0),"Pending",IF(ROUND($F954-$D954,2)&gt;0,"Overpaid",IF(ROUND($F954-$D954,2)=0,"Paid","Partial"))))</f>
      </c>
      <c r="J954" s="29"/>
      <c r="K954">
        <f>IF($A954="","","#"&amp;TRIM(SUBSTITUTE(SUBSTITUTE(SUBSTITUTE(SUBSTITUTE(SUBSTITUTE(SUBSTITUTE($A954,"-",""),"(",""),")",""),".",""),"+","")," ","")))</f>
      </c>
    </row>
    <row r="955" spans="1:11" x14ac:dyDescent="0.3">
      <c r="A955" s="28"/>
      <c r="B955" s="29"/>
      <c r="C955" s="30"/>
      <c r="D955" s="31"/>
      <c r="E955" s="33">
        <f>IF(OR($D955="",$K955=""),"",IF(COUNTIFS(Payments!$G$5:$G$2500,$K955,Payments!$C$5:$C$2500,"&lt;&gt;")=0,"",_xlfn.MAXIFS(Payments!$C$5:$C$2500,Payments!$G$5:$G$2500,$K955)))</f>
      </c>
      <c r="F955" s="34">
        <f>IF(OR($D955="",$K955=""),"",SUMIF(Payments!$G$5:$G$2500,$K955,Payments!$D$5:$D$2500))</f>
      </c>
      <c r="G955" s="36">
        <f>IF($D955="","",ROUND($D955-IF($F955="",0,$F955),2))</f>
      </c>
      <c r="H955" s="35">
        <f>IF(OR($D955="",$K955=""),"",COUNTIF(Payments!$G$5:$G$2500,$K955))</f>
      </c>
      <c r="I955" s="37">
        <f>IF($D955="","",IF(OR($F955="",$F955=0),"Pending",IF(ROUND($F955-$D955,2)&gt;0,"Overpaid",IF(ROUND($F955-$D955,2)=0,"Paid","Partial"))))</f>
      </c>
      <c r="J955" s="29"/>
      <c r="K955">
        <f>IF($A955="","","#"&amp;TRIM(SUBSTITUTE(SUBSTITUTE(SUBSTITUTE(SUBSTITUTE(SUBSTITUTE(SUBSTITUTE($A955,"-",""),"(",""),")",""),".",""),"+","")," ","")))</f>
      </c>
    </row>
    <row r="956" spans="1:11" x14ac:dyDescent="0.3">
      <c r="A956" s="28"/>
      <c r="B956" s="29"/>
      <c r="C956" s="30"/>
      <c r="D956" s="31"/>
      <c r="E956" s="33">
        <f>IF(OR($D956="",$K956=""),"",IF(COUNTIFS(Payments!$G$5:$G$2500,$K956,Payments!$C$5:$C$2500,"&lt;&gt;")=0,"",_xlfn.MAXIFS(Payments!$C$5:$C$2500,Payments!$G$5:$G$2500,$K956)))</f>
      </c>
      <c r="F956" s="34">
        <f>IF(OR($D956="",$K956=""),"",SUMIF(Payments!$G$5:$G$2500,$K956,Payments!$D$5:$D$2500))</f>
      </c>
      <c r="G956" s="36">
        <f>IF($D956="","",ROUND($D956-IF($F956="",0,$F956),2))</f>
      </c>
      <c r="H956" s="35">
        <f>IF(OR($D956="",$K956=""),"",COUNTIF(Payments!$G$5:$G$2500,$K956))</f>
      </c>
      <c r="I956" s="37">
        <f>IF($D956="","",IF(OR($F956="",$F956=0),"Pending",IF(ROUND($F956-$D956,2)&gt;0,"Overpaid",IF(ROUND($F956-$D956,2)=0,"Paid","Partial"))))</f>
      </c>
      <c r="J956" s="29"/>
      <c r="K956">
        <f>IF($A956="","","#"&amp;TRIM(SUBSTITUTE(SUBSTITUTE(SUBSTITUTE(SUBSTITUTE(SUBSTITUTE(SUBSTITUTE($A956,"-",""),"(",""),")",""),".",""),"+","")," ","")))</f>
      </c>
    </row>
    <row r="957" spans="1:11" x14ac:dyDescent="0.3">
      <c r="A957" s="28"/>
      <c r="B957" s="29"/>
      <c r="C957" s="30"/>
      <c r="D957" s="31"/>
      <c r="E957" s="33">
        <f>IF(OR($D957="",$K957=""),"",IF(COUNTIFS(Payments!$G$5:$G$2500,$K957,Payments!$C$5:$C$2500,"&lt;&gt;")=0,"",_xlfn.MAXIFS(Payments!$C$5:$C$2500,Payments!$G$5:$G$2500,$K957)))</f>
      </c>
      <c r="F957" s="34">
        <f>IF(OR($D957="",$K957=""),"",SUMIF(Payments!$G$5:$G$2500,$K957,Payments!$D$5:$D$2500))</f>
      </c>
      <c r="G957" s="36">
        <f>IF($D957="","",ROUND($D957-IF($F957="",0,$F957),2))</f>
      </c>
      <c r="H957" s="35">
        <f>IF(OR($D957="",$K957=""),"",COUNTIF(Payments!$G$5:$G$2500,$K957))</f>
      </c>
      <c r="I957" s="37">
        <f>IF($D957="","",IF(OR($F957="",$F957=0),"Pending",IF(ROUND($F957-$D957,2)&gt;0,"Overpaid",IF(ROUND($F957-$D957,2)=0,"Paid","Partial"))))</f>
      </c>
      <c r="J957" s="29"/>
      <c r="K957">
        <f>IF($A957="","","#"&amp;TRIM(SUBSTITUTE(SUBSTITUTE(SUBSTITUTE(SUBSTITUTE(SUBSTITUTE(SUBSTITUTE($A957,"-",""),"(",""),")",""),".",""),"+","")," ","")))</f>
      </c>
    </row>
    <row r="958" spans="1:11" x14ac:dyDescent="0.3">
      <c r="A958" s="28"/>
      <c r="B958" s="29"/>
      <c r="C958" s="30"/>
      <c r="D958" s="31"/>
      <c r="E958" s="33">
        <f>IF(OR($D958="",$K958=""),"",IF(COUNTIFS(Payments!$G$5:$G$2500,$K958,Payments!$C$5:$C$2500,"&lt;&gt;")=0,"",_xlfn.MAXIFS(Payments!$C$5:$C$2500,Payments!$G$5:$G$2500,$K958)))</f>
      </c>
      <c r="F958" s="34">
        <f>IF(OR($D958="",$K958=""),"",SUMIF(Payments!$G$5:$G$2500,$K958,Payments!$D$5:$D$2500))</f>
      </c>
      <c r="G958" s="36">
        <f>IF($D958="","",ROUND($D958-IF($F958="",0,$F958),2))</f>
      </c>
      <c r="H958" s="35">
        <f>IF(OR($D958="",$K958=""),"",COUNTIF(Payments!$G$5:$G$2500,$K958))</f>
      </c>
      <c r="I958" s="37">
        <f>IF($D958="","",IF(OR($F958="",$F958=0),"Pending",IF(ROUND($F958-$D958,2)&gt;0,"Overpaid",IF(ROUND($F958-$D958,2)=0,"Paid","Partial"))))</f>
      </c>
      <c r="J958" s="29"/>
      <c r="K958">
        <f>IF($A958="","","#"&amp;TRIM(SUBSTITUTE(SUBSTITUTE(SUBSTITUTE(SUBSTITUTE(SUBSTITUTE(SUBSTITUTE($A958,"-",""),"(",""),")",""),".",""),"+","")," ","")))</f>
      </c>
    </row>
    <row r="959" spans="1:11" x14ac:dyDescent="0.3">
      <c r="A959" s="28"/>
      <c r="B959" s="29"/>
      <c r="C959" s="30"/>
      <c r="D959" s="31"/>
      <c r="E959" s="33">
        <f>IF(OR($D959="",$K959=""),"",IF(COUNTIFS(Payments!$G$5:$G$2500,$K959,Payments!$C$5:$C$2500,"&lt;&gt;")=0,"",_xlfn.MAXIFS(Payments!$C$5:$C$2500,Payments!$G$5:$G$2500,$K959)))</f>
      </c>
      <c r="F959" s="34">
        <f>IF(OR($D959="",$K959=""),"",SUMIF(Payments!$G$5:$G$2500,$K959,Payments!$D$5:$D$2500))</f>
      </c>
      <c r="G959" s="36">
        <f>IF($D959="","",ROUND($D959-IF($F959="",0,$F959),2))</f>
      </c>
      <c r="H959" s="35">
        <f>IF(OR($D959="",$K959=""),"",COUNTIF(Payments!$G$5:$G$2500,$K959))</f>
      </c>
      <c r="I959" s="37">
        <f>IF($D959="","",IF(OR($F959="",$F959=0),"Pending",IF(ROUND($F959-$D959,2)&gt;0,"Overpaid",IF(ROUND($F959-$D959,2)=0,"Paid","Partial"))))</f>
      </c>
      <c r="J959" s="29"/>
      <c r="K959">
        <f>IF($A959="","","#"&amp;TRIM(SUBSTITUTE(SUBSTITUTE(SUBSTITUTE(SUBSTITUTE(SUBSTITUTE(SUBSTITUTE($A959,"-",""),"(",""),")",""),".",""),"+","")," ","")))</f>
      </c>
    </row>
    <row r="960" spans="1:11" x14ac:dyDescent="0.3">
      <c r="A960" s="28"/>
      <c r="B960" s="29"/>
      <c r="C960" s="30"/>
      <c r="D960" s="31"/>
      <c r="E960" s="33">
        <f>IF(OR($D960="",$K960=""),"",IF(COUNTIFS(Payments!$G$5:$G$2500,$K960,Payments!$C$5:$C$2500,"&lt;&gt;")=0,"",_xlfn.MAXIFS(Payments!$C$5:$C$2500,Payments!$G$5:$G$2500,$K960)))</f>
      </c>
      <c r="F960" s="34">
        <f>IF(OR($D960="",$K960=""),"",SUMIF(Payments!$G$5:$G$2500,$K960,Payments!$D$5:$D$2500))</f>
      </c>
      <c r="G960" s="36">
        <f>IF($D960="","",ROUND($D960-IF($F960="",0,$F960),2))</f>
      </c>
      <c r="H960" s="35">
        <f>IF(OR($D960="",$K960=""),"",COUNTIF(Payments!$G$5:$G$2500,$K960))</f>
      </c>
      <c r="I960" s="37">
        <f>IF($D960="","",IF(OR($F960="",$F960=0),"Pending",IF(ROUND($F960-$D960,2)&gt;0,"Overpaid",IF(ROUND($F960-$D960,2)=0,"Paid","Partial"))))</f>
      </c>
      <c r="J960" s="29"/>
      <c r="K960">
        <f>IF($A960="","","#"&amp;TRIM(SUBSTITUTE(SUBSTITUTE(SUBSTITUTE(SUBSTITUTE(SUBSTITUTE(SUBSTITUTE($A960,"-",""),"(",""),")",""),".",""),"+","")," ","")))</f>
      </c>
    </row>
    <row r="961" spans="1:11" x14ac:dyDescent="0.3">
      <c r="A961" s="28"/>
      <c r="B961" s="29"/>
      <c r="C961" s="30"/>
      <c r="D961" s="31"/>
      <c r="E961" s="33">
        <f>IF(OR($D961="",$K961=""),"",IF(COUNTIFS(Payments!$G$5:$G$2500,$K961,Payments!$C$5:$C$2500,"&lt;&gt;")=0,"",_xlfn.MAXIFS(Payments!$C$5:$C$2500,Payments!$G$5:$G$2500,$K961)))</f>
      </c>
      <c r="F961" s="34">
        <f>IF(OR($D961="",$K961=""),"",SUMIF(Payments!$G$5:$G$2500,$K961,Payments!$D$5:$D$2500))</f>
      </c>
      <c r="G961" s="36">
        <f>IF($D961="","",ROUND($D961-IF($F961="",0,$F961),2))</f>
      </c>
      <c r="H961" s="35">
        <f>IF(OR($D961="",$K961=""),"",COUNTIF(Payments!$G$5:$G$2500,$K961))</f>
      </c>
      <c r="I961" s="37">
        <f>IF($D961="","",IF(OR($F961="",$F961=0),"Pending",IF(ROUND($F961-$D961,2)&gt;0,"Overpaid",IF(ROUND($F961-$D961,2)=0,"Paid","Partial"))))</f>
      </c>
      <c r="J961" s="29"/>
      <c r="K961">
        <f>IF($A961="","","#"&amp;TRIM(SUBSTITUTE(SUBSTITUTE(SUBSTITUTE(SUBSTITUTE(SUBSTITUTE(SUBSTITUTE($A961,"-",""),"(",""),")",""),".",""),"+","")," ","")))</f>
      </c>
    </row>
    <row r="962" spans="1:11" x14ac:dyDescent="0.3">
      <c r="A962" s="28"/>
      <c r="B962" s="29"/>
      <c r="C962" s="30"/>
      <c r="D962" s="31"/>
      <c r="E962" s="33">
        <f>IF(OR($D962="",$K962=""),"",IF(COUNTIFS(Payments!$G$5:$G$2500,$K962,Payments!$C$5:$C$2500,"&lt;&gt;")=0,"",_xlfn.MAXIFS(Payments!$C$5:$C$2500,Payments!$G$5:$G$2500,$K962)))</f>
      </c>
      <c r="F962" s="34">
        <f>IF(OR($D962="",$K962=""),"",SUMIF(Payments!$G$5:$G$2500,$K962,Payments!$D$5:$D$2500))</f>
      </c>
      <c r="G962" s="36">
        <f>IF($D962="","",ROUND($D962-IF($F962="",0,$F962),2))</f>
      </c>
      <c r="H962" s="35">
        <f>IF(OR($D962="",$K962=""),"",COUNTIF(Payments!$G$5:$G$2500,$K962))</f>
      </c>
      <c r="I962" s="37">
        <f>IF($D962="","",IF(OR($F962="",$F962=0),"Pending",IF(ROUND($F962-$D962,2)&gt;0,"Overpaid",IF(ROUND($F962-$D962,2)=0,"Paid","Partial"))))</f>
      </c>
      <c r="J962" s="29"/>
      <c r="K962">
        <f>IF($A962="","","#"&amp;TRIM(SUBSTITUTE(SUBSTITUTE(SUBSTITUTE(SUBSTITUTE(SUBSTITUTE(SUBSTITUTE($A962,"-",""),"(",""),")",""),".",""),"+","")," ","")))</f>
      </c>
    </row>
    <row r="963" spans="1:11" x14ac:dyDescent="0.3">
      <c r="A963" s="28"/>
      <c r="B963" s="29"/>
      <c r="C963" s="30"/>
      <c r="D963" s="31"/>
      <c r="E963" s="33">
        <f>IF(OR($D963="",$K963=""),"",IF(COUNTIFS(Payments!$G$5:$G$2500,$K963,Payments!$C$5:$C$2500,"&lt;&gt;")=0,"",_xlfn.MAXIFS(Payments!$C$5:$C$2500,Payments!$G$5:$G$2500,$K963)))</f>
      </c>
      <c r="F963" s="34">
        <f>IF(OR($D963="",$K963=""),"",SUMIF(Payments!$G$5:$G$2500,$K963,Payments!$D$5:$D$2500))</f>
      </c>
      <c r="G963" s="36">
        <f>IF($D963="","",ROUND($D963-IF($F963="",0,$F963),2))</f>
      </c>
      <c r="H963" s="35">
        <f>IF(OR($D963="",$K963=""),"",COUNTIF(Payments!$G$5:$G$2500,$K963))</f>
      </c>
      <c r="I963" s="37">
        <f>IF($D963="","",IF(OR($F963="",$F963=0),"Pending",IF(ROUND($F963-$D963,2)&gt;0,"Overpaid",IF(ROUND($F963-$D963,2)=0,"Paid","Partial"))))</f>
      </c>
      <c r="J963" s="29"/>
      <c r="K963">
        <f>IF($A963="","","#"&amp;TRIM(SUBSTITUTE(SUBSTITUTE(SUBSTITUTE(SUBSTITUTE(SUBSTITUTE(SUBSTITUTE($A963,"-",""),"(",""),")",""),".",""),"+","")," ","")))</f>
      </c>
    </row>
    <row r="964" spans="1:11" x14ac:dyDescent="0.3">
      <c r="A964" s="28"/>
      <c r="B964" s="29"/>
      <c r="C964" s="30"/>
      <c r="D964" s="31"/>
      <c r="E964" s="33">
        <f>IF(OR($D964="",$K964=""),"",IF(COUNTIFS(Payments!$G$5:$G$2500,$K964,Payments!$C$5:$C$2500,"&lt;&gt;")=0,"",_xlfn.MAXIFS(Payments!$C$5:$C$2500,Payments!$G$5:$G$2500,$K964)))</f>
      </c>
      <c r="F964" s="34">
        <f>IF(OR($D964="",$K964=""),"",SUMIF(Payments!$G$5:$G$2500,$K964,Payments!$D$5:$D$2500))</f>
      </c>
      <c r="G964" s="36">
        <f>IF($D964="","",ROUND($D964-IF($F964="",0,$F964),2))</f>
      </c>
      <c r="H964" s="35">
        <f>IF(OR($D964="",$K964=""),"",COUNTIF(Payments!$G$5:$G$2500,$K964))</f>
      </c>
      <c r="I964" s="37">
        <f>IF($D964="","",IF(OR($F964="",$F964=0),"Pending",IF(ROUND($F964-$D964,2)&gt;0,"Overpaid",IF(ROUND($F964-$D964,2)=0,"Paid","Partial"))))</f>
      </c>
      <c r="J964" s="29"/>
      <c r="K964">
        <f>IF($A964="","","#"&amp;TRIM(SUBSTITUTE(SUBSTITUTE(SUBSTITUTE(SUBSTITUTE(SUBSTITUTE(SUBSTITUTE($A964,"-",""),"(",""),")",""),".",""),"+","")," ","")))</f>
      </c>
    </row>
    <row r="965" spans="1:11" x14ac:dyDescent="0.3">
      <c r="A965" s="28"/>
      <c r="B965" s="29"/>
      <c r="C965" s="30"/>
      <c r="D965" s="31"/>
      <c r="E965" s="33">
        <f>IF(OR($D965="",$K965=""),"",IF(COUNTIFS(Payments!$G$5:$G$2500,$K965,Payments!$C$5:$C$2500,"&lt;&gt;")=0,"",_xlfn.MAXIFS(Payments!$C$5:$C$2500,Payments!$G$5:$G$2500,$K965)))</f>
      </c>
      <c r="F965" s="34">
        <f>IF(OR($D965="",$K965=""),"",SUMIF(Payments!$G$5:$G$2500,$K965,Payments!$D$5:$D$2500))</f>
      </c>
      <c r="G965" s="36">
        <f>IF($D965="","",ROUND($D965-IF($F965="",0,$F965),2))</f>
      </c>
      <c r="H965" s="35">
        <f>IF(OR($D965="",$K965=""),"",COUNTIF(Payments!$G$5:$G$2500,$K965))</f>
      </c>
      <c r="I965" s="37">
        <f>IF($D965="","",IF(OR($F965="",$F965=0),"Pending",IF(ROUND($F965-$D965,2)&gt;0,"Overpaid",IF(ROUND($F965-$D965,2)=0,"Paid","Partial"))))</f>
      </c>
      <c r="J965" s="29"/>
      <c r="K965">
        <f>IF($A965="","","#"&amp;TRIM(SUBSTITUTE(SUBSTITUTE(SUBSTITUTE(SUBSTITUTE(SUBSTITUTE(SUBSTITUTE($A965,"-",""),"(",""),")",""),".",""),"+","")," ","")))</f>
      </c>
    </row>
    <row r="966" spans="1:11" x14ac:dyDescent="0.3">
      <c r="A966" s="28"/>
      <c r="B966" s="29"/>
      <c r="C966" s="30"/>
      <c r="D966" s="31"/>
      <c r="E966" s="33">
        <f>IF(OR($D966="",$K966=""),"",IF(COUNTIFS(Payments!$G$5:$G$2500,$K966,Payments!$C$5:$C$2500,"&lt;&gt;")=0,"",_xlfn.MAXIFS(Payments!$C$5:$C$2500,Payments!$G$5:$G$2500,$K966)))</f>
      </c>
      <c r="F966" s="34">
        <f>IF(OR($D966="",$K966=""),"",SUMIF(Payments!$G$5:$G$2500,$K966,Payments!$D$5:$D$2500))</f>
      </c>
      <c r="G966" s="36">
        <f>IF($D966="","",ROUND($D966-IF($F966="",0,$F966),2))</f>
      </c>
      <c r="H966" s="35">
        <f>IF(OR($D966="",$K966=""),"",COUNTIF(Payments!$G$5:$G$2500,$K966))</f>
      </c>
      <c r="I966" s="37">
        <f>IF($D966="","",IF(OR($F966="",$F966=0),"Pending",IF(ROUND($F966-$D966,2)&gt;0,"Overpaid",IF(ROUND($F966-$D966,2)=0,"Paid","Partial"))))</f>
      </c>
      <c r="J966" s="29"/>
      <c r="K966">
        <f>IF($A966="","","#"&amp;TRIM(SUBSTITUTE(SUBSTITUTE(SUBSTITUTE(SUBSTITUTE(SUBSTITUTE(SUBSTITUTE($A966,"-",""),"(",""),")",""),".",""),"+","")," ","")))</f>
      </c>
    </row>
    <row r="967" spans="1:11" x14ac:dyDescent="0.3">
      <c r="A967" s="28"/>
      <c r="B967" s="29"/>
      <c r="C967" s="30"/>
      <c r="D967" s="31"/>
      <c r="E967" s="33">
        <f>IF(OR($D967="",$K967=""),"",IF(COUNTIFS(Payments!$G$5:$G$2500,$K967,Payments!$C$5:$C$2500,"&lt;&gt;")=0,"",_xlfn.MAXIFS(Payments!$C$5:$C$2500,Payments!$G$5:$G$2500,$K967)))</f>
      </c>
      <c r="F967" s="34">
        <f>IF(OR($D967="",$K967=""),"",SUMIF(Payments!$G$5:$G$2500,$K967,Payments!$D$5:$D$2500))</f>
      </c>
      <c r="G967" s="36">
        <f>IF($D967="","",ROUND($D967-IF($F967="",0,$F967),2))</f>
      </c>
      <c r="H967" s="35">
        <f>IF(OR($D967="",$K967=""),"",COUNTIF(Payments!$G$5:$G$2500,$K967))</f>
      </c>
      <c r="I967" s="37">
        <f>IF($D967="","",IF(OR($F967="",$F967=0),"Pending",IF(ROUND($F967-$D967,2)&gt;0,"Overpaid",IF(ROUND($F967-$D967,2)=0,"Paid","Partial"))))</f>
      </c>
      <c r="J967" s="29"/>
      <c r="K967">
        <f>IF($A967="","","#"&amp;TRIM(SUBSTITUTE(SUBSTITUTE(SUBSTITUTE(SUBSTITUTE(SUBSTITUTE(SUBSTITUTE($A967,"-",""),"(",""),")",""),".",""),"+","")," ","")))</f>
      </c>
    </row>
    <row r="968" spans="1:11" x14ac:dyDescent="0.3">
      <c r="A968" s="28"/>
      <c r="B968" s="29"/>
      <c r="C968" s="30"/>
      <c r="D968" s="31"/>
      <c r="E968" s="33">
        <f>IF(OR($D968="",$K968=""),"",IF(COUNTIFS(Payments!$G$5:$G$2500,$K968,Payments!$C$5:$C$2500,"&lt;&gt;")=0,"",_xlfn.MAXIFS(Payments!$C$5:$C$2500,Payments!$G$5:$G$2500,$K968)))</f>
      </c>
      <c r="F968" s="34">
        <f>IF(OR($D968="",$K968=""),"",SUMIF(Payments!$G$5:$G$2500,$K968,Payments!$D$5:$D$2500))</f>
      </c>
      <c r="G968" s="36">
        <f>IF($D968="","",ROUND($D968-IF($F968="",0,$F968),2))</f>
      </c>
      <c r="H968" s="35">
        <f>IF(OR($D968="",$K968=""),"",COUNTIF(Payments!$G$5:$G$2500,$K968))</f>
      </c>
      <c r="I968" s="37">
        <f>IF($D968="","",IF(OR($F968="",$F968=0),"Pending",IF(ROUND($F968-$D968,2)&gt;0,"Overpaid",IF(ROUND($F968-$D968,2)=0,"Paid","Partial"))))</f>
      </c>
      <c r="J968" s="29"/>
      <c r="K968">
        <f>IF($A968="","","#"&amp;TRIM(SUBSTITUTE(SUBSTITUTE(SUBSTITUTE(SUBSTITUTE(SUBSTITUTE(SUBSTITUTE($A968,"-",""),"(",""),")",""),".",""),"+","")," ","")))</f>
      </c>
    </row>
    <row r="969" spans="1:11" x14ac:dyDescent="0.3">
      <c r="A969" s="28"/>
      <c r="B969" s="29"/>
      <c r="C969" s="30"/>
      <c r="D969" s="31"/>
      <c r="E969" s="33">
        <f>IF(OR($D969="",$K969=""),"",IF(COUNTIFS(Payments!$G$5:$G$2500,$K969,Payments!$C$5:$C$2500,"&lt;&gt;")=0,"",_xlfn.MAXIFS(Payments!$C$5:$C$2500,Payments!$G$5:$G$2500,$K969)))</f>
      </c>
      <c r="F969" s="34">
        <f>IF(OR($D969="",$K969=""),"",SUMIF(Payments!$G$5:$G$2500,$K969,Payments!$D$5:$D$2500))</f>
      </c>
      <c r="G969" s="36">
        <f>IF($D969="","",ROUND($D969-IF($F969="",0,$F969),2))</f>
      </c>
      <c r="H969" s="35">
        <f>IF(OR($D969="",$K969=""),"",COUNTIF(Payments!$G$5:$G$2500,$K969))</f>
      </c>
      <c r="I969" s="37">
        <f>IF($D969="","",IF(OR($F969="",$F969=0),"Pending",IF(ROUND($F969-$D969,2)&gt;0,"Overpaid",IF(ROUND($F969-$D969,2)=0,"Paid","Partial"))))</f>
      </c>
      <c r="J969" s="29"/>
      <c r="K969">
        <f>IF($A969="","","#"&amp;TRIM(SUBSTITUTE(SUBSTITUTE(SUBSTITUTE(SUBSTITUTE(SUBSTITUTE(SUBSTITUTE($A969,"-",""),"(",""),")",""),".",""),"+","")," ","")))</f>
      </c>
    </row>
    <row r="970" spans="1:11" x14ac:dyDescent="0.3">
      <c r="A970" s="28"/>
      <c r="B970" s="29"/>
      <c r="C970" s="30"/>
      <c r="D970" s="31"/>
      <c r="E970" s="33">
        <f>IF(OR($D970="",$K970=""),"",IF(COUNTIFS(Payments!$G$5:$G$2500,$K970,Payments!$C$5:$C$2500,"&lt;&gt;")=0,"",_xlfn.MAXIFS(Payments!$C$5:$C$2500,Payments!$G$5:$G$2500,$K970)))</f>
      </c>
      <c r="F970" s="34">
        <f>IF(OR($D970="",$K970=""),"",SUMIF(Payments!$G$5:$G$2500,$K970,Payments!$D$5:$D$2500))</f>
      </c>
      <c r="G970" s="36">
        <f>IF($D970="","",ROUND($D970-IF($F970="",0,$F970),2))</f>
      </c>
      <c r="H970" s="35">
        <f>IF(OR($D970="",$K970=""),"",COUNTIF(Payments!$G$5:$G$2500,$K970))</f>
      </c>
      <c r="I970" s="37">
        <f>IF($D970="","",IF(OR($F970="",$F970=0),"Pending",IF(ROUND($F970-$D970,2)&gt;0,"Overpaid",IF(ROUND($F970-$D970,2)=0,"Paid","Partial"))))</f>
      </c>
      <c r="J970" s="29"/>
      <c r="K970">
        <f>IF($A970="","","#"&amp;TRIM(SUBSTITUTE(SUBSTITUTE(SUBSTITUTE(SUBSTITUTE(SUBSTITUTE(SUBSTITUTE($A970,"-",""),"(",""),")",""),".",""),"+","")," ","")))</f>
      </c>
    </row>
    <row r="971" spans="1:11" x14ac:dyDescent="0.3">
      <c r="A971" s="28"/>
      <c r="B971" s="29"/>
      <c r="C971" s="30"/>
      <c r="D971" s="31"/>
      <c r="E971" s="33">
        <f>IF(OR($D971="",$K971=""),"",IF(COUNTIFS(Payments!$G$5:$G$2500,$K971,Payments!$C$5:$C$2500,"&lt;&gt;")=0,"",_xlfn.MAXIFS(Payments!$C$5:$C$2500,Payments!$G$5:$G$2500,$K971)))</f>
      </c>
      <c r="F971" s="34">
        <f>IF(OR($D971="",$K971=""),"",SUMIF(Payments!$G$5:$G$2500,$K971,Payments!$D$5:$D$2500))</f>
      </c>
      <c r="G971" s="36">
        <f>IF($D971="","",ROUND($D971-IF($F971="",0,$F971),2))</f>
      </c>
      <c r="H971" s="35">
        <f>IF(OR($D971="",$K971=""),"",COUNTIF(Payments!$G$5:$G$2500,$K971))</f>
      </c>
      <c r="I971" s="37">
        <f>IF($D971="","",IF(OR($F971="",$F971=0),"Pending",IF(ROUND($F971-$D971,2)&gt;0,"Overpaid",IF(ROUND($F971-$D971,2)=0,"Paid","Partial"))))</f>
      </c>
      <c r="J971" s="29"/>
      <c r="K971">
        <f>IF($A971="","","#"&amp;TRIM(SUBSTITUTE(SUBSTITUTE(SUBSTITUTE(SUBSTITUTE(SUBSTITUTE(SUBSTITUTE($A971,"-",""),"(",""),")",""),".",""),"+","")," ","")))</f>
      </c>
    </row>
    <row r="972" spans="1:11" x14ac:dyDescent="0.3">
      <c r="A972" s="28"/>
      <c r="B972" s="29"/>
      <c r="C972" s="30"/>
      <c r="D972" s="31"/>
      <c r="E972" s="33">
        <f>IF(OR($D972="",$K972=""),"",IF(COUNTIFS(Payments!$G$5:$G$2500,$K972,Payments!$C$5:$C$2500,"&lt;&gt;")=0,"",_xlfn.MAXIFS(Payments!$C$5:$C$2500,Payments!$G$5:$G$2500,$K972)))</f>
      </c>
      <c r="F972" s="34">
        <f>IF(OR($D972="",$K972=""),"",SUMIF(Payments!$G$5:$G$2500,$K972,Payments!$D$5:$D$2500))</f>
      </c>
      <c r="G972" s="36">
        <f>IF($D972="","",ROUND($D972-IF($F972="",0,$F972),2))</f>
      </c>
      <c r="H972" s="35">
        <f>IF(OR($D972="",$K972=""),"",COUNTIF(Payments!$G$5:$G$2500,$K972))</f>
      </c>
      <c r="I972" s="37">
        <f>IF($D972="","",IF(OR($F972="",$F972=0),"Pending",IF(ROUND($F972-$D972,2)&gt;0,"Overpaid",IF(ROUND($F972-$D972,2)=0,"Paid","Partial"))))</f>
      </c>
      <c r="J972" s="29"/>
      <c r="K972">
        <f>IF($A972="","","#"&amp;TRIM(SUBSTITUTE(SUBSTITUTE(SUBSTITUTE(SUBSTITUTE(SUBSTITUTE(SUBSTITUTE($A972,"-",""),"(",""),")",""),".",""),"+","")," ","")))</f>
      </c>
    </row>
    <row r="973" spans="1:11" x14ac:dyDescent="0.3">
      <c r="A973" s="28"/>
      <c r="B973" s="29"/>
      <c r="C973" s="30"/>
      <c r="D973" s="31"/>
      <c r="E973" s="33">
        <f>IF(OR($D973="",$K973=""),"",IF(COUNTIFS(Payments!$G$5:$G$2500,$K973,Payments!$C$5:$C$2500,"&lt;&gt;")=0,"",_xlfn.MAXIFS(Payments!$C$5:$C$2500,Payments!$G$5:$G$2500,$K973)))</f>
      </c>
      <c r="F973" s="34">
        <f>IF(OR($D973="",$K973=""),"",SUMIF(Payments!$G$5:$G$2500,$K973,Payments!$D$5:$D$2500))</f>
      </c>
      <c r="G973" s="36">
        <f>IF($D973="","",ROUND($D973-IF($F973="",0,$F973),2))</f>
      </c>
      <c r="H973" s="35">
        <f>IF(OR($D973="",$K973=""),"",COUNTIF(Payments!$G$5:$G$2500,$K973))</f>
      </c>
      <c r="I973" s="37">
        <f>IF($D973="","",IF(OR($F973="",$F973=0),"Pending",IF(ROUND($F973-$D973,2)&gt;0,"Overpaid",IF(ROUND($F973-$D973,2)=0,"Paid","Partial"))))</f>
      </c>
      <c r="J973" s="29"/>
      <c r="K973">
        <f>IF($A973="","","#"&amp;TRIM(SUBSTITUTE(SUBSTITUTE(SUBSTITUTE(SUBSTITUTE(SUBSTITUTE(SUBSTITUTE($A973,"-",""),"(",""),")",""),".",""),"+","")," ","")))</f>
      </c>
    </row>
    <row r="974" spans="1:11" x14ac:dyDescent="0.3">
      <c r="A974" s="28"/>
      <c r="B974" s="29"/>
      <c r="C974" s="30"/>
      <c r="D974" s="31"/>
      <c r="E974" s="33">
        <f>IF(OR($D974="",$K974=""),"",IF(COUNTIFS(Payments!$G$5:$G$2500,$K974,Payments!$C$5:$C$2500,"&lt;&gt;")=0,"",_xlfn.MAXIFS(Payments!$C$5:$C$2500,Payments!$G$5:$G$2500,$K974)))</f>
      </c>
      <c r="F974" s="34">
        <f>IF(OR($D974="",$K974=""),"",SUMIF(Payments!$G$5:$G$2500,$K974,Payments!$D$5:$D$2500))</f>
      </c>
      <c r="G974" s="36">
        <f>IF($D974="","",ROUND($D974-IF($F974="",0,$F974),2))</f>
      </c>
      <c r="H974" s="35">
        <f>IF(OR($D974="",$K974=""),"",COUNTIF(Payments!$G$5:$G$2500,$K974))</f>
      </c>
      <c r="I974" s="37">
        <f>IF($D974="","",IF(OR($F974="",$F974=0),"Pending",IF(ROUND($F974-$D974,2)&gt;0,"Overpaid",IF(ROUND($F974-$D974,2)=0,"Paid","Partial"))))</f>
      </c>
      <c r="J974" s="29"/>
      <c r="K974">
        <f>IF($A974="","","#"&amp;TRIM(SUBSTITUTE(SUBSTITUTE(SUBSTITUTE(SUBSTITUTE(SUBSTITUTE(SUBSTITUTE($A974,"-",""),"(",""),")",""),".",""),"+","")," ","")))</f>
      </c>
    </row>
    <row r="975" spans="1:11" x14ac:dyDescent="0.3">
      <c r="A975" s="28"/>
      <c r="B975" s="29"/>
      <c r="C975" s="30"/>
      <c r="D975" s="31"/>
      <c r="E975" s="33">
        <f>IF(OR($D975="",$K975=""),"",IF(COUNTIFS(Payments!$G$5:$G$2500,$K975,Payments!$C$5:$C$2500,"&lt;&gt;")=0,"",_xlfn.MAXIFS(Payments!$C$5:$C$2500,Payments!$G$5:$G$2500,$K975)))</f>
      </c>
      <c r="F975" s="34">
        <f>IF(OR($D975="",$K975=""),"",SUMIF(Payments!$G$5:$G$2500,$K975,Payments!$D$5:$D$2500))</f>
      </c>
      <c r="G975" s="36">
        <f>IF($D975="","",ROUND($D975-IF($F975="",0,$F975),2))</f>
      </c>
      <c r="H975" s="35">
        <f>IF(OR($D975="",$K975=""),"",COUNTIF(Payments!$G$5:$G$2500,$K975))</f>
      </c>
      <c r="I975" s="37">
        <f>IF($D975="","",IF(OR($F975="",$F975=0),"Pending",IF(ROUND($F975-$D975,2)&gt;0,"Overpaid",IF(ROUND($F975-$D975,2)=0,"Paid","Partial"))))</f>
      </c>
      <c r="J975" s="29"/>
      <c r="K975">
        <f>IF($A975="","","#"&amp;TRIM(SUBSTITUTE(SUBSTITUTE(SUBSTITUTE(SUBSTITUTE(SUBSTITUTE(SUBSTITUTE($A975,"-",""),"(",""),")",""),".",""),"+","")," ","")))</f>
      </c>
    </row>
    <row r="976" spans="1:11" x14ac:dyDescent="0.3">
      <c r="A976" s="28"/>
      <c r="B976" s="29"/>
      <c r="C976" s="30"/>
      <c r="D976" s="31"/>
      <c r="E976" s="33">
        <f>IF(OR($D976="",$K976=""),"",IF(COUNTIFS(Payments!$G$5:$G$2500,$K976,Payments!$C$5:$C$2500,"&lt;&gt;")=0,"",_xlfn.MAXIFS(Payments!$C$5:$C$2500,Payments!$G$5:$G$2500,$K976)))</f>
      </c>
      <c r="F976" s="34">
        <f>IF(OR($D976="",$K976=""),"",SUMIF(Payments!$G$5:$G$2500,$K976,Payments!$D$5:$D$2500))</f>
      </c>
      <c r="G976" s="36">
        <f>IF($D976="","",ROUND($D976-IF($F976="",0,$F976),2))</f>
      </c>
      <c r="H976" s="35">
        <f>IF(OR($D976="",$K976=""),"",COUNTIF(Payments!$G$5:$G$2500,$K976))</f>
      </c>
      <c r="I976" s="37">
        <f>IF($D976="","",IF(OR($F976="",$F976=0),"Pending",IF(ROUND($F976-$D976,2)&gt;0,"Overpaid",IF(ROUND($F976-$D976,2)=0,"Paid","Partial"))))</f>
      </c>
      <c r="J976" s="29"/>
      <c r="K976">
        <f>IF($A976="","","#"&amp;TRIM(SUBSTITUTE(SUBSTITUTE(SUBSTITUTE(SUBSTITUTE(SUBSTITUTE(SUBSTITUTE($A976,"-",""),"(",""),")",""),".",""),"+","")," ","")))</f>
      </c>
    </row>
    <row r="977" spans="1:11" x14ac:dyDescent="0.3">
      <c r="A977" s="28"/>
      <c r="B977" s="29"/>
      <c r="C977" s="30"/>
      <c r="D977" s="31"/>
      <c r="E977" s="33">
        <f>IF(OR($D977="",$K977=""),"",IF(COUNTIFS(Payments!$G$5:$G$2500,$K977,Payments!$C$5:$C$2500,"&lt;&gt;")=0,"",_xlfn.MAXIFS(Payments!$C$5:$C$2500,Payments!$G$5:$G$2500,$K977)))</f>
      </c>
      <c r="F977" s="34">
        <f>IF(OR($D977="",$K977=""),"",SUMIF(Payments!$G$5:$G$2500,$K977,Payments!$D$5:$D$2500))</f>
      </c>
      <c r="G977" s="36">
        <f>IF($D977="","",ROUND($D977-IF($F977="",0,$F977),2))</f>
      </c>
      <c r="H977" s="35">
        <f>IF(OR($D977="",$K977=""),"",COUNTIF(Payments!$G$5:$G$2500,$K977))</f>
      </c>
      <c r="I977" s="37">
        <f>IF($D977="","",IF(OR($F977="",$F977=0),"Pending",IF(ROUND($F977-$D977,2)&gt;0,"Overpaid",IF(ROUND($F977-$D977,2)=0,"Paid","Partial"))))</f>
      </c>
      <c r="J977" s="29"/>
      <c r="K977">
        <f>IF($A977="","","#"&amp;TRIM(SUBSTITUTE(SUBSTITUTE(SUBSTITUTE(SUBSTITUTE(SUBSTITUTE(SUBSTITUTE($A977,"-",""),"(",""),")",""),".",""),"+","")," ","")))</f>
      </c>
    </row>
    <row r="978" spans="1:11" x14ac:dyDescent="0.3">
      <c r="A978" s="28"/>
      <c r="B978" s="29"/>
      <c r="C978" s="30"/>
      <c r="D978" s="31"/>
      <c r="E978" s="33">
        <f>IF(OR($D978="",$K978=""),"",IF(COUNTIFS(Payments!$G$5:$G$2500,$K978,Payments!$C$5:$C$2500,"&lt;&gt;")=0,"",_xlfn.MAXIFS(Payments!$C$5:$C$2500,Payments!$G$5:$G$2500,$K978)))</f>
      </c>
      <c r="F978" s="34">
        <f>IF(OR($D978="",$K978=""),"",SUMIF(Payments!$G$5:$G$2500,$K978,Payments!$D$5:$D$2500))</f>
      </c>
      <c r="G978" s="36">
        <f>IF($D978="","",ROUND($D978-IF($F978="",0,$F978),2))</f>
      </c>
      <c r="H978" s="35">
        <f>IF(OR($D978="",$K978=""),"",COUNTIF(Payments!$G$5:$G$2500,$K978))</f>
      </c>
      <c r="I978" s="37">
        <f>IF($D978="","",IF(OR($F978="",$F978=0),"Pending",IF(ROUND($F978-$D978,2)&gt;0,"Overpaid",IF(ROUND($F978-$D978,2)=0,"Paid","Partial"))))</f>
      </c>
      <c r="J978" s="29"/>
      <c r="K978">
        <f>IF($A978="","","#"&amp;TRIM(SUBSTITUTE(SUBSTITUTE(SUBSTITUTE(SUBSTITUTE(SUBSTITUTE(SUBSTITUTE($A978,"-",""),"(",""),")",""),".",""),"+","")," ","")))</f>
      </c>
    </row>
    <row r="979" spans="1:11" x14ac:dyDescent="0.3">
      <c r="A979" s="28"/>
      <c r="B979" s="29"/>
      <c r="C979" s="30"/>
      <c r="D979" s="31"/>
      <c r="E979" s="33">
        <f>IF(OR($D979="",$K979=""),"",IF(COUNTIFS(Payments!$G$5:$G$2500,$K979,Payments!$C$5:$C$2500,"&lt;&gt;")=0,"",_xlfn.MAXIFS(Payments!$C$5:$C$2500,Payments!$G$5:$G$2500,$K979)))</f>
      </c>
      <c r="F979" s="34">
        <f>IF(OR($D979="",$K979=""),"",SUMIF(Payments!$G$5:$G$2500,$K979,Payments!$D$5:$D$2500))</f>
      </c>
      <c r="G979" s="36">
        <f>IF($D979="","",ROUND($D979-IF($F979="",0,$F979),2))</f>
      </c>
      <c r="H979" s="35">
        <f>IF(OR($D979="",$K979=""),"",COUNTIF(Payments!$G$5:$G$2500,$K979))</f>
      </c>
      <c r="I979" s="37">
        <f>IF($D979="","",IF(OR($F979="",$F979=0),"Pending",IF(ROUND($F979-$D979,2)&gt;0,"Overpaid",IF(ROUND($F979-$D979,2)=0,"Paid","Partial"))))</f>
      </c>
      <c r="J979" s="29"/>
      <c r="K979">
        <f>IF($A979="","","#"&amp;TRIM(SUBSTITUTE(SUBSTITUTE(SUBSTITUTE(SUBSTITUTE(SUBSTITUTE(SUBSTITUTE($A979,"-",""),"(",""),")",""),".",""),"+","")," ","")))</f>
      </c>
    </row>
    <row r="980" spans="1:11" x14ac:dyDescent="0.3">
      <c r="A980" s="28"/>
      <c r="B980" s="29"/>
      <c r="C980" s="30"/>
      <c r="D980" s="31"/>
      <c r="E980" s="33">
        <f>IF(OR($D980="",$K980=""),"",IF(COUNTIFS(Payments!$G$5:$G$2500,$K980,Payments!$C$5:$C$2500,"&lt;&gt;")=0,"",_xlfn.MAXIFS(Payments!$C$5:$C$2500,Payments!$G$5:$G$2500,$K980)))</f>
      </c>
      <c r="F980" s="34">
        <f>IF(OR($D980="",$K980=""),"",SUMIF(Payments!$G$5:$G$2500,$K980,Payments!$D$5:$D$2500))</f>
      </c>
      <c r="G980" s="36">
        <f>IF($D980="","",ROUND($D980-IF($F980="",0,$F980),2))</f>
      </c>
      <c r="H980" s="35">
        <f>IF(OR($D980="",$K980=""),"",COUNTIF(Payments!$G$5:$G$2500,$K980))</f>
      </c>
      <c r="I980" s="37">
        <f>IF($D980="","",IF(OR($F980="",$F980=0),"Pending",IF(ROUND($F980-$D980,2)&gt;0,"Overpaid",IF(ROUND($F980-$D980,2)=0,"Paid","Partial"))))</f>
      </c>
      <c r="J980" s="29"/>
      <c r="K980">
        <f>IF($A980="","","#"&amp;TRIM(SUBSTITUTE(SUBSTITUTE(SUBSTITUTE(SUBSTITUTE(SUBSTITUTE(SUBSTITUTE($A980,"-",""),"(",""),")",""),".",""),"+","")," ","")))</f>
      </c>
    </row>
    <row r="981" spans="1:11" x14ac:dyDescent="0.3">
      <c r="A981" s="28"/>
      <c r="B981" s="29"/>
      <c r="C981" s="30"/>
      <c r="D981" s="31"/>
      <c r="E981" s="33">
        <f>IF(OR($D981="",$K981=""),"",IF(COUNTIFS(Payments!$G$5:$G$2500,$K981,Payments!$C$5:$C$2500,"&lt;&gt;")=0,"",_xlfn.MAXIFS(Payments!$C$5:$C$2500,Payments!$G$5:$G$2500,$K981)))</f>
      </c>
      <c r="F981" s="34">
        <f>IF(OR($D981="",$K981=""),"",SUMIF(Payments!$G$5:$G$2500,$K981,Payments!$D$5:$D$2500))</f>
      </c>
      <c r="G981" s="36">
        <f>IF($D981="","",ROUND($D981-IF($F981="",0,$F981),2))</f>
      </c>
      <c r="H981" s="35">
        <f>IF(OR($D981="",$K981=""),"",COUNTIF(Payments!$G$5:$G$2500,$K981))</f>
      </c>
      <c r="I981" s="37">
        <f>IF($D981="","",IF(OR($F981="",$F981=0),"Pending",IF(ROUND($F981-$D981,2)&gt;0,"Overpaid",IF(ROUND($F981-$D981,2)=0,"Paid","Partial"))))</f>
      </c>
      <c r="J981" s="29"/>
      <c r="K981">
        <f>IF($A981="","","#"&amp;TRIM(SUBSTITUTE(SUBSTITUTE(SUBSTITUTE(SUBSTITUTE(SUBSTITUTE(SUBSTITUTE($A981,"-",""),"(",""),")",""),".",""),"+","")," ","")))</f>
      </c>
    </row>
    <row r="982" spans="1:11" x14ac:dyDescent="0.3">
      <c r="A982" s="28"/>
      <c r="B982" s="29"/>
      <c r="C982" s="30"/>
      <c r="D982" s="31"/>
      <c r="E982" s="33">
        <f>IF(OR($D982="",$K982=""),"",IF(COUNTIFS(Payments!$G$5:$G$2500,$K982,Payments!$C$5:$C$2500,"&lt;&gt;")=0,"",_xlfn.MAXIFS(Payments!$C$5:$C$2500,Payments!$G$5:$G$2500,$K982)))</f>
      </c>
      <c r="F982" s="34">
        <f>IF(OR($D982="",$K982=""),"",SUMIF(Payments!$G$5:$G$2500,$K982,Payments!$D$5:$D$2500))</f>
      </c>
      <c r="G982" s="36">
        <f>IF($D982="","",ROUND($D982-IF($F982="",0,$F982),2))</f>
      </c>
      <c r="H982" s="35">
        <f>IF(OR($D982="",$K982=""),"",COUNTIF(Payments!$G$5:$G$2500,$K982))</f>
      </c>
      <c r="I982" s="37">
        <f>IF($D982="","",IF(OR($F982="",$F982=0),"Pending",IF(ROUND($F982-$D982,2)&gt;0,"Overpaid",IF(ROUND($F982-$D982,2)=0,"Paid","Partial"))))</f>
      </c>
      <c r="J982" s="29"/>
      <c r="K982">
        <f>IF($A982="","","#"&amp;TRIM(SUBSTITUTE(SUBSTITUTE(SUBSTITUTE(SUBSTITUTE(SUBSTITUTE(SUBSTITUTE($A982,"-",""),"(",""),")",""),".",""),"+","")," ","")))</f>
      </c>
    </row>
    <row r="983" spans="1:11" x14ac:dyDescent="0.3">
      <c r="A983" s="28"/>
      <c r="B983" s="29"/>
      <c r="C983" s="30"/>
      <c r="D983" s="31"/>
      <c r="E983" s="33">
        <f>IF(OR($D983="",$K983=""),"",IF(COUNTIFS(Payments!$G$5:$G$2500,$K983,Payments!$C$5:$C$2500,"&lt;&gt;")=0,"",_xlfn.MAXIFS(Payments!$C$5:$C$2500,Payments!$G$5:$G$2500,$K983)))</f>
      </c>
      <c r="F983" s="34">
        <f>IF(OR($D983="",$K983=""),"",SUMIF(Payments!$G$5:$G$2500,$K983,Payments!$D$5:$D$2500))</f>
      </c>
      <c r="G983" s="36">
        <f>IF($D983="","",ROUND($D983-IF($F983="",0,$F983),2))</f>
      </c>
      <c r="H983" s="35">
        <f>IF(OR($D983="",$K983=""),"",COUNTIF(Payments!$G$5:$G$2500,$K983))</f>
      </c>
      <c r="I983" s="37">
        <f>IF($D983="","",IF(OR($F983="",$F983=0),"Pending",IF(ROUND($F983-$D983,2)&gt;0,"Overpaid",IF(ROUND($F983-$D983,2)=0,"Paid","Partial"))))</f>
      </c>
      <c r="J983" s="29"/>
      <c r="K983">
        <f>IF($A983="","","#"&amp;TRIM(SUBSTITUTE(SUBSTITUTE(SUBSTITUTE(SUBSTITUTE(SUBSTITUTE(SUBSTITUTE($A983,"-",""),"(",""),")",""),".",""),"+","")," ","")))</f>
      </c>
    </row>
    <row r="984" spans="1:11" x14ac:dyDescent="0.3">
      <c r="A984" s="28"/>
      <c r="B984" s="29"/>
      <c r="C984" s="30"/>
      <c r="D984" s="31"/>
      <c r="E984" s="33">
        <f>IF(OR($D984="",$K984=""),"",IF(COUNTIFS(Payments!$G$5:$G$2500,$K984,Payments!$C$5:$C$2500,"&lt;&gt;")=0,"",_xlfn.MAXIFS(Payments!$C$5:$C$2500,Payments!$G$5:$G$2500,$K984)))</f>
      </c>
      <c r="F984" s="34">
        <f>IF(OR($D984="",$K984=""),"",SUMIF(Payments!$G$5:$G$2500,$K984,Payments!$D$5:$D$2500))</f>
      </c>
      <c r="G984" s="36">
        <f>IF($D984="","",ROUND($D984-IF($F984="",0,$F984),2))</f>
      </c>
      <c r="H984" s="35">
        <f>IF(OR($D984="",$K984=""),"",COUNTIF(Payments!$G$5:$G$2500,$K984))</f>
      </c>
      <c r="I984" s="37">
        <f>IF($D984="","",IF(OR($F984="",$F984=0),"Pending",IF(ROUND($F984-$D984,2)&gt;0,"Overpaid",IF(ROUND($F984-$D984,2)=0,"Paid","Partial"))))</f>
      </c>
      <c r="J984" s="29"/>
      <c r="K984">
        <f>IF($A984="","","#"&amp;TRIM(SUBSTITUTE(SUBSTITUTE(SUBSTITUTE(SUBSTITUTE(SUBSTITUTE(SUBSTITUTE($A984,"-",""),"(",""),")",""),".",""),"+","")," ","")))</f>
      </c>
    </row>
    <row r="985" spans="1:11" x14ac:dyDescent="0.3">
      <c r="A985" s="28"/>
      <c r="B985" s="29"/>
      <c r="C985" s="30"/>
      <c r="D985" s="31"/>
      <c r="E985" s="33">
        <f>IF(OR($D985="",$K985=""),"",IF(COUNTIFS(Payments!$G$5:$G$2500,$K985,Payments!$C$5:$C$2500,"&lt;&gt;")=0,"",_xlfn.MAXIFS(Payments!$C$5:$C$2500,Payments!$G$5:$G$2500,$K985)))</f>
      </c>
      <c r="F985" s="34">
        <f>IF(OR($D985="",$K985=""),"",SUMIF(Payments!$G$5:$G$2500,$K985,Payments!$D$5:$D$2500))</f>
      </c>
      <c r="G985" s="36">
        <f>IF($D985="","",ROUND($D985-IF($F985="",0,$F985),2))</f>
      </c>
      <c r="H985" s="35">
        <f>IF(OR($D985="",$K985=""),"",COUNTIF(Payments!$G$5:$G$2500,$K985))</f>
      </c>
      <c r="I985" s="37">
        <f>IF($D985="","",IF(OR($F985="",$F985=0),"Pending",IF(ROUND($F985-$D985,2)&gt;0,"Overpaid",IF(ROUND($F985-$D985,2)=0,"Paid","Partial"))))</f>
      </c>
      <c r="J985" s="29"/>
      <c r="K985">
        <f>IF($A985="","","#"&amp;TRIM(SUBSTITUTE(SUBSTITUTE(SUBSTITUTE(SUBSTITUTE(SUBSTITUTE(SUBSTITUTE($A985,"-",""),"(",""),")",""),".",""),"+","")," ","")))</f>
      </c>
    </row>
    <row r="986" spans="1:11" x14ac:dyDescent="0.3">
      <c r="A986" s="28"/>
      <c r="B986" s="29"/>
      <c r="C986" s="30"/>
      <c r="D986" s="31"/>
      <c r="E986" s="33">
        <f>IF(OR($D986="",$K986=""),"",IF(COUNTIFS(Payments!$G$5:$G$2500,$K986,Payments!$C$5:$C$2500,"&lt;&gt;")=0,"",_xlfn.MAXIFS(Payments!$C$5:$C$2500,Payments!$G$5:$G$2500,$K986)))</f>
      </c>
      <c r="F986" s="34">
        <f>IF(OR($D986="",$K986=""),"",SUMIF(Payments!$G$5:$G$2500,$K986,Payments!$D$5:$D$2500))</f>
      </c>
      <c r="G986" s="36">
        <f>IF($D986="","",ROUND($D986-IF($F986="",0,$F986),2))</f>
      </c>
      <c r="H986" s="35">
        <f>IF(OR($D986="",$K986=""),"",COUNTIF(Payments!$G$5:$G$2500,$K986))</f>
      </c>
      <c r="I986" s="37">
        <f>IF($D986="","",IF(OR($F986="",$F986=0),"Pending",IF(ROUND($F986-$D986,2)&gt;0,"Overpaid",IF(ROUND($F986-$D986,2)=0,"Paid","Partial"))))</f>
      </c>
      <c r="J986" s="29"/>
      <c r="K986">
        <f>IF($A986="","","#"&amp;TRIM(SUBSTITUTE(SUBSTITUTE(SUBSTITUTE(SUBSTITUTE(SUBSTITUTE(SUBSTITUTE($A986,"-",""),"(",""),")",""),".",""),"+","")," ","")))</f>
      </c>
    </row>
    <row r="987" spans="1:11" x14ac:dyDescent="0.3">
      <c r="A987" s="28"/>
      <c r="B987" s="29"/>
      <c r="C987" s="30"/>
      <c r="D987" s="31"/>
      <c r="E987" s="33">
        <f>IF(OR($D987="",$K987=""),"",IF(COUNTIFS(Payments!$G$5:$G$2500,$K987,Payments!$C$5:$C$2500,"&lt;&gt;")=0,"",_xlfn.MAXIFS(Payments!$C$5:$C$2500,Payments!$G$5:$G$2500,$K987)))</f>
      </c>
      <c r="F987" s="34">
        <f>IF(OR($D987="",$K987=""),"",SUMIF(Payments!$G$5:$G$2500,$K987,Payments!$D$5:$D$2500))</f>
      </c>
      <c r="G987" s="36">
        <f>IF($D987="","",ROUND($D987-IF($F987="",0,$F987),2))</f>
      </c>
      <c r="H987" s="35">
        <f>IF(OR($D987="",$K987=""),"",COUNTIF(Payments!$G$5:$G$2500,$K987))</f>
      </c>
      <c r="I987" s="37">
        <f>IF($D987="","",IF(OR($F987="",$F987=0),"Pending",IF(ROUND($F987-$D987,2)&gt;0,"Overpaid",IF(ROUND($F987-$D987,2)=0,"Paid","Partial"))))</f>
      </c>
      <c r="J987" s="29"/>
      <c r="K987">
        <f>IF($A987="","","#"&amp;TRIM(SUBSTITUTE(SUBSTITUTE(SUBSTITUTE(SUBSTITUTE(SUBSTITUTE(SUBSTITUTE($A987,"-",""),"(",""),")",""),".",""),"+","")," ","")))</f>
      </c>
    </row>
    <row r="988" spans="1:11" x14ac:dyDescent="0.3">
      <c r="A988" s="28"/>
      <c r="B988" s="29"/>
      <c r="C988" s="30"/>
      <c r="D988" s="31"/>
      <c r="E988" s="33">
        <f>IF(OR($D988="",$K988=""),"",IF(COUNTIFS(Payments!$G$5:$G$2500,$K988,Payments!$C$5:$C$2500,"&lt;&gt;")=0,"",_xlfn.MAXIFS(Payments!$C$5:$C$2500,Payments!$G$5:$G$2500,$K988)))</f>
      </c>
      <c r="F988" s="34">
        <f>IF(OR($D988="",$K988=""),"",SUMIF(Payments!$G$5:$G$2500,$K988,Payments!$D$5:$D$2500))</f>
      </c>
      <c r="G988" s="36">
        <f>IF($D988="","",ROUND($D988-IF($F988="",0,$F988),2))</f>
      </c>
      <c r="H988" s="35">
        <f>IF(OR($D988="",$K988=""),"",COUNTIF(Payments!$G$5:$G$2500,$K988))</f>
      </c>
      <c r="I988" s="37">
        <f>IF($D988="","",IF(OR($F988="",$F988=0),"Pending",IF(ROUND($F988-$D988,2)&gt;0,"Overpaid",IF(ROUND($F988-$D988,2)=0,"Paid","Partial"))))</f>
      </c>
      <c r="J988" s="29"/>
      <c r="K988">
        <f>IF($A988="","","#"&amp;TRIM(SUBSTITUTE(SUBSTITUTE(SUBSTITUTE(SUBSTITUTE(SUBSTITUTE(SUBSTITUTE($A988,"-",""),"(",""),")",""),".",""),"+","")," ","")))</f>
      </c>
    </row>
    <row r="989" spans="1:11" x14ac:dyDescent="0.3">
      <c r="A989" s="28"/>
      <c r="B989" s="29"/>
      <c r="C989" s="30"/>
      <c r="D989" s="31"/>
      <c r="E989" s="33">
        <f>IF(OR($D989="",$K989=""),"",IF(COUNTIFS(Payments!$G$5:$G$2500,$K989,Payments!$C$5:$C$2500,"&lt;&gt;")=0,"",_xlfn.MAXIFS(Payments!$C$5:$C$2500,Payments!$G$5:$G$2500,$K989)))</f>
      </c>
      <c r="F989" s="34">
        <f>IF(OR($D989="",$K989=""),"",SUMIF(Payments!$G$5:$G$2500,$K989,Payments!$D$5:$D$2500))</f>
      </c>
      <c r="G989" s="36">
        <f>IF($D989="","",ROUND($D989-IF($F989="",0,$F989),2))</f>
      </c>
      <c r="H989" s="35">
        <f>IF(OR($D989="",$K989=""),"",COUNTIF(Payments!$G$5:$G$2500,$K989))</f>
      </c>
      <c r="I989" s="37">
        <f>IF($D989="","",IF(OR($F989="",$F989=0),"Pending",IF(ROUND($F989-$D989,2)&gt;0,"Overpaid",IF(ROUND($F989-$D989,2)=0,"Paid","Partial"))))</f>
      </c>
      <c r="J989" s="29"/>
      <c r="K989">
        <f>IF($A989="","","#"&amp;TRIM(SUBSTITUTE(SUBSTITUTE(SUBSTITUTE(SUBSTITUTE(SUBSTITUTE(SUBSTITUTE($A989,"-",""),"(",""),")",""),".",""),"+","")," ","")))</f>
      </c>
    </row>
    <row r="990" spans="1:11" x14ac:dyDescent="0.3">
      <c r="A990" s="28"/>
      <c r="B990" s="29"/>
      <c r="C990" s="30"/>
      <c r="D990" s="31"/>
      <c r="E990" s="33">
        <f>IF(OR($D990="",$K990=""),"",IF(COUNTIFS(Payments!$G$5:$G$2500,$K990,Payments!$C$5:$C$2500,"&lt;&gt;")=0,"",_xlfn.MAXIFS(Payments!$C$5:$C$2500,Payments!$G$5:$G$2500,$K990)))</f>
      </c>
      <c r="F990" s="34">
        <f>IF(OR($D990="",$K990=""),"",SUMIF(Payments!$G$5:$G$2500,$K990,Payments!$D$5:$D$2500))</f>
      </c>
      <c r="G990" s="36">
        <f>IF($D990="","",ROUND($D990-IF($F990="",0,$F990),2))</f>
      </c>
      <c r="H990" s="35">
        <f>IF(OR($D990="",$K990=""),"",COUNTIF(Payments!$G$5:$G$2500,$K990))</f>
      </c>
      <c r="I990" s="37">
        <f>IF($D990="","",IF(OR($F990="",$F990=0),"Pending",IF(ROUND($F990-$D990,2)&gt;0,"Overpaid",IF(ROUND($F990-$D990,2)=0,"Paid","Partial"))))</f>
      </c>
      <c r="J990" s="29"/>
      <c r="K990">
        <f>IF($A990="","","#"&amp;TRIM(SUBSTITUTE(SUBSTITUTE(SUBSTITUTE(SUBSTITUTE(SUBSTITUTE(SUBSTITUTE($A990,"-",""),"(",""),")",""),".",""),"+","")," ","")))</f>
      </c>
    </row>
    <row r="991" spans="1:11" x14ac:dyDescent="0.3">
      <c r="A991" s="28"/>
      <c r="B991" s="29"/>
      <c r="C991" s="30"/>
      <c r="D991" s="31"/>
      <c r="E991" s="33">
        <f>IF(OR($D991="",$K991=""),"",IF(COUNTIFS(Payments!$G$5:$G$2500,$K991,Payments!$C$5:$C$2500,"&lt;&gt;")=0,"",_xlfn.MAXIFS(Payments!$C$5:$C$2500,Payments!$G$5:$G$2500,$K991)))</f>
      </c>
      <c r="F991" s="34">
        <f>IF(OR($D991="",$K991=""),"",SUMIF(Payments!$G$5:$G$2500,$K991,Payments!$D$5:$D$2500))</f>
      </c>
      <c r="G991" s="36">
        <f>IF($D991="","",ROUND($D991-IF($F991="",0,$F991),2))</f>
      </c>
      <c r="H991" s="35">
        <f>IF(OR($D991="",$K991=""),"",COUNTIF(Payments!$G$5:$G$2500,$K991))</f>
      </c>
      <c r="I991" s="37">
        <f>IF($D991="","",IF(OR($F991="",$F991=0),"Pending",IF(ROUND($F991-$D991,2)&gt;0,"Overpaid",IF(ROUND($F991-$D991,2)=0,"Paid","Partial"))))</f>
      </c>
      <c r="J991" s="29"/>
      <c r="K991">
        <f>IF($A991="","","#"&amp;TRIM(SUBSTITUTE(SUBSTITUTE(SUBSTITUTE(SUBSTITUTE(SUBSTITUTE(SUBSTITUTE($A991,"-",""),"(",""),")",""),".",""),"+","")," ","")))</f>
      </c>
    </row>
    <row r="992" spans="1:11" x14ac:dyDescent="0.3">
      <c r="A992" s="28"/>
      <c r="B992" s="29"/>
      <c r="C992" s="30"/>
      <c r="D992" s="31"/>
      <c r="E992" s="33">
        <f>IF(OR($D992="",$K992=""),"",IF(COUNTIFS(Payments!$G$5:$G$2500,$K992,Payments!$C$5:$C$2500,"&lt;&gt;")=0,"",_xlfn.MAXIFS(Payments!$C$5:$C$2500,Payments!$G$5:$G$2500,$K992)))</f>
      </c>
      <c r="F992" s="34">
        <f>IF(OR($D992="",$K992=""),"",SUMIF(Payments!$G$5:$G$2500,$K992,Payments!$D$5:$D$2500))</f>
      </c>
      <c r="G992" s="36">
        <f>IF($D992="","",ROUND($D992-IF($F992="",0,$F992),2))</f>
      </c>
      <c r="H992" s="35">
        <f>IF(OR($D992="",$K992=""),"",COUNTIF(Payments!$G$5:$G$2500,$K992))</f>
      </c>
      <c r="I992" s="37">
        <f>IF($D992="","",IF(OR($F992="",$F992=0),"Pending",IF(ROUND($F992-$D992,2)&gt;0,"Overpaid",IF(ROUND($F992-$D992,2)=0,"Paid","Partial"))))</f>
      </c>
      <c r="J992" s="29"/>
      <c r="K992">
        <f>IF($A992="","","#"&amp;TRIM(SUBSTITUTE(SUBSTITUTE(SUBSTITUTE(SUBSTITUTE(SUBSTITUTE(SUBSTITUTE($A992,"-",""),"(",""),")",""),".",""),"+","")," ","")))</f>
      </c>
    </row>
    <row r="993" spans="1:11" x14ac:dyDescent="0.3">
      <c r="A993" s="28"/>
      <c r="B993" s="29"/>
      <c r="C993" s="30"/>
      <c r="D993" s="31"/>
      <c r="E993" s="33">
        <f>IF(OR($D993="",$K993=""),"",IF(COUNTIFS(Payments!$G$5:$G$2500,$K993,Payments!$C$5:$C$2500,"&lt;&gt;")=0,"",_xlfn.MAXIFS(Payments!$C$5:$C$2500,Payments!$G$5:$G$2500,$K993)))</f>
      </c>
      <c r="F993" s="34">
        <f>IF(OR($D993="",$K993=""),"",SUMIF(Payments!$G$5:$G$2500,$K993,Payments!$D$5:$D$2500))</f>
      </c>
      <c r="G993" s="36">
        <f>IF($D993="","",ROUND($D993-IF($F993="",0,$F993),2))</f>
      </c>
      <c r="H993" s="35">
        <f>IF(OR($D993="",$K993=""),"",COUNTIF(Payments!$G$5:$G$2500,$K993))</f>
      </c>
      <c r="I993" s="37">
        <f>IF($D993="","",IF(OR($F993="",$F993=0),"Pending",IF(ROUND($F993-$D993,2)&gt;0,"Overpaid",IF(ROUND($F993-$D993,2)=0,"Paid","Partial"))))</f>
      </c>
      <c r="J993" s="29"/>
      <c r="K993">
        <f>IF($A993="","","#"&amp;TRIM(SUBSTITUTE(SUBSTITUTE(SUBSTITUTE(SUBSTITUTE(SUBSTITUTE(SUBSTITUTE($A993,"-",""),"(",""),")",""),".",""),"+","")," ","")))</f>
      </c>
    </row>
    <row r="994" spans="1:11" x14ac:dyDescent="0.3">
      <c r="A994" s="28"/>
      <c r="B994" s="29"/>
      <c r="C994" s="30"/>
      <c r="D994" s="31"/>
      <c r="E994" s="33">
        <f>IF(OR($D994="",$K994=""),"",IF(COUNTIFS(Payments!$G$5:$G$2500,$K994,Payments!$C$5:$C$2500,"&lt;&gt;")=0,"",_xlfn.MAXIFS(Payments!$C$5:$C$2500,Payments!$G$5:$G$2500,$K994)))</f>
      </c>
      <c r="F994" s="34">
        <f>IF(OR($D994="",$K994=""),"",SUMIF(Payments!$G$5:$G$2500,$K994,Payments!$D$5:$D$2500))</f>
      </c>
      <c r="G994" s="36">
        <f>IF($D994="","",ROUND($D994-IF($F994="",0,$F994),2))</f>
      </c>
      <c r="H994" s="35">
        <f>IF(OR($D994="",$K994=""),"",COUNTIF(Payments!$G$5:$G$2500,$K994))</f>
      </c>
      <c r="I994" s="37">
        <f>IF($D994="","",IF(OR($F994="",$F994=0),"Pending",IF(ROUND($F994-$D994,2)&gt;0,"Overpaid",IF(ROUND($F994-$D994,2)=0,"Paid","Partial"))))</f>
      </c>
      <c r="J994" s="29"/>
      <c r="K994">
        <f>IF($A994="","","#"&amp;TRIM(SUBSTITUTE(SUBSTITUTE(SUBSTITUTE(SUBSTITUTE(SUBSTITUTE(SUBSTITUTE($A994,"-",""),"(",""),")",""),".",""),"+","")," ","")))</f>
      </c>
    </row>
    <row r="995" spans="1:11" x14ac:dyDescent="0.3">
      <c r="A995" s="28"/>
      <c r="B995" s="29"/>
      <c r="C995" s="30"/>
      <c r="D995" s="31"/>
      <c r="E995" s="33">
        <f>IF(OR($D995="",$K995=""),"",IF(COUNTIFS(Payments!$G$5:$G$2500,$K995,Payments!$C$5:$C$2500,"&lt;&gt;")=0,"",_xlfn.MAXIFS(Payments!$C$5:$C$2500,Payments!$G$5:$G$2500,$K995)))</f>
      </c>
      <c r="F995" s="34">
        <f>IF(OR($D995="",$K995=""),"",SUMIF(Payments!$G$5:$G$2500,$K995,Payments!$D$5:$D$2500))</f>
      </c>
      <c r="G995" s="36">
        <f>IF($D995="","",ROUND($D995-IF($F995="",0,$F995),2))</f>
      </c>
      <c r="H995" s="35">
        <f>IF(OR($D995="",$K995=""),"",COUNTIF(Payments!$G$5:$G$2500,$K995))</f>
      </c>
      <c r="I995" s="37">
        <f>IF($D995="","",IF(OR($F995="",$F995=0),"Pending",IF(ROUND($F995-$D995,2)&gt;0,"Overpaid",IF(ROUND($F995-$D995,2)=0,"Paid","Partial"))))</f>
      </c>
      <c r="J995" s="29"/>
      <c r="K995">
        <f>IF($A995="","","#"&amp;TRIM(SUBSTITUTE(SUBSTITUTE(SUBSTITUTE(SUBSTITUTE(SUBSTITUTE(SUBSTITUTE($A995,"-",""),"(",""),")",""),".",""),"+","")," ","")))</f>
      </c>
    </row>
    <row r="996" spans="1:11" x14ac:dyDescent="0.3">
      <c r="A996" s="28"/>
      <c r="B996" s="29"/>
      <c r="C996" s="30"/>
      <c r="D996" s="31"/>
      <c r="E996" s="33">
        <f>IF(OR($D996="",$K996=""),"",IF(COUNTIFS(Payments!$G$5:$G$2500,$K996,Payments!$C$5:$C$2500,"&lt;&gt;")=0,"",_xlfn.MAXIFS(Payments!$C$5:$C$2500,Payments!$G$5:$G$2500,$K996)))</f>
      </c>
      <c r="F996" s="34">
        <f>IF(OR($D996="",$K996=""),"",SUMIF(Payments!$G$5:$G$2500,$K996,Payments!$D$5:$D$2500))</f>
      </c>
      <c r="G996" s="36">
        <f>IF($D996="","",ROUND($D996-IF($F996="",0,$F996),2))</f>
      </c>
      <c r="H996" s="35">
        <f>IF(OR($D996="",$K996=""),"",COUNTIF(Payments!$G$5:$G$2500,$K996))</f>
      </c>
      <c r="I996" s="37">
        <f>IF($D996="","",IF(OR($F996="",$F996=0),"Pending",IF(ROUND($F996-$D996,2)&gt;0,"Overpaid",IF(ROUND($F996-$D996,2)=0,"Paid","Partial"))))</f>
      </c>
      <c r="J996" s="29"/>
      <c r="K996">
        <f>IF($A996="","","#"&amp;TRIM(SUBSTITUTE(SUBSTITUTE(SUBSTITUTE(SUBSTITUTE(SUBSTITUTE(SUBSTITUTE($A996,"-",""),"(",""),")",""),".",""),"+","")," ","")))</f>
      </c>
    </row>
    <row r="997" spans="1:11" x14ac:dyDescent="0.3">
      <c r="A997" s="28"/>
      <c r="B997" s="29"/>
      <c r="C997" s="30"/>
      <c r="D997" s="31"/>
      <c r="E997" s="33">
        <f>IF(OR($D997="",$K997=""),"",IF(COUNTIFS(Payments!$G$5:$G$2500,$K997,Payments!$C$5:$C$2500,"&lt;&gt;")=0,"",_xlfn.MAXIFS(Payments!$C$5:$C$2500,Payments!$G$5:$G$2500,$K997)))</f>
      </c>
      <c r="F997" s="34">
        <f>IF(OR($D997="",$K997=""),"",SUMIF(Payments!$G$5:$G$2500,$K997,Payments!$D$5:$D$2500))</f>
      </c>
      <c r="G997" s="36">
        <f>IF($D997="","",ROUND($D997-IF($F997="",0,$F997),2))</f>
      </c>
      <c r="H997" s="35">
        <f>IF(OR($D997="",$K997=""),"",COUNTIF(Payments!$G$5:$G$2500,$K997))</f>
      </c>
      <c r="I997" s="37">
        <f>IF($D997="","",IF(OR($F997="",$F997=0),"Pending",IF(ROUND($F997-$D997,2)&gt;0,"Overpaid",IF(ROUND($F997-$D997,2)=0,"Paid","Partial"))))</f>
      </c>
      <c r="J997" s="29"/>
      <c r="K997">
        <f>IF($A997="","","#"&amp;TRIM(SUBSTITUTE(SUBSTITUTE(SUBSTITUTE(SUBSTITUTE(SUBSTITUTE(SUBSTITUTE($A997,"-",""),"(",""),")",""),".",""),"+","")," ","")))</f>
      </c>
    </row>
    <row r="998" spans="1:11" x14ac:dyDescent="0.3">
      <c r="A998" s="28"/>
      <c r="B998" s="29"/>
      <c r="C998" s="30"/>
      <c r="D998" s="31"/>
      <c r="E998" s="33">
        <f>IF(OR($D998="",$K998=""),"",IF(COUNTIFS(Payments!$G$5:$G$2500,$K998,Payments!$C$5:$C$2500,"&lt;&gt;")=0,"",_xlfn.MAXIFS(Payments!$C$5:$C$2500,Payments!$G$5:$G$2500,$K998)))</f>
      </c>
      <c r="F998" s="34">
        <f>IF(OR($D998="",$K998=""),"",SUMIF(Payments!$G$5:$G$2500,$K998,Payments!$D$5:$D$2500))</f>
      </c>
      <c r="G998" s="36">
        <f>IF($D998="","",ROUND($D998-IF($F998="",0,$F998),2))</f>
      </c>
      <c r="H998" s="35">
        <f>IF(OR($D998="",$K998=""),"",COUNTIF(Payments!$G$5:$G$2500,$K998))</f>
      </c>
      <c r="I998" s="37">
        <f>IF($D998="","",IF(OR($F998="",$F998=0),"Pending",IF(ROUND($F998-$D998,2)&gt;0,"Overpaid",IF(ROUND($F998-$D998,2)=0,"Paid","Partial"))))</f>
      </c>
      <c r="J998" s="29"/>
      <c r="K998">
        <f>IF($A998="","","#"&amp;TRIM(SUBSTITUTE(SUBSTITUTE(SUBSTITUTE(SUBSTITUTE(SUBSTITUTE(SUBSTITUTE($A998,"-",""),"(",""),")",""),".",""),"+","")," ","")))</f>
      </c>
    </row>
    <row r="999" spans="1:11" x14ac:dyDescent="0.3">
      <c r="A999" s="28"/>
      <c r="B999" s="29"/>
      <c r="C999" s="30"/>
      <c r="D999" s="31"/>
      <c r="E999" s="33">
        <f>IF(OR($D999="",$K999=""),"",IF(COUNTIFS(Payments!$G$5:$G$2500,$K999,Payments!$C$5:$C$2500,"&lt;&gt;")=0,"",_xlfn.MAXIFS(Payments!$C$5:$C$2500,Payments!$G$5:$G$2500,$K999)))</f>
      </c>
      <c r="F999" s="34">
        <f>IF(OR($D999="",$K999=""),"",SUMIF(Payments!$G$5:$G$2500,$K999,Payments!$D$5:$D$2500))</f>
      </c>
      <c r="G999" s="36">
        <f>IF($D999="","",ROUND($D999-IF($F999="",0,$F999),2))</f>
      </c>
      <c r="H999" s="35">
        <f>IF(OR($D999="",$K999=""),"",COUNTIF(Payments!$G$5:$G$2500,$K999))</f>
      </c>
      <c r="I999" s="37">
        <f>IF($D999="","",IF(OR($F999="",$F999=0),"Pending",IF(ROUND($F999-$D999,2)&gt;0,"Overpaid",IF(ROUND($F999-$D999,2)=0,"Paid","Partial"))))</f>
      </c>
      <c r="J999" s="29"/>
      <c r="K999">
        <f>IF($A999="","","#"&amp;TRIM(SUBSTITUTE(SUBSTITUTE(SUBSTITUTE(SUBSTITUTE(SUBSTITUTE(SUBSTITUTE($A999,"-",""),"(",""),")",""),".",""),"+","")," ","")))</f>
      </c>
    </row>
    <row r="1000" spans="1:11" x14ac:dyDescent="0.3">
      <c r="A1000" s="28"/>
      <c r="B1000" s="29"/>
      <c r="C1000" s="30"/>
      <c r="D1000" s="31"/>
      <c r="E1000" s="33">
        <f>IF(OR($D1000="",$K1000=""),"",IF(COUNTIFS(Payments!$G$5:$G$2500,$K1000,Payments!$C$5:$C$2500,"&lt;&gt;")=0,"",_xlfn.MAXIFS(Payments!$C$5:$C$2500,Payments!$G$5:$G$2500,$K1000)))</f>
      </c>
      <c r="F1000" s="34">
        <f>IF(OR($D1000="",$K1000=""),"",SUMIF(Payments!$G$5:$G$2500,$K1000,Payments!$D$5:$D$2500))</f>
      </c>
      <c r="G1000" s="36">
        <f>IF($D1000="","",ROUND($D1000-IF($F1000="",0,$F1000),2))</f>
      </c>
      <c r="H1000" s="35">
        <f>IF(OR($D1000="",$K1000=""),"",COUNTIF(Payments!$G$5:$G$2500,$K1000))</f>
      </c>
      <c r="I1000" s="37">
        <f>IF($D1000="","",IF(OR($F1000="",$F1000=0),"Pending",IF(ROUND($F1000-$D1000,2)&gt;0,"Overpaid",IF(ROUND($F1000-$D1000,2)=0,"Paid","Partial"))))</f>
      </c>
      <c r="J1000" s="29"/>
      <c r="K1000">
        <f>IF($A1000="","","#"&amp;TRIM(SUBSTITUTE(SUBSTITUTE(SUBSTITUTE(SUBSTITUTE(SUBSTITUTE(SUBSTITUTE($A1000,"-",""),"(",""),")",""),".",""),"+","")," ","")))</f>
      </c>
    </row>
    <row r="1001" spans="1:11" x14ac:dyDescent="0.3">
      <c r="A1001" s="28"/>
      <c r="B1001" s="29"/>
      <c r="C1001" s="30"/>
      <c r="D1001" s="31"/>
      <c r="E1001" s="33">
        <f>IF(OR($D1001="",$K1001=""),"",IF(COUNTIFS(Payments!$G$5:$G$2500,$K1001,Payments!$C$5:$C$2500,"&lt;&gt;")=0,"",_xlfn.MAXIFS(Payments!$C$5:$C$2500,Payments!$G$5:$G$2500,$K1001)))</f>
      </c>
      <c r="F1001" s="34">
        <f>IF(OR($D1001="",$K1001=""),"",SUMIF(Payments!$G$5:$G$2500,$K1001,Payments!$D$5:$D$2500))</f>
      </c>
      <c r="G1001" s="36">
        <f>IF($D1001="","",ROUND($D1001-IF($F1001="",0,$F1001),2))</f>
      </c>
      <c r="H1001" s="35">
        <f>IF(OR($D1001="",$K1001=""),"",COUNTIF(Payments!$G$5:$G$2500,$K1001))</f>
      </c>
      <c r="I1001" s="37">
        <f>IF($D1001="","",IF(OR($F1001="",$F1001=0),"Pending",IF(ROUND($F1001-$D1001,2)&gt;0,"Overpaid",IF(ROUND($F1001-$D1001,2)=0,"Paid","Partial"))))</f>
      </c>
      <c r="J1001" s="29"/>
      <c r="K1001">
        <f>IF($A1001="","","#"&amp;TRIM(SUBSTITUTE(SUBSTITUTE(SUBSTITUTE(SUBSTITUTE(SUBSTITUTE(SUBSTITUTE($A1001,"-",""),"(",""),")",""),".",""),"+","")," ","")))</f>
      </c>
    </row>
    <row r="1002" spans="1:11" x14ac:dyDescent="0.3">
      <c r="A1002" s="28"/>
      <c r="B1002" s="29"/>
      <c r="C1002" s="30"/>
      <c r="D1002" s="31"/>
      <c r="E1002" s="33">
        <f>IF(OR($D1002="",$K1002=""),"",IF(COUNTIFS(Payments!$G$5:$G$2500,$K1002,Payments!$C$5:$C$2500,"&lt;&gt;")=0,"",_xlfn.MAXIFS(Payments!$C$5:$C$2500,Payments!$G$5:$G$2500,$K1002)))</f>
      </c>
      <c r="F1002" s="34">
        <f>IF(OR($D1002="",$K1002=""),"",SUMIF(Payments!$G$5:$G$2500,$K1002,Payments!$D$5:$D$2500))</f>
      </c>
      <c r="G1002" s="36">
        <f>IF($D1002="","",ROUND($D1002-IF($F1002="",0,$F1002),2))</f>
      </c>
      <c r="H1002" s="35">
        <f>IF(OR($D1002="",$K1002=""),"",COUNTIF(Payments!$G$5:$G$2500,$K1002))</f>
      </c>
      <c r="I1002" s="37">
        <f>IF($D1002="","",IF(OR($F1002="",$F1002=0),"Pending",IF(ROUND($F1002-$D1002,2)&gt;0,"Overpaid",IF(ROUND($F1002-$D1002,2)=0,"Paid","Partial"))))</f>
      </c>
      <c r="J1002" s="29"/>
      <c r="K1002">
        <f>IF($A1002="","","#"&amp;TRIM(SUBSTITUTE(SUBSTITUTE(SUBSTITUTE(SUBSTITUTE(SUBSTITUTE(SUBSTITUTE($A1002,"-",""),"(",""),")",""),".",""),"+","")," ","")))</f>
      </c>
    </row>
    <row r="1003" spans="1:11" x14ac:dyDescent="0.3">
      <c r="A1003" s="28"/>
      <c r="B1003" s="29"/>
      <c r="C1003" s="30"/>
      <c r="D1003" s="31"/>
      <c r="E1003" s="33">
        <f>IF(OR($D1003="",$K1003=""),"",IF(COUNTIFS(Payments!$G$5:$G$2500,$K1003,Payments!$C$5:$C$2500,"&lt;&gt;")=0,"",_xlfn.MAXIFS(Payments!$C$5:$C$2500,Payments!$G$5:$G$2500,$K1003)))</f>
      </c>
      <c r="F1003" s="34">
        <f>IF(OR($D1003="",$K1003=""),"",SUMIF(Payments!$G$5:$G$2500,$K1003,Payments!$D$5:$D$2500))</f>
      </c>
      <c r="G1003" s="36">
        <f>IF($D1003="","",ROUND($D1003-IF($F1003="",0,$F1003),2))</f>
      </c>
      <c r="H1003" s="35">
        <f>IF(OR($D1003="",$K1003=""),"",COUNTIF(Payments!$G$5:$G$2500,$K1003))</f>
      </c>
      <c r="I1003" s="37">
        <f>IF($D1003="","",IF(OR($F1003="",$F1003=0),"Pending",IF(ROUND($F1003-$D1003,2)&gt;0,"Overpaid",IF(ROUND($F1003-$D1003,2)=0,"Paid","Partial"))))</f>
      </c>
      <c r="J1003" s="29"/>
      <c r="K1003">
        <f>IF($A1003="","","#"&amp;TRIM(SUBSTITUTE(SUBSTITUTE(SUBSTITUTE(SUBSTITUTE(SUBSTITUTE(SUBSTITUTE($A1003,"-",""),"(",""),")",""),".",""),"+","")," ","")))</f>
      </c>
    </row>
    <row r="1004" spans="1:11" x14ac:dyDescent="0.3">
      <c r="A1004" s="28"/>
      <c r="B1004" s="29"/>
      <c r="C1004" s="30"/>
      <c r="D1004" s="31"/>
      <c r="E1004" s="33">
        <f>IF(OR($D1004="",$K1004=""),"",IF(COUNTIFS(Payments!$G$5:$G$2500,$K1004,Payments!$C$5:$C$2500,"&lt;&gt;")=0,"",_xlfn.MAXIFS(Payments!$C$5:$C$2500,Payments!$G$5:$G$2500,$K1004)))</f>
      </c>
      <c r="F1004" s="34">
        <f>IF(OR($D1004="",$K1004=""),"",SUMIF(Payments!$G$5:$G$2500,$K1004,Payments!$D$5:$D$2500))</f>
      </c>
      <c r="G1004" s="36">
        <f>IF($D1004="","",ROUND($D1004-IF($F1004="",0,$F1004),2))</f>
      </c>
      <c r="H1004" s="35">
        <f>IF(OR($D1004="",$K1004=""),"",COUNTIF(Payments!$G$5:$G$2500,$K1004))</f>
      </c>
      <c r="I1004" s="37">
        <f>IF($D1004="","",IF(OR($F1004="",$F1004=0),"Pending",IF(ROUND($F1004-$D1004,2)&gt;0,"Overpaid",IF(ROUND($F1004-$D1004,2)=0,"Paid","Partial"))))</f>
      </c>
      <c r="J1004" s="29"/>
      <c r="K1004">
        <f>IF($A1004="","","#"&amp;TRIM(SUBSTITUTE(SUBSTITUTE(SUBSTITUTE(SUBSTITUTE(SUBSTITUTE(SUBSTITUTE($A1004,"-",""),"(",""),")",""),".",""),"+","")," ","")))</f>
      </c>
    </row>
    <row r="1005" spans="1:11" x14ac:dyDescent="0.3">
      <c r="A1005" s="28"/>
      <c r="B1005" s="29"/>
      <c r="C1005" s="30"/>
      <c r="D1005" s="31"/>
      <c r="E1005" s="33">
        <f>IF(OR($D1005="",$K1005=""),"",IF(COUNTIFS(Payments!$G$5:$G$2500,$K1005,Payments!$C$5:$C$2500,"&lt;&gt;")=0,"",_xlfn.MAXIFS(Payments!$C$5:$C$2500,Payments!$G$5:$G$2500,$K1005)))</f>
      </c>
      <c r="F1005" s="34">
        <f>IF(OR($D1005="",$K1005=""),"",SUMIF(Payments!$G$5:$G$2500,$K1005,Payments!$D$5:$D$2500))</f>
      </c>
      <c r="G1005" s="36">
        <f>IF($D1005="","",ROUND($D1005-IF($F1005="",0,$F1005),2))</f>
      </c>
      <c r="H1005" s="35">
        <f>IF(OR($D1005="",$K1005=""),"",COUNTIF(Payments!$G$5:$G$2500,$K1005))</f>
      </c>
      <c r="I1005" s="37">
        <f>IF($D1005="","",IF(OR($F1005="",$F1005=0),"Pending",IF(ROUND($F1005-$D1005,2)&gt;0,"Overpaid",IF(ROUND($F1005-$D1005,2)=0,"Paid","Partial"))))</f>
      </c>
      <c r="J1005" s="29"/>
      <c r="K1005">
        <f>IF($A1005="","","#"&amp;TRIM(SUBSTITUTE(SUBSTITUTE(SUBSTITUTE(SUBSTITUTE(SUBSTITUTE(SUBSTITUTE($A1005,"-",""),"(",""),")",""),".",""),"+","")," ","")))</f>
      </c>
    </row>
    <row r="1006" spans="1:11" x14ac:dyDescent="0.3">
      <c r="A1006" s="28"/>
      <c r="B1006" s="29"/>
      <c r="C1006" s="30"/>
      <c r="D1006" s="31"/>
      <c r="E1006" s="33">
        <f>IF(OR($D1006="",$K1006=""),"",IF(COUNTIFS(Payments!$G$5:$G$2500,$K1006,Payments!$C$5:$C$2500,"&lt;&gt;")=0,"",_xlfn.MAXIFS(Payments!$C$5:$C$2500,Payments!$G$5:$G$2500,$K1006)))</f>
      </c>
      <c r="F1006" s="34">
        <f>IF(OR($D1006="",$K1006=""),"",SUMIF(Payments!$G$5:$G$2500,$K1006,Payments!$D$5:$D$2500))</f>
      </c>
      <c r="G1006" s="36">
        <f>IF($D1006="","",ROUND($D1006-IF($F1006="",0,$F1006),2))</f>
      </c>
      <c r="H1006" s="35">
        <f>IF(OR($D1006="",$K1006=""),"",COUNTIF(Payments!$G$5:$G$2500,$K1006))</f>
      </c>
      <c r="I1006" s="37">
        <f>IF($D1006="","",IF(OR($F1006="",$F1006=0),"Pending",IF(ROUND($F1006-$D1006,2)&gt;0,"Overpaid",IF(ROUND($F1006-$D1006,2)=0,"Paid","Partial"))))</f>
      </c>
      <c r="J1006" s="29"/>
      <c r="K1006">
        <f>IF($A1006="","","#"&amp;TRIM(SUBSTITUTE(SUBSTITUTE(SUBSTITUTE(SUBSTITUTE(SUBSTITUTE(SUBSTITUTE($A1006,"-",""),"(",""),")",""),".",""),"+","")," ","")))</f>
      </c>
    </row>
    <row r="1007" spans="1:11" x14ac:dyDescent="0.3">
      <c r="A1007" s="28"/>
      <c r="B1007" s="29"/>
      <c r="C1007" s="30"/>
      <c r="D1007" s="31"/>
      <c r="E1007" s="33">
        <f>IF(OR($D1007="",$K1007=""),"",IF(COUNTIFS(Payments!$G$5:$G$2500,$K1007,Payments!$C$5:$C$2500,"&lt;&gt;")=0,"",_xlfn.MAXIFS(Payments!$C$5:$C$2500,Payments!$G$5:$G$2500,$K1007)))</f>
      </c>
      <c r="F1007" s="34">
        <f>IF(OR($D1007="",$K1007=""),"",SUMIF(Payments!$G$5:$G$2500,$K1007,Payments!$D$5:$D$2500))</f>
      </c>
      <c r="G1007" s="36">
        <f>IF($D1007="","",ROUND($D1007-IF($F1007="",0,$F1007),2))</f>
      </c>
      <c r="H1007" s="35">
        <f>IF(OR($D1007="",$K1007=""),"",COUNTIF(Payments!$G$5:$G$2500,$K1007))</f>
      </c>
      <c r="I1007" s="37">
        <f>IF($D1007="","",IF(OR($F1007="",$F1007=0),"Pending",IF(ROUND($F1007-$D1007,2)&gt;0,"Overpaid",IF(ROUND($F1007-$D1007,2)=0,"Paid","Partial"))))</f>
      </c>
      <c r="J1007" s="29"/>
      <c r="K1007">
        <f>IF($A1007="","","#"&amp;TRIM(SUBSTITUTE(SUBSTITUTE(SUBSTITUTE(SUBSTITUTE(SUBSTITUTE(SUBSTITUTE($A1007,"-",""),"(",""),")",""),".",""),"+","")," ","")))</f>
      </c>
    </row>
    <row r="1008" spans="1:11" x14ac:dyDescent="0.3">
      <c r="A1008" s="28"/>
      <c r="B1008" s="29"/>
      <c r="C1008" s="30"/>
      <c r="D1008" s="31"/>
      <c r="E1008" s="33">
        <f>IF(OR($D1008="",$K1008=""),"",IF(COUNTIFS(Payments!$G$5:$G$2500,$K1008,Payments!$C$5:$C$2500,"&lt;&gt;")=0,"",_xlfn.MAXIFS(Payments!$C$5:$C$2500,Payments!$G$5:$G$2500,$K1008)))</f>
      </c>
      <c r="F1008" s="34">
        <f>IF(OR($D1008="",$K1008=""),"",SUMIF(Payments!$G$5:$G$2500,$K1008,Payments!$D$5:$D$2500))</f>
      </c>
      <c r="G1008" s="36">
        <f>IF($D1008="","",ROUND($D1008-IF($F1008="",0,$F1008),2))</f>
      </c>
      <c r="H1008" s="35">
        <f>IF(OR($D1008="",$K1008=""),"",COUNTIF(Payments!$G$5:$G$2500,$K1008))</f>
      </c>
      <c r="I1008" s="37">
        <f>IF($D1008="","",IF(OR($F1008="",$F1008=0),"Pending",IF(ROUND($F1008-$D1008,2)&gt;0,"Overpaid",IF(ROUND($F1008-$D1008,2)=0,"Paid","Partial"))))</f>
      </c>
      <c r="J1008" s="29"/>
      <c r="K1008">
        <f>IF($A1008="","","#"&amp;TRIM(SUBSTITUTE(SUBSTITUTE(SUBSTITUTE(SUBSTITUTE(SUBSTITUTE(SUBSTITUTE($A1008,"-",""),"(",""),")",""),".",""),"+","")," ","")))</f>
      </c>
    </row>
    <row r="1009" spans="1:11" x14ac:dyDescent="0.3">
      <c r="A1009" s="28"/>
      <c r="B1009" s="29"/>
      <c r="C1009" s="30"/>
      <c r="D1009" s="31"/>
      <c r="E1009" s="33">
        <f>IF(OR($D1009="",$K1009=""),"",IF(COUNTIFS(Payments!$G$5:$G$2500,$K1009,Payments!$C$5:$C$2500,"&lt;&gt;")=0,"",_xlfn.MAXIFS(Payments!$C$5:$C$2500,Payments!$G$5:$G$2500,$K1009)))</f>
      </c>
      <c r="F1009" s="34">
        <f>IF(OR($D1009="",$K1009=""),"",SUMIF(Payments!$G$5:$G$2500,$K1009,Payments!$D$5:$D$2500))</f>
      </c>
      <c r="G1009" s="36">
        <f>IF($D1009="","",ROUND($D1009-IF($F1009="",0,$F1009),2))</f>
      </c>
      <c r="H1009" s="35">
        <f>IF(OR($D1009="",$K1009=""),"",COUNTIF(Payments!$G$5:$G$2500,$K1009))</f>
      </c>
      <c r="I1009" s="37">
        <f>IF($D1009="","",IF(OR($F1009="",$F1009=0),"Pending",IF(ROUND($F1009-$D1009,2)&gt;0,"Overpaid",IF(ROUND($F1009-$D1009,2)=0,"Paid","Partial"))))</f>
      </c>
      <c r="J1009" s="29"/>
      <c r="K1009">
        <f>IF($A1009="","","#"&amp;TRIM(SUBSTITUTE(SUBSTITUTE(SUBSTITUTE(SUBSTITUTE(SUBSTITUTE(SUBSTITUTE($A1009,"-",""),"(",""),")",""),".",""),"+","")," ","")))</f>
      </c>
    </row>
    <row r="1010" spans="1:11" x14ac:dyDescent="0.3">
      <c r="A1010" s="28"/>
      <c r="B1010" s="29"/>
      <c r="C1010" s="30"/>
      <c r="D1010" s="31"/>
      <c r="E1010" s="33">
        <f>IF(OR($D1010="",$K1010=""),"",IF(COUNTIFS(Payments!$G$5:$G$2500,$K1010,Payments!$C$5:$C$2500,"&lt;&gt;")=0,"",_xlfn.MAXIFS(Payments!$C$5:$C$2500,Payments!$G$5:$G$2500,$K1010)))</f>
      </c>
      <c r="F1010" s="34">
        <f>IF(OR($D1010="",$K1010=""),"",SUMIF(Payments!$G$5:$G$2500,$K1010,Payments!$D$5:$D$2500))</f>
      </c>
      <c r="G1010" s="36">
        <f>IF($D1010="","",ROUND($D1010-IF($F1010="",0,$F1010),2))</f>
      </c>
      <c r="H1010" s="35">
        <f>IF(OR($D1010="",$K1010=""),"",COUNTIF(Payments!$G$5:$G$2500,$K1010))</f>
      </c>
      <c r="I1010" s="37">
        <f>IF($D1010="","",IF(OR($F1010="",$F1010=0),"Pending",IF(ROUND($F1010-$D1010,2)&gt;0,"Overpaid",IF(ROUND($F1010-$D1010,2)=0,"Paid","Partial"))))</f>
      </c>
      <c r="J1010" s="29"/>
      <c r="K1010">
        <f>IF($A1010="","","#"&amp;TRIM(SUBSTITUTE(SUBSTITUTE(SUBSTITUTE(SUBSTITUTE(SUBSTITUTE(SUBSTITUTE($A1010,"-",""),"(",""),")",""),".",""),"+","")," ","")))</f>
      </c>
    </row>
    <row r="1011" spans="1:11" x14ac:dyDescent="0.3">
      <c r="A1011" s="28"/>
      <c r="B1011" s="29"/>
      <c r="C1011" s="30"/>
      <c r="D1011" s="31"/>
      <c r="E1011" s="33">
        <f>IF(OR($D1011="",$K1011=""),"",IF(COUNTIFS(Payments!$G$5:$G$2500,$K1011,Payments!$C$5:$C$2500,"&lt;&gt;")=0,"",_xlfn.MAXIFS(Payments!$C$5:$C$2500,Payments!$G$5:$G$2500,$K1011)))</f>
      </c>
      <c r="F1011" s="34">
        <f>IF(OR($D1011="",$K1011=""),"",SUMIF(Payments!$G$5:$G$2500,$K1011,Payments!$D$5:$D$2500))</f>
      </c>
      <c r="G1011" s="36">
        <f>IF($D1011="","",ROUND($D1011-IF($F1011="",0,$F1011),2))</f>
      </c>
      <c r="H1011" s="35">
        <f>IF(OR($D1011="",$K1011=""),"",COUNTIF(Payments!$G$5:$G$2500,$K1011))</f>
      </c>
      <c r="I1011" s="37">
        <f>IF($D1011="","",IF(OR($F1011="",$F1011=0),"Pending",IF(ROUND($F1011-$D1011,2)&gt;0,"Overpaid",IF(ROUND($F1011-$D1011,2)=0,"Paid","Partial"))))</f>
      </c>
      <c r="J1011" s="29"/>
      <c r="K1011">
        <f>IF($A1011="","","#"&amp;TRIM(SUBSTITUTE(SUBSTITUTE(SUBSTITUTE(SUBSTITUTE(SUBSTITUTE(SUBSTITUTE($A1011,"-",""),"(",""),")",""),".",""),"+","")," ","")))</f>
      </c>
    </row>
    <row r="1012" spans="1:11" x14ac:dyDescent="0.3">
      <c r="A1012" s="28"/>
      <c r="B1012" s="29"/>
      <c r="C1012" s="30"/>
      <c r="D1012" s="31"/>
      <c r="E1012" s="33">
        <f>IF(OR($D1012="",$K1012=""),"",IF(COUNTIFS(Payments!$G$5:$G$2500,$K1012,Payments!$C$5:$C$2500,"&lt;&gt;")=0,"",_xlfn.MAXIFS(Payments!$C$5:$C$2500,Payments!$G$5:$G$2500,$K1012)))</f>
      </c>
      <c r="F1012" s="34">
        <f>IF(OR($D1012="",$K1012=""),"",SUMIF(Payments!$G$5:$G$2500,$K1012,Payments!$D$5:$D$2500))</f>
      </c>
      <c r="G1012" s="36">
        <f>IF($D1012="","",ROUND($D1012-IF($F1012="",0,$F1012),2))</f>
      </c>
      <c r="H1012" s="35">
        <f>IF(OR($D1012="",$K1012=""),"",COUNTIF(Payments!$G$5:$G$2500,$K1012))</f>
      </c>
      <c r="I1012" s="37">
        <f>IF($D1012="","",IF(OR($F1012="",$F1012=0),"Pending",IF(ROUND($F1012-$D1012,2)&gt;0,"Overpaid",IF(ROUND($F1012-$D1012,2)=0,"Paid","Partial"))))</f>
      </c>
      <c r="J1012" s="29"/>
      <c r="K1012">
        <f>IF($A1012="","","#"&amp;TRIM(SUBSTITUTE(SUBSTITUTE(SUBSTITUTE(SUBSTITUTE(SUBSTITUTE(SUBSTITUTE($A1012,"-",""),"(",""),")",""),".",""),"+","")," ","")))</f>
      </c>
    </row>
    <row r="1013" spans="1:11" x14ac:dyDescent="0.3">
      <c r="A1013" s="28"/>
      <c r="B1013" s="29"/>
      <c r="C1013" s="30"/>
      <c r="D1013" s="31"/>
      <c r="E1013" s="33">
        <f>IF(OR($D1013="",$K1013=""),"",IF(COUNTIFS(Payments!$G$5:$G$2500,$K1013,Payments!$C$5:$C$2500,"&lt;&gt;")=0,"",_xlfn.MAXIFS(Payments!$C$5:$C$2500,Payments!$G$5:$G$2500,$K1013)))</f>
      </c>
      <c r="F1013" s="34">
        <f>IF(OR($D1013="",$K1013=""),"",SUMIF(Payments!$G$5:$G$2500,$K1013,Payments!$D$5:$D$2500))</f>
      </c>
      <c r="G1013" s="36">
        <f>IF($D1013="","",ROUND($D1013-IF($F1013="",0,$F1013),2))</f>
      </c>
      <c r="H1013" s="35">
        <f>IF(OR($D1013="",$K1013=""),"",COUNTIF(Payments!$G$5:$G$2500,$K1013))</f>
      </c>
      <c r="I1013" s="37">
        <f>IF($D1013="","",IF(OR($F1013="",$F1013=0),"Pending",IF(ROUND($F1013-$D1013,2)&gt;0,"Overpaid",IF(ROUND($F1013-$D1013,2)=0,"Paid","Partial"))))</f>
      </c>
      <c r="J1013" s="29"/>
      <c r="K1013">
        <f>IF($A1013="","","#"&amp;TRIM(SUBSTITUTE(SUBSTITUTE(SUBSTITUTE(SUBSTITUTE(SUBSTITUTE(SUBSTITUTE($A1013,"-",""),"(",""),")",""),".",""),"+","")," ","")))</f>
      </c>
    </row>
    <row r="1014" spans="1:11" x14ac:dyDescent="0.3">
      <c r="A1014" s="28"/>
      <c r="B1014" s="29"/>
      <c r="C1014" s="30"/>
      <c r="D1014" s="31"/>
      <c r="E1014" s="33">
        <f>IF(OR($D1014="",$K1014=""),"",IF(COUNTIFS(Payments!$G$5:$G$2500,$K1014,Payments!$C$5:$C$2500,"&lt;&gt;")=0,"",_xlfn.MAXIFS(Payments!$C$5:$C$2500,Payments!$G$5:$G$2500,$K1014)))</f>
      </c>
      <c r="F1014" s="34">
        <f>IF(OR($D1014="",$K1014=""),"",SUMIF(Payments!$G$5:$G$2500,$K1014,Payments!$D$5:$D$2500))</f>
      </c>
      <c r="G1014" s="36">
        <f>IF($D1014="","",ROUND($D1014-IF($F1014="",0,$F1014),2))</f>
      </c>
      <c r="H1014" s="35">
        <f>IF(OR($D1014="",$K1014=""),"",COUNTIF(Payments!$G$5:$G$2500,$K1014))</f>
      </c>
      <c r="I1014" s="37">
        <f>IF($D1014="","",IF(OR($F1014="",$F1014=0),"Pending",IF(ROUND($F1014-$D1014,2)&gt;0,"Overpaid",IF(ROUND($F1014-$D1014,2)=0,"Paid","Partial"))))</f>
      </c>
      <c r="J1014" s="29"/>
      <c r="K1014">
        <f>IF($A1014="","","#"&amp;TRIM(SUBSTITUTE(SUBSTITUTE(SUBSTITUTE(SUBSTITUTE(SUBSTITUTE(SUBSTITUTE($A1014,"-",""),"(",""),")",""),".",""),"+","")," ","")))</f>
      </c>
    </row>
    <row r="1015" spans="1:11" x14ac:dyDescent="0.3">
      <c r="A1015" s="28"/>
      <c r="B1015" s="29"/>
      <c r="C1015" s="30"/>
      <c r="D1015" s="31"/>
      <c r="E1015" s="33">
        <f>IF(OR($D1015="",$K1015=""),"",IF(COUNTIFS(Payments!$G$5:$G$2500,$K1015,Payments!$C$5:$C$2500,"&lt;&gt;")=0,"",_xlfn.MAXIFS(Payments!$C$5:$C$2500,Payments!$G$5:$G$2500,$K1015)))</f>
      </c>
      <c r="F1015" s="34">
        <f>IF(OR($D1015="",$K1015=""),"",SUMIF(Payments!$G$5:$G$2500,$K1015,Payments!$D$5:$D$2500))</f>
      </c>
      <c r="G1015" s="36">
        <f>IF($D1015="","",ROUND($D1015-IF($F1015="",0,$F1015),2))</f>
      </c>
      <c r="H1015" s="35">
        <f>IF(OR($D1015="",$K1015=""),"",COUNTIF(Payments!$G$5:$G$2500,$K1015))</f>
      </c>
      <c r="I1015" s="37">
        <f>IF($D1015="","",IF(OR($F1015="",$F1015=0),"Pending",IF(ROUND($F1015-$D1015,2)&gt;0,"Overpaid",IF(ROUND($F1015-$D1015,2)=0,"Paid","Partial"))))</f>
      </c>
      <c r="J1015" s="29"/>
      <c r="K1015">
        <f>IF($A1015="","","#"&amp;TRIM(SUBSTITUTE(SUBSTITUTE(SUBSTITUTE(SUBSTITUTE(SUBSTITUTE(SUBSTITUTE($A1015,"-",""),"(",""),")",""),".",""),"+","")," ","")))</f>
      </c>
    </row>
    <row r="1016" spans="1:11" x14ac:dyDescent="0.3">
      <c r="A1016" s="28"/>
      <c r="B1016" s="29"/>
      <c r="C1016" s="30"/>
      <c r="D1016" s="31"/>
      <c r="E1016" s="33">
        <f>IF(OR($D1016="",$K1016=""),"",IF(COUNTIFS(Payments!$G$5:$G$2500,$K1016,Payments!$C$5:$C$2500,"&lt;&gt;")=0,"",_xlfn.MAXIFS(Payments!$C$5:$C$2500,Payments!$G$5:$G$2500,$K1016)))</f>
      </c>
      <c r="F1016" s="34">
        <f>IF(OR($D1016="",$K1016=""),"",SUMIF(Payments!$G$5:$G$2500,$K1016,Payments!$D$5:$D$2500))</f>
      </c>
      <c r="G1016" s="36">
        <f>IF($D1016="","",ROUND($D1016-IF($F1016="",0,$F1016),2))</f>
      </c>
      <c r="H1016" s="35">
        <f>IF(OR($D1016="",$K1016=""),"",COUNTIF(Payments!$G$5:$G$2500,$K1016))</f>
      </c>
      <c r="I1016" s="37">
        <f>IF($D1016="","",IF(OR($F1016="",$F1016=0),"Pending",IF(ROUND($F1016-$D1016,2)&gt;0,"Overpaid",IF(ROUND($F1016-$D1016,2)=0,"Paid","Partial"))))</f>
      </c>
      <c r="J1016" s="29"/>
      <c r="K1016">
        <f>IF($A1016="","","#"&amp;TRIM(SUBSTITUTE(SUBSTITUTE(SUBSTITUTE(SUBSTITUTE(SUBSTITUTE(SUBSTITUTE($A1016,"-",""),"(",""),")",""),".",""),"+","")," ","")))</f>
      </c>
    </row>
    <row r="1017" spans="1:11" x14ac:dyDescent="0.3">
      <c r="A1017" s="28"/>
      <c r="B1017" s="29"/>
      <c r="C1017" s="30"/>
      <c r="D1017" s="31"/>
      <c r="E1017" s="33">
        <f>IF(OR($D1017="",$K1017=""),"",IF(COUNTIFS(Payments!$G$5:$G$2500,$K1017,Payments!$C$5:$C$2500,"&lt;&gt;")=0,"",_xlfn.MAXIFS(Payments!$C$5:$C$2500,Payments!$G$5:$G$2500,$K1017)))</f>
      </c>
      <c r="F1017" s="34">
        <f>IF(OR($D1017="",$K1017=""),"",SUMIF(Payments!$G$5:$G$2500,$K1017,Payments!$D$5:$D$2500))</f>
      </c>
      <c r="G1017" s="36">
        <f>IF($D1017="","",ROUND($D1017-IF($F1017="",0,$F1017),2))</f>
      </c>
      <c r="H1017" s="35">
        <f>IF(OR($D1017="",$K1017=""),"",COUNTIF(Payments!$G$5:$G$2500,$K1017))</f>
      </c>
      <c r="I1017" s="37">
        <f>IF($D1017="","",IF(OR($F1017="",$F1017=0),"Pending",IF(ROUND($F1017-$D1017,2)&gt;0,"Overpaid",IF(ROUND($F1017-$D1017,2)=0,"Paid","Partial"))))</f>
      </c>
      <c r="J1017" s="29"/>
      <c r="K1017">
        <f>IF($A1017="","","#"&amp;TRIM(SUBSTITUTE(SUBSTITUTE(SUBSTITUTE(SUBSTITUTE(SUBSTITUTE(SUBSTITUTE($A1017,"-",""),"(",""),")",""),".",""),"+","")," ","")))</f>
      </c>
    </row>
    <row r="1018" spans="1:11" x14ac:dyDescent="0.3">
      <c r="A1018" s="28"/>
      <c r="B1018" s="29"/>
      <c r="C1018" s="30"/>
      <c r="D1018" s="31"/>
      <c r="E1018" s="33">
        <f>IF(OR($D1018="",$K1018=""),"",IF(COUNTIFS(Payments!$G$5:$G$2500,$K1018,Payments!$C$5:$C$2500,"&lt;&gt;")=0,"",_xlfn.MAXIFS(Payments!$C$5:$C$2500,Payments!$G$5:$G$2500,$K1018)))</f>
      </c>
      <c r="F1018" s="34">
        <f>IF(OR($D1018="",$K1018=""),"",SUMIF(Payments!$G$5:$G$2500,$K1018,Payments!$D$5:$D$2500))</f>
      </c>
      <c r="G1018" s="36">
        <f>IF($D1018="","",ROUND($D1018-IF($F1018="",0,$F1018),2))</f>
      </c>
      <c r="H1018" s="35">
        <f>IF(OR($D1018="",$K1018=""),"",COUNTIF(Payments!$G$5:$G$2500,$K1018))</f>
      </c>
      <c r="I1018" s="37">
        <f>IF($D1018="","",IF(OR($F1018="",$F1018=0),"Pending",IF(ROUND($F1018-$D1018,2)&gt;0,"Overpaid",IF(ROUND($F1018-$D1018,2)=0,"Paid","Partial"))))</f>
      </c>
      <c r="J1018" s="29"/>
      <c r="K1018">
        <f>IF($A1018="","","#"&amp;TRIM(SUBSTITUTE(SUBSTITUTE(SUBSTITUTE(SUBSTITUTE(SUBSTITUTE(SUBSTITUTE($A1018,"-",""),"(",""),")",""),".",""),"+","")," ","")))</f>
      </c>
    </row>
    <row r="1019" spans="1:11" x14ac:dyDescent="0.3">
      <c r="A1019" s="28"/>
      <c r="B1019" s="29"/>
      <c r="C1019" s="30"/>
      <c r="D1019" s="31"/>
      <c r="E1019" s="33">
        <f>IF(OR($D1019="",$K1019=""),"",IF(COUNTIFS(Payments!$G$5:$G$2500,$K1019,Payments!$C$5:$C$2500,"&lt;&gt;")=0,"",_xlfn.MAXIFS(Payments!$C$5:$C$2500,Payments!$G$5:$G$2500,$K1019)))</f>
      </c>
      <c r="F1019" s="34">
        <f>IF(OR($D1019="",$K1019=""),"",SUMIF(Payments!$G$5:$G$2500,$K1019,Payments!$D$5:$D$2500))</f>
      </c>
      <c r="G1019" s="36">
        <f>IF($D1019="","",ROUND($D1019-IF($F1019="",0,$F1019),2))</f>
      </c>
      <c r="H1019" s="35">
        <f>IF(OR($D1019="",$K1019=""),"",COUNTIF(Payments!$G$5:$G$2500,$K1019))</f>
      </c>
      <c r="I1019" s="37">
        <f>IF($D1019="","",IF(OR($F1019="",$F1019=0),"Pending",IF(ROUND($F1019-$D1019,2)&gt;0,"Overpaid",IF(ROUND($F1019-$D1019,2)=0,"Paid","Partial"))))</f>
      </c>
      <c r="J1019" s="29"/>
      <c r="K1019">
        <f>IF($A1019="","","#"&amp;TRIM(SUBSTITUTE(SUBSTITUTE(SUBSTITUTE(SUBSTITUTE(SUBSTITUTE(SUBSTITUTE($A1019,"-",""),"(",""),")",""),".",""),"+","")," ","")))</f>
      </c>
    </row>
    <row r="1020" spans="1:11" x14ac:dyDescent="0.3">
      <c r="A1020" s="28"/>
      <c r="B1020" s="29"/>
      <c r="C1020" s="30"/>
      <c r="D1020" s="31"/>
      <c r="E1020" s="33">
        <f>IF(OR($D1020="",$K1020=""),"",IF(COUNTIFS(Payments!$G$5:$G$2500,$K1020,Payments!$C$5:$C$2500,"&lt;&gt;")=0,"",_xlfn.MAXIFS(Payments!$C$5:$C$2500,Payments!$G$5:$G$2500,$K1020)))</f>
      </c>
      <c r="F1020" s="34">
        <f>IF(OR($D1020="",$K1020=""),"",SUMIF(Payments!$G$5:$G$2500,$K1020,Payments!$D$5:$D$2500))</f>
      </c>
      <c r="G1020" s="36">
        <f>IF($D1020="","",ROUND($D1020-IF($F1020="",0,$F1020),2))</f>
      </c>
      <c r="H1020" s="35">
        <f>IF(OR($D1020="",$K1020=""),"",COUNTIF(Payments!$G$5:$G$2500,$K1020))</f>
      </c>
      <c r="I1020" s="37">
        <f>IF($D1020="","",IF(OR($F1020="",$F1020=0),"Pending",IF(ROUND($F1020-$D1020,2)&gt;0,"Overpaid",IF(ROUND($F1020-$D1020,2)=0,"Paid","Partial"))))</f>
      </c>
      <c r="J1020" s="29"/>
      <c r="K1020">
        <f>IF($A1020="","","#"&amp;TRIM(SUBSTITUTE(SUBSTITUTE(SUBSTITUTE(SUBSTITUTE(SUBSTITUTE(SUBSTITUTE($A1020,"-",""),"(",""),")",""),".",""),"+","")," ","")))</f>
      </c>
    </row>
    <row r="1021" spans="1:11" x14ac:dyDescent="0.3">
      <c r="A1021" s="28"/>
      <c r="B1021" s="29"/>
      <c r="C1021" s="30"/>
      <c r="D1021" s="31"/>
      <c r="E1021" s="33">
        <f>IF(OR($D1021="",$K1021=""),"",IF(COUNTIFS(Payments!$G$5:$G$2500,$K1021,Payments!$C$5:$C$2500,"&lt;&gt;")=0,"",_xlfn.MAXIFS(Payments!$C$5:$C$2500,Payments!$G$5:$G$2500,$K1021)))</f>
      </c>
      <c r="F1021" s="34">
        <f>IF(OR($D1021="",$K1021=""),"",SUMIF(Payments!$G$5:$G$2500,$K1021,Payments!$D$5:$D$2500))</f>
      </c>
      <c r="G1021" s="36">
        <f>IF($D1021="","",ROUND($D1021-IF($F1021="",0,$F1021),2))</f>
      </c>
      <c r="H1021" s="35">
        <f>IF(OR($D1021="",$K1021=""),"",COUNTIF(Payments!$G$5:$G$2500,$K1021))</f>
      </c>
      <c r="I1021" s="37">
        <f>IF($D1021="","",IF(OR($F1021="",$F1021=0),"Pending",IF(ROUND($F1021-$D1021,2)&gt;0,"Overpaid",IF(ROUND($F1021-$D1021,2)=0,"Paid","Partial"))))</f>
      </c>
      <c r="J1021" s="29"/>
      <c r="K1021">
        <f>IF($A1021="","","#"&amp;TRIM(SUBSTITUTE(SUBSTITUTE(SUBSTITUTE(SUBSTITUTE(SUBSTITUTE(SUBSTITUTE($A1021,"-",""),"(",""),")",""),".",""),"+","")," ","")))</f>
      </c>
    </row>
    <row r="1022" spans="1:11" x14ac:dyDescent="0.3">
      <c r="A1022" s="28"/>
      <c r="B1022" s="29"/>
      <c r="C1022" s="30"/>
      <c r="D1022" s="31"/>
      <c r="E1022" s="33">
        <f>IF(OR($D1022="",$K1022=""),"",IF(COUNTIFS(Payments!$G$5:$G$2500,$K1022,Payments!$C$5:$C$2500,"&lt;&gt;")=0,"",_xlfn.MAXIFS(Payments!$C$5:$C$2500,Payments!$G$5:$G$2500,$K1022)))</f>
      </c>
      <c r="F1022" s="34">
        <f>IF(OR($D1022="",$K1022=""),"",SUMIF(Payments!$G$5:$G$2500,$K1022,Payments!$D$5:$D$2500))</f>
      </c>
      <c r="G1022" s="36">
        <f>IF($D1022="","",ROUND($D1022-IF($F1022="",0,$F1022),2))</f>
      </c>
      <c r="H1022" s="35">
        <f>IF(OR($D1022="",$K1022=""),"",COUNTIF(Payments!$G$5:$G$2500,$K1022))</f>
      </c>
      <c r="I1022" s="37">
        <f>IF($D1022="","",IF(OR($F1022="",$F1022=0),"Pending",IF(ROUND($F1022-$D1022,2)&gt;0,"Overpaid",IF(ROUND($F1022-$D1022,2)=0,"Paid","Partial"))))</f>
      </c>
      <c r="J1022" s="29"/>
      <c r="K1022">
        <f>IF($A1022="","","#"&amp;TRIM(SUBSTITUTE(SUBSTITUTE(SUBSTITUTE(SUBSTITUTE(SUBSTITUTE(SUBSTITUTE($A1022,"-",""),"(",""),")",""),".",""),"+","")," ","")))</f>
      </c>
    </row>
    <row r="1023" spans="1:11" x14ac:dyDescent="0.3">
      <c r="A1023" s="28"/>
      <c r="B1023" s="29"/>
      <c r="C1023" s="30"/>
      <c r="D1023" s="31"/>
      <c r="E1023" s="33">
        <f>IF(OR($D1023="",$K1023=""),"",IF(COUNTIFS(Payments!$G$5:$G$2500,$K1023,Payments!$C$5:$C$2500,"&lt;&gt;")=0,"",_xlfn.MAXIFS(Payments!$C$5:$C$2500,Payments!$G$5:$G$2500,$K1023)))</f>
      </c>
      <c r="F1023" s="34">
        <f>IF(OR($D1023="",$K1023=""),"",SUMIF(Payments!$G$5:$G$2500,$K1023,Payments!$D$5:$D$2500))</f>
      </c>
      <c r="G1023" s="36">
        <f>IF($D1023="","",ROUND($D1023-IF($F1023="",0,$F1023),2))</f>
      </c>
      <c r="H1023" s="35">
        <f>IF(OR($D1023="",$K1023=""),"",COUNTIF(Payments!$G$5:$G$2500,$K1023))</f>
      </c>
      <c r="I1023" s="37">
        <f>IF($D1023="","",IF(OR($F1023="",$F1023=0),"Pending",IF(ROUND($F1023-$D1023,2)&gt;0,"Overpaid",IF(ROUND($F1023-$D1023,2)=0,"Paid","Partial"))))</f>
      </c>
      <c r="J1023" s="29"/>
      <c r="K1023">
        <f>IF($A1023="","","#"&amp;TRIM(SUBSTITUTE(SUBSTITUTE(SUBSTITUTE(SUBSTITUTE(SUBSTITUTE(SUBSTITUTE($A1023,"-",""),"(",""),")",""),".",""),"+","")," ","")))</f>
      </c>
    </row>
    <row r="1024" spans="1:11" x14ac:dyDescent="0.3">
      <c r="A1024" s="28"/>
      <c r="B1024" s="29"/>
      <c r="C1024" s="30"/>
      <c r="D1024" s="31"/>
      <c r="E1024" s="33">
        <f>IF(OR($D1024="",$K1024=""),"",IF(COUNTIFS(Payments!$G$5:$G$2500,$K1024,Payments!$C$5:$C$2500,"&lt;&gt;")=0,"",_xlfn.MAXIFS(Payments!$C$5:$C$2500,Payments!$G$5:$G$2500,$K1024)))</f>
      </c>
      <c r="F1024" s="34">
        <f>IF(OR($D1024="",$K1024=""),"",SUMIF(Payments!$G$5:$G$2500,$K1024,Payments!$D$5:$D$2500))</f>
      </c>
      <c r="G1024" s="36">
        <f>IF($D1024="","",ROUND($D1024-IF($F1024="",0,$F1024),2))</f>
      </c>
      <c r="H1024" s="35">
        <f>IF(OR($D1024="",$K1024=""),"",COUNTIF(Payments!$G$5:$G$2500,$K1024))</f>
      </c>
      <c r="I1024" s="37">
        <f>IF($D1024="","",IF(OR($F1024="",$F1024=0),"Pending",IF(ROUND($F1024-$D1024,2)&gt;0,"Overpaid",IF(ROUND($F1024-$D1024,2)=0,"Paid","Partial"))))</f>
      </c>
      <c r="J1024" s="29"/>
      <c r="K1024">
        <f>IF($A1024="","","#"&amp;TRIM(SUBSTITUTE(SUBSTITUTE(SUBSTITUTE(SUBSTITUTE(SUBSTITUTE(SUBSTITUTE($A1024,"-",""),"(",""),")",""),".",""),"+","")," ","")))</f>
      </c>
    </row>
    <row r="1025" spans="1:11" x14ac:dyDescent="0.3">
      <c r="A1025" s="28"/>
      <c r="B1025" s="29"/>
      <c r="C1025" s="30"/>
      <c r="D1025" s="31"/>
      <c r="E1025" s="33">
        <f>IF(OR($D1025="",$K1025=""),"",IF(COUNTIFS(Payments!$G$5:$G$2500,$K1025,Payments!$C$5:$C$2500,"&lt;&gt;")=0,"",_xlfn.MAXIFS(Payments!$C$5:$C$2500,Payments!$G$5:$G$2500,$K1025)))</f>
      </c>
      <c r="F1025" s="34">
        <f>IF(OR($D1025="",$K1025=""),"",SUMIF(Payments!$G$5:$G$2500,$K1025,Payments!$D$5:$D$2500))</f>
      </c>
      <c r="G1025" s="36">
        <f>IF($D1025="","",ROUND($D1025-IF($F1025="",0,$F1025),2))</f>
      </c>
      <c r="H1025" s="35">
        <f>IF(OR($D1025="",$K1025=""),"",COUNTIF(Payments!$G$5:$G$2500,$K1025))</f>
      </c>
      <c r="I1025" s="37">
        <f>IF($D1025="","",IF(OR($F1025="",$F1025=0),"Pending",IF(ROUND($F1025-$D1025,2)&gt;0,"Overpaid",IF(ROUND($F1025-$D1025,2)=0,"Paid","Partial"))))</f>
      </c>
      <c r="J1025" s="29"/>
      <c r="K1025">
        <f>IF($A1025="","","#"&amp;TRIM(SUBSTITUTE(SUBSTITUTE(SUBSTITUTE(SUBSTITUTE(SUBSTITUTE(SUBSTITUTE($A1025,"-",""),"(",""),")",""),".",""),"+","")," ","")))</f>
      </c>
    </row>
    <row r="1026" spans="1:11" x14ac:dyDescent="0.3">
      <c r="A1026" s="28"/>
      <c r="B1026" s="29"/>
      <c r="C1026" s="30"/>
      <c r="D1026" s="31"/>
      <c r="E1026" s="33">
        <f>IF(OR($D1026="",$K1026=""),"",IF(COUNTIFS(Payments!$G$5:$G$2500,$K1026,Payments!$C$5:$C$2500,"&lt;&gt;")=0,"",_xlfn.MAXIFS(Payments!$C$5:$C$2500,Payments!$G$5:$G$2500,$K1026)))</f>
      </c>
      <c r="F1026" s="34">
        <f>IF(OR($D1026="",$K1026=""),"",SUMIF(Payments!$G$5:$G$2500,$K1026,Payments!$D$5:$D$2500))</f>
      </c>
      <c r="G1026" s="36">
        <f>IF($D1026="","",ROUND($D1026-IF($F1026="",0,$F1026),2))</f>
      </c>
      <c r="H1026" s="35">
        <f>IF(OR($D1026="",$K1026=""),"",COUNTIF(Payments!$G$5:$G$2500,$K1026))</f>
      </c>
      <c r="I1026" s="37">
        <f>IF($D1026="","",IF(OR($F1026="",$F1026=0),"Pending",IF(ROUND($F1026-$D1026,2)&gt;0,"Overpaid",IF(ROUND($F1026-$D1026,2)=0,"Paid","Partial"))))</f>
      </c>
      <c r="J1026" s="29"/>
      <c r="K1026">
        <f>IF($A1026="","","#"&amp;TRIM(SUBSTITUTE(SUBSTITUTE(SUBSTITUTE(SUBSTITUTE(SUBSTITUTE(SUBSTITUTE($A1026,"-",""),"(",""),")",""),".",""),"+","")," ","")))</f>
      </c>
    </row>
    <row r="1027" spans="1:11" x14ac:dyDescent="0.3">
      <c r="A1027" s="28"/>
      <c r="B1027" s="29"/>
      <c r="C1027" s="30"/>
      <c r="D1027" s="31"/>
      <c r="E1027" s="33">
        <f>IF(OR($D1027="",$K1027=""),"",IF(COUNTIFS(Payments!$G$5:$G$2500,$K1027,Payments!$C$5:$C$2500,"&lt;&gt;")=0,"",_xlfn.MAXIFS(Payments!$C$5:$C$2500,Payments!$G$5:$G$2500,$K1027)))</f>
      </c>
      <c r="F1027" s="34">
        <f>IF(OR($D1027="",$K1027=""),"",SUMIF(Payments!$G$5:$G$2500,$K1027,Payments!$D$5:$D$2500))</f>
      </c>
      <c r="G1027" s="36">
        <f>IF($D1027="","",ROUND($D1027-IF($F1027="",0,$F1027),2))</f>
      </c>
      <c r="H1027" s="35">
        <f>IF(OR($D1027="",$K1027=""),"",COUNTIF(Payments!$G$5:$G$2500,$K1027))</f>
      </c>
      <c r="I1027" s="37">
        <f>IF($D1027="","",IF(OR($F1027="",$F1027=0),"Pending",IF(ROUND($F1027-$D1027,2)&gt;0,"Overpaid",IF(ROUND($F1027-$D1027,2)=0,"Paid","Partial"))))</f>
      </c>
      <c r="J1027" s="29"/>
      <c r="K1027">
        <f>IF($A1027="","","#"&amp;TRIM(SUBSTITUTE(SUBSTITUTE(SUBSTITUTE(SUBSTITUTE(SUBSTITUTE(SUBSTITUTE($A1027,"-",""),"(",""),")",""),".",""),"+","")," ","")))</f>
      </c>
    </row>
    <row r="1028" spans="1:11" x14ac:dyDescent="0.3">
      <c r="A1028" s="28"/>
      <c r="B1028" s="29"/>
      <c r="C1028" s="30"/>
      <c r="D1028" s="31"/>
      <c r="E1028" s="33">
        <f>IF(OR($D1028="",$K1028=""),"",IF(COUNTIFS(Payments!$G$5:$G$2500,$K1028,Payments!$C$5:$C$2500,"&lt;&gt;")=0,"",_xlfn.MAXIFS(Payments!$C$5:$C$2500,Payments!$G$5:$G$2500,$K1028)))</f>
      </c>
      <c r="F1028" s="34">
        <f>IF(OR($D1028="",$K1028=""),"",SUMIF(Payments!$G$5:$G$2500,$K1028,Payments!$D$5:$D$2500))</f>
      </c>
      <c r="G1028" s="36">
        <f>IF($D1028="","",ROUND($D1028-IF($F1028="",0,$F1028),2))</f>
      </c>
      <c r="H1028" s="35">
        <f>IF(OR($D1028="",$K1028=""),"",COUNTIF(Payments!$G$5:$G$2500,$K1028))</f>
      </c>
      <c r="I1028" s="37">
        <f>IF($D1028="","",IF(OR($F1028="",$F1028=0),"Pending",IF(ROUND($F1028-$D1028,2)&gt;0,"Overpaid",IF(ROUND($F1028-$D1028,2)=0,"Paid","Partial"))))</f>
      </c>
      <c r="J1028" s="29"/>
      <c r="K1028">
        <f>IF($A1028="","","#"&amp;TRIM(SUBSTITUTE(SUBSTITUTE(SUBSTITUTE(SUBSTITUTE(SUBSTITUTE(SUBSTITUTE($A1028,"-",""),"(",""),")",""),".",""),"+","")," ","")))</f>
      </c>
    </row>
    <row r="1029" spans="1:11" x14ac:dyDescent="0.3">
      <c r="A1029" s="28"/>
      <c r="B1029" s="29"/>
      <c r="C1029" s="30"/>
      <c r="D1029" s="31"/>
      <c r="E1029" s="33">
        <f>IF(OR($D1029="",$K1029=""),"",IF(COUNTIFS(Payments!$G$5:$G$2500,$K1029,Payments!$C$5:$C$2500,"&lt;&gt;")=0,"",_xlfn.MAXIFS(Payments!$C$5:$C$2500,Payments!$G$5:$G$2500,$K1029)))</f>
      </c>
      <c r="F1029" s="34">
        <f>IF(OR($D1029="",$K1029=""),"",SUMIF(Payments!$G$5:$G$2500,$K1029,Payments!$D$5:$D$2500))</f>
      </c>
      <c r="G1029" s="36">
        <f>IF($D1029="","",ROUND($D1029-IF($F1029="",0,$F1029),2))</f>
      </c>
      <c r="H1029" s="35">
        <f>IF(OR($D1029="",$K1029=""),"",COUNTIF(Payments!$G$5:$G$2500,$K1029))</f>
      </c>
      <c r="I1029" s="37">
        <f>IF($D1029="","",IF(OR($F1029="",$F1029=0),"Pending",IF(ROUND($F1029-$D1029,2)&gt;0,"Overpaid",IF(ROUND($F1029-$D1029,2)=0,"Paid","Partial"))))</f>
      </c>
      <c r="J1029" s="29"/>
      <c r="K1029">
        <f>IF($A1029="","","#"&amp;TRIM(SUBSTITUTE(SUBSTITUTE(SUBSTITUTE(SUBSTITUTE(SUBSTITUTE(SUBSTITUTE($A1029,"-",""),"(",""),")",""),".",""),"+","")," ","")))</f>
      </c>
    </row>
    <row r="1030" spans="1:11" x14ac:dyDescent="0.3">
      <c r="A1030" s="28"/>
      <c r="B1030" s="29"/>
      <c r="C1030" s="30"/>
      <c r="D1030" s="31"/>
      <c r="E1030" s="33">
        <f>IF(OR($D1030="",$K1030=""),"",IF(COUNTIFS(Payments!$G$5:$G$2500,$K1030,Payments!$C$5:$C$2500,"&lt;&gt;")=0,"",_xlfn.MAXIFS(Payments!$C$5:$C$2500,Payments!$G$5:$G$2500,$K1030)))</f>
      </c>
      <c r="F1030" s="34">
        <f>IF(OR($D1030="",$K1030=""),"",SUMIF(Payments!$G$5:$G$2500,$K1030,Payments!$D$5:$D$2500))</f>
      </c>
      <c r="G1030" s="36">
        <f>IF($D1030="","",ROUND($D1030-IF($F1030="",0,$F1030),2))</f>
      </c>
      <c r="H1030" s="35">
        <f>IF(OR($D1030="",$K1030=""),"",COUNTIF(Payments!$G$5:$G$2500,$K1030))</f>
      </c>
      <c r="I1030" s="37">
        <f>IF($D1030="","",IF(OR($F1030="",$F1030=0),"Pending",IF(ROUND($F1030-$D1030,2)&gt;0,"Overpaid",IF(ROUND($F1030-$D1030,2)=0,"Paid","Partial"))))</f>
      </c>
      <c r="J1030" s="29"/>
      <c r="K1030">
        <f>IF($A1030="","","#"&amp;TRIM(SUBSTITUTE(SUBSTITUTE(SUBSTITUTE(SUBSTITUTE(SUBSTITUTE(SUBSTITUTE($A1030,"-",""),"(",""),")",""),".",""),"+","")," ","")))</f>
      </c>
    </row>
    <row r="1031" spans="1:11" x14ac:dyDescent="0.3">
      <c r="A1031" s="28"/>
      <c r="B1031" s="29"/>
      <c r="C1031" s="30"/>
      <c r="D1031" s="31"/>
      <c r="E1031" s="33">
        <f>IF(OR($D1031="",$K1031=""),"",IF(COUNTIFS(Payments!$G$5:$G$2500,$K1031,Payments!$C$5:$C$2500,"&lt;&gt;")=0,"",_xlfn.MAXIFS(Payments!$C$5:$C$2500,Payments!$G$5:$G$2500,$K1031)))</f>
      </c>
      <c r="F1031" s="34">
        <f>IF(OR($D1031="",$K1031=""),"",SUMIF(Payments!$G$5:$G$2500,$K1031,Payments!$D$5:$D$2500))</f>
      </c>
      <c r="G1031" s="36">
        <f>IF($D1031="","",ROUND($D1031-IF($F1031="",0,$F1031),2))</f>
      </c>
      <c r="H1031" s="35">
        <f>IF(OR($D1031="",$K1031=""),"",COUNTIF(Payments!$G$5:$G$2500,$K1031))</f>
      </c>
      <c r="I1031" s="37">
        <f>IF($D1031="","",IF(OR($F1031="",$F1031=0),"Pending",IF(ROUND($F1031-$D1031,2)&gt;0,"Overpaid",IF(ROUND($F1031-$D1031,2)=0,"Paid","Partial"))))</f>
      </c>
      <c r="J1031" s="29"/>
      <c r="K1031">
        <f>IF($A1031="","","#"&amp;TRIM(SUBSTITUTE(SUBSTITUTE(SUBSTITUTE(SUBSTITUTE(SUBSTITUTE(SUBSTITUTE($A1031,"-",""),"(",""),")",""),".",""),"+","")," ","")))</f>
      </c>
    </row>
    <row r="1032" spans="1:11" x14ac:dyDescent="0.3">
      <c r="A1032" s="28"/>
      <c r="B1032" s="29"/>
      <c r="C1032" s="30"/>
      <c r="D1032" s="31"/>
      <c r="E1032" s="33">
        <f>IF(OR($D1032="",$K1032=""),"",IF(COUNTIFS(Payments!$G$5:$G$2500,$K1032,Payments!$C$5:$C$2500,"&lt;&gt;")=0,"",_xlfn.MAXIFS(Payments!$C$5:$C$2500,Payments!$G$5:$G$2500,$K1032)))</f>
      </c>
      <c r="F1032" s="34">
        <f>IF(OR($D1032="",$K1032=""),"",SUMIF(Payments!$G$5:$G$2500,$K1032,Payments!$D$5:$D$2500))</f>
      </c>
      <c r="G1032" s="36">
        <f>IF($D1032="","",ROUND($D1032-IF($F1032="",0,$F1032),2))</f>
      </c>
      <c r="H1032" s="35">
        <f>IF(OR($D1032="",$K1032=""),"",COUNTIF(Payments!$G$5:$G$2500,$K1032))</f>
      </c>
      <c r="I1032" s="37">
        <f>IF($D1032="","",IF(OR($F1032="",$F1032=0),"Pending",IF(ROUND($F1032-$D1032,2)&gt;0,"Overpaid",IF(ROUND($F1032-$D1032,2)=0,"Paid","Partial"))))</f>
      </c>
      <c r="J1032" s="29"/>
      <c r="K1032">
        <f>IF($A1032="","","#"&amp;TRIM(SUBSTITUTE(SUBSTITUTE(SUBSTITUTE(SUBSTITUTE(SUBSTITUTE(SUBSTITUTE($A1032,"-",""),"(",""),")",""),".",""),"+","")," ","")))</f>
      </c>
    </row>
    <row r="1033" spans="1:11" x14ac:dyDescent="0.3">
      <c r="A1033" s="28"/>
      <c r="B1033" s="29"/>
      <c r="C1033" s="30"/>
      <c r="D1033" s="31"/>
      <c r="E1033" s="33">
        <f>IF(OR($D1033="",$K1033=""),"",IF(COUNTIFS(Payments!$G$5:$G$2500,$K1033,Payments!$C$5:$C$2500,"&lt;&gt;")=0,"",_xlfn.MAXIFS(Payments!$C$5:$C$2500,Payments!$G$5:$G$2500,$K1033)))</f>
      </c>
      <c r="F1033" s="34">
        <f>IF(OR($D1033="",$K1033=""),"",SUMIF(Payments!$G$5:$G$2500,$K1033,Payments!$D$5:$D$2500))</f>
      </c>
      <c r="G1033" s="36">
        <f>IF($D1033="","",ROUND($D1033-IF($F1033="",0,$F1033),2))</f>
      </c>
      <c r="H1033" s="35">
        <f>IF(OR($D1033="",$K1033=""),"",COUNTIF(Payments!$G$5:$G$2500,$K1033))</f>
      </c>
      <c r="I1033" s="37">
        <f>IF($D1033="","",IF(OR($F1033="",$F1033=0),"Pending",IF(ROUND($F1033-$D1033,2)&gt;0,"Overpaid",IF(ROUND($F1033-$D1033,2)=0,"Paid","Partial"))))</f>
      </c>
      <c r="J1033" s="29"/>
      <c r="K1033">
        <f>IF($A1033="","","#"&amp;TRIM(SUBSTITUTE(SUBSTITUTE(SUBSTITUTE(SUBSTITUTE(SUBSTITUTE(SUBSTITUTE($A1033,"-",""),"(",""),")",""),".",""),"+","")," ","")))</f>
      </c>
    </row>
    <row r="1034" spans="1:11" x14ac:dyDescent="0.3">
      <c r="A1034" s="28"/>
      <c r="B1034" s="29"/>
      <c r="C1034" s="30"/>
      <c r="D1034" s="31"/>
      <c r="E1034" s="33">
        <f>IF(OR($D1034="",$K1034=""),"",IF(COUNTIFS(Payments!$G$5:$G$2500,$K1034,Payments!$C$5:$C$2500,"&lt;&gt;")=0,"",_xlfn.MAXIFS(Payments!$C$5:$C$2500,Payments!$G$5:$G$2500,$K1034)))</f>
      </c>
      <c r="F1034" s="34">
        <f>IF(OR($D1034="",$K1034=""),"",SUMIF(Payments!$G$5:$G$2500,$K1034,Payments!$D$5:$D$2500))</f>
      </c>
      <c r="G1034" s="36">
        <f>IF($D1034="","",ROUND($D1034-IF($F1034="",0,$F1034),2))</f>
      </c>
      <c r="H1034" s="35">
        <f>IF(OR($D1034="",$K1034=""),"",COUNTIF(Payments!$G$5:$G$2500,$K1034))</f>
      </c>
      <c r="I1034" s="37">
        <f>IF($D1034="","",IF(OR($F1034="",$F1034=0),"Pending",IF(ROUND($F1034-$D1034,2)&gt;0,"Overpaid",IF(ROUND($F1034-$D1034,2)=0,"Paid","Partial"))))</f>
      </c>
      <c r="J1034" s="29"/>
      <c r="K1034">
        <f>IF($A1034="","","#"&amp;TRIM(SUBSTITUTE(SUBSTITUTE(SUBSTITUTE(SUBSTITUTE(SUBSTITUTE(SUBSTITUTE($A1034,"-",""),"(",""),")",""),".",""),"+","")," ","")))</f>
      </c>
    </row>
    <row r="1035" spans="1:11" x14ac:dyDescent="0.3">
      <c r="A1035" s="28"/>
      <c r="B1035" s="29"/>
      <c r="C1035" s="30"/>
      <c r="D1035" s="31"/>
      <c r="E1035" s="33">
        <f>IF(OR($D1035="",$K1035=""),"",IF(COUNTIFS(Payments!$G$5:$G$2500,$K1035,Payments!$C$5:$C$2500,"&lt;&gt;")=0,"",_xlfn.MAXIFS(Payments!$C$5:$C$2500,Payments!$G$5:$G$2500,$K1035)))</f>
      </c>
      <c r="F1035" s="34">
        <f>IF(OR($D1035="",$K1035=""),"",SUMIF(Payments!$G$5:$G$2500,$K1035,Payments!$D$5:$D$2500))</f>
      </c>
      <c r="G1035" s="36">
        <f>IF($D1035="","",ROUND($D1035-IF($F1035="",0,$F1035),2))</f>
      </c>
      <c r="H1035" s="35">
        <f>IF(OR($D1035="",$K1035=""),"",COUNTIF(Payments!$G$5:$G$2500,$K1035))</f>
      </c>
      <c r="I1035" s="37">
        <f>IF($D1035="","",IF(OR($F1035="",$F1035=0),"Pending",IF(ROUND($F1035-$D1035,2)&gt;0,"Overpaid",IF(ROUND($F1035-$D1035,2)=0,"Paid","Partial"))))</f>
      </c>
      <c r="J1035" s="29"/>
      <c r="K1035">
        <f>IF($A1035="","","#"&amp;TRIM(SUBSTITUTE(SUBSTITUTE(SUBSTITUTE(SUBSTITUTE(SUBSTITUTE(SUBSTITUTE($A1035,"-",""),"(",""),")",""),".",""),"+","")," ","")))</f>
      </c>
    </row>
    <row r="1036" spans="1:11" x14ac:dyDescent="0.3">
      <c r="A1036" s="28"/>
      <c r="B1036" s="29"/>
      <c r="C1036" s="30"/>
      <c r="D1036" s="31"/>
      <c r="E1036" s="33">
        <f>IF(OR($D1036="",$K1036=""),"",IF(COUNTIFS(Payments!$G$5:$G$2500,$K1036,Payments!$C$5:$C$2500,"&lt;&gt;")=0,"",_xlfn.MAXIFS(Payments!$C$5:$C$2500,Payments!$G$5:$G$2500,$K1036)))</f>
      </c>
      <c r="F1036" s="34">
        <f>IF(OR($D1036="",$K1036=""),"",SUMIF(Payments!$G$5:$G$2500,$K1036,Payments!$D$5:$D$2500))</f>
      </c>
      <c r="G1036" s="36">
        <f>IF($D1036="","",ROUND($D1036-IF($F1036="",0,$F1036),2))</f>
      </c>
      <c r="H1036" s="35">
        <f>IF(OR($D1036="",$K1036=""),"",COUNTIF(Payments!$G$5:$G$2500,$K1036))</f>
      </c>
      <c r="I1036" s="37">
        <f>IF($D1036="","",IF(OR($F1036="",$F1036=0),"Pending",IF(ROUND($F1036-$D1036,2)&gt;0,"Overpaid",IF(ROUND($F1036-$D1036,2)=0,"Paid","Partial"))))</f>
      </c>
      <c r="J1036" s="29"/>
      <c r="K1036">
        <f>IF($A1036="","","#"&amp;TRIM(SUBSTITUTE(SUBSTITUTE(SUBSTITUTE(SUBSTITUTE(SUBSTITUTE(SUBSTITUTE($A1036,"-",""),"(",""),")",""),".",""),"+","")," ","")))</f>
      </c>
    </row>
    <row r="1037" spans="1:11" x14ac:dyDescent="0.3">
      <c r="A1037" s="28"/>
      <c r="B1037" s="29"/>
      <c r="C1037" s="30"/>
      <c r="D1037" s="31"/>
      <c r="E1037" s="33">
        <f>IF(OR($D1037="",$K1037=""),"",IF(COUNTIFS(Payments!$G$5:$G$2500,$K1037,Payments!$C$5:$C$2500,"&lt;&gt;")=0,"",_xlfn.MAXIFS(Payments!$C$5:$C$2500,Payments!$G$5:$G$2500,$K1037)))</f>
      </c>
      <c r="F1037" s="34">
        <f>IF(OR($D1037="",$K1037=""),"",SUMIF(Payments!$G$5:$G$2500,$K1037,Payments!$D$5:$D$2500))</f>
      </c>
      <c r="G1037" s="36">
        <f>IF($D1037="","",ROUND($D1037-IF($F1037="",0,$F1037),2))</f>
      </c>
      <c r="H1037" s="35">
        <f>IF(OR($D1037="",$K1037=""),"",COUNTIF(Payments!$G$5:$G$2500,$K1037))</f>
      </c>
      <c r="I1037" s="37">
        <f>IF($D1037="","",IF(OR($F1037="",$F1037=0),"Pending",IF(ROUND($F1037-$D1037,2)&gt;0,"Overpaid",IF(ROUND($F1037-$D1037,2)=0,"Paid","Partial"))))</f>
      </c>
      <c r="J1037" s="29"/>
      <c r="K1037">
        <f>IF($A1037="","","#"&amp;TRIM(SUBSTITUTE(SUBSTITUTE(SUBSTITUTE(SUBSTITUTE(SUBSTITUTE(SUBSTITUTE($A1037,"-",""),"(",""),")",""),".",""),"+","")," ","")))</f>
      </c>
    </row>
    <row r="1038" spans="1:11" x14ac:dyDescent="0.3">
      <c r="A1038" s="28"/>
      <c r="B1038" s="29"/>
      <c r="C1038" s="30"/>
      <c r="D1038" s="31"/>
      <c r="E1038" s="33">
        <f>IF(OR($D1038="",$K1038=""),"",IF(COUNTIFS(Payments!$G$5:$G$2500,$K1038,Payments!$C$5:$C$2500,"&lt;&gt;")=0,"",_xlfn.MAXIFS(Payments!$C$5:$C$2500,Payments!$G$5:$G$2500,$K1038)))</f>
      </c>
      <c r="F1038" s="34">
        <f>IF(OR($D1038="",$K1038=""),"",SUMIF(Payments!$G$5:$G$2500,$K1038,Payments!$D$5:$D$2500))</f>
      </c>
      <c r="G1038" s="36">
        <f>IF($D1038="","",ROUND($D1038-IF($F1038="",0,$F1038),2))</f>
      </c>
      <c r="H1038" s="35">
        <f>IF(OR($D1038="",$K1038=""),"",COUNTIF(Payments!$G$5:$G$2500,$K1038))</f>
      </c>
      <c r="I1038" s="37">
        <f>IF($D1038="","",IF(OR($F1038="",$F1038=0),"Pending",IF(ROUND($F1038-$D1038,2)&gt;0,"Overpaid",IF(ROUND($F1038-$D1038,2)=0,"Paid","Partial"))))</f>
      </c>
      <c r="J1038" s="29"/>
      <c r="K1038">
        <f>IF($A1038="","","#"&amp;TRIM(SUBSTITUTE(SUBSTITUTE(SUBSTITUTE(SUBSTITUTE(SUBSTITUTE(SUBSTITUTE($A1038,"-",""),"(",""),")",""),".",""),"+","")," ","")))</f>
      </c>
    </row>
    <row r="1039" spans="1:11" x14ac:dyDescent="0.3">
      <c r="A1039" s="28"/>
      <c r="B1039" s="29"/>
      <c r="C1039" s="30"/>
      <c r="D1039" s="31"/>
      <c r="E1039" s="33">
        <f>IF(OR($D1039="",$K1039=""),"",IF(COUNTIFS(Payments!$G$5:$G$2500,$K1039,Payments!$C$5:$C$2500,"&lt;&gt;")=0,"",_xlfn.MAXIFS(Payments!$C$5:$C$2500,Payments!$G$5:$G$2500,$K1039)))</f>
      </c>
      <c r="F1039" s="34">
        <f>IF(OR($D1039="",$K1039=""),"",SUMIF(Payments!$G$5:$G$2500,$K1039,Payments!$D$5:$D$2500))</f>
      </c>
      <c r="G1039" s="36">
        <f>IF($D1039="","",ROUND($D1039-IF($F1039="",0,$F1039),2))</f>
      </c>
      <c r="H1039" s="35">
        <f>IF(OR($D1039="",$K1039=""),"",COUNTIF(Payments!$G$5:$G$2500,$K1039))</f>
      </c>
      <c r="I1039" s="37">
        <f>IF($D1039="","",IF(OR($F1039="",$F1039=0),"Pending",IF(ROUND($F1039-$D1039,2)&gt;0,"Overpaid",IF(ROUND($F1039-$D1039,2)=0,"Paid","Partial"))))</f>
      </c>
      <c r="J1039" s="29"/>
      <c r="K1039">
        <f>IF($A1039="","","#"&amp;TRIM(SUBSTITUTE(SUBSTITUTE(SUBSTITUTE(SUBSTITUTE(SUBSTITUTE(SUBSTITUTE($A1039,"-",""),"(",""),")",""),".",""),"+","")," ","")))</f>
      </c>
    </row>
    <row r="1040" spans="1:11" x14ac:dyDescent="0.3">
      <c r="A1040" s="28"/>
      <c r="B1040" s="29"/>
      <c r="C1040" s="30"/>
      <c r="D1040" s="31"/>
      <c r="E1040" s="33">
        <f>IF(OR($D1040="",$K1040=""),"",IF(COUNTIFS(Payments!$G$5:$G$2500,$K1040,Payments!$C$5:$C$2500,"&lt;&gt;")=0,"",_xlfn.MAXIFS(Payments!$C$5:$C$2500,Payments!$G$5:$G$2500,$K1040)))</f>
      </c>
      <c r="F1040" s="34">
        <f>IF(OR($D1040="",$K1040=""),"",SUMIF(Payments!$G$5:$G$2500,$K1040,Payments!$D$5:$D$2500))</f>
      </c>
      <c r="G1040" s="36">
        <f>IF($D1040="","",ROUND($D1040-IF($F1040="",0,$F1040),2))</f>
      </c>
      <c r="H1040" s="35">
        <f>IF(OR($D1040="",$K1040=""),"",COUNTIF(Payments!$G$5:$G$2500,$K1040))</f>
      </c>
      <c r="I1040" s="37">
        <f>IF($D1040="","",IF(OR($F1040="",$F1040=0),"Pending",IF(ROUND($F1040-$D1040,2)&gt;0,"Overpaid",IF(ROUND($F1040-$D1040,2)=0,"Paid","Partial"))))</f>
      </c>
      <c r="J1040" s="29"/>
      <c r="K1040">
        <f>IF($A1040="","","#"&amp;TRIM(SUBSTITUTE(SUBSTITUTE(SUBSTITUTE(SUBSTITUTE(SUBSTITUTE(SUBSTITUTE($A1040,"-",""),"(",""),")",""),".",""),"+","")," ","")))</f>
      </c>
    </row>
    <row r="1041" spans="1:11" x14ac:dyDescent="0.3">
      <c r="A1041" s="28"/>
      <c r="B1041" s="29"/>
      <c r="C1041" s="30"/>
      <c r="D1041" s="31"/>
      <c r="E1041" s="33">
        <f>IF(OR($D1041="",$K1041=""),"",IF(COUNTIFS(Payments!$G$5:$G$2500,$K1041,Payments!$C$5:$C$2500,"&lt;&gt;")=0,"",_xlfn.MAXIFS(Payments!$C$5:$C$2500,Payments!$G$5:$G$2500,$K1041)))</f>
      </c>
      <c r="F1041" s="34">
        <f>IF(OR($D1041="",$K1041=""),"",SUMIF(Payments!$G$5:$G$2500,$K1041,Payments!$D$5:$D$2500))</f>
      </c>
      <c r="G1041" s="36">
        <f>IF($D1041="","",ROUND($D1041-IF($F1041="",0,$F1041),2))</f>
      </c>
      <c r="H1041" s="35">
        <f>IF(OR($D1041="",$K1041=""),"",COUNTIF(Payments!$G$5:$G$2500,$K1041))</f>
      </c>
      <c r="I1041" s="37">
        <f>IF($D1041="","",IF(OR($F1041="",$F1041=0),"Pending",IF(ROUND($F1041-$D1041,2)&gt;0,"Overpaid",IF(ROUND($F1041-$D1041,2)=0,"Paid","Partial"))))</f>
      </c>
      <c r="J1041" s="29"/>
      <c r="K1041">
        <f>IF($A1041="","","#"&amp;TRIM(SUBSTITUTE(SUBSTITUTE(SUBSTITUTE(SUBSTITUTE(SUBSTITUTE(SUBSTITUTE($A1041,"-",""),"(",""),")",""),".",""),"+","")," ","")))</f>
      </c>
    </row>
    <row r="1042" spans="1:11" x14ac:dyDescent="0.3">
      <c r="A1042" s="28"/>
      <c r="B1042" s="29"/>
      <c r="C1042" s="30"/>
      <c r="D1042" s="31"/>
      <c r="E1042" s="33">
        <f>IF(OR($D1042="",$K1042=""),"",IF(COUNTIFS(Payments!$G$5:$G$2500,$K1042,Payments!$C$5:$C$2500,"&lt;&gt;")=0,"",_xlfn.MAXIFS(Payments!$C$5:$C$2500,Payments!$G$5:$G$2500,$K1042)))</f>
      </c>
      <c r="F1042" s="34">
        <f>IF(OR($D1042="",$K1042=""),"",SUMIF(Payments!$G$5:$G$2500,$K1042,Payments!$D$5:$D$2500))</f>
      </c>
      <c r="G1042" s="36">
        <f>IF($D1042="","",ROUND($D1042-IF($F1042="",0,$F1042),2))</f>
      </c>
      <c r="H1042" s="35">
        <f>IF(OR($D1042="",$K1042=""),"",COUNTIF(Payments!$G$5:$G$2500,$K1042))</f>
      </c>
      <c r="I1042" s="37">
        <f>IF($D1042="","",IF(OR($F1042="",$F1042=0),"Pending",IF(ROUND($F1042-$D1042,2)&gt;0,"Overpaid",IF(ROUND($F1042-$D1042,2)=0,"Paid","Partial"))))</f>
      </c>
      <c r="J1042" s="29"/>
      <c r="K1042">
        <f>IF($A1042="","","#"&amp;TRIM(SUBSTITUTE(SUBSTITUTE(SUBSTITUTE(SUBSTITUTE(SUBSTITUTE(SUBSTITUTE($A1042,"-",""),"(",""),")",""),".",""),"+","")," ","")))</f>
      </c>
    </row>
    <row r="1043" spans="1:11" x14ac:dyDescent="0.3">
      <c r="A1043" s="28"/>
      <c r="B1043" s="29"/>
      <c r="C1043" s="30"/>
      <c r="D1043" s="31"/>
      <c r="E1043" s="33">
        <f>IF(OR($D1043="",$K1043=""),"",IF(COUNTIFS(Payments!$G$5:$G$2500,$K1043,Payments!$C$5:$C$2500,"&lt;&gt;")=0,"",_xlfn.MAXIFS(Payments!$C$5:$C$2500,Payments!$G$5:$G$2500,$K1043)))</f>
      </c>
      <c r="F1043" s="34">
        <f>IF(OR($D1043="",$K1043=""),"",SUMIF(Payments!$G$5:$G$2500,$K1043,Payments!$D$5:$D$2500))</f>
      </c>
      <c r="G1043" s="36">
        <f>IF($D1043="","",ROUND($D1043-IF($F1043="",0,$F1043),2))</f>
      </c>
      <c r="H1043" s="35">
        <f>IF(OR($D1043="",$K1043=""),"",COUNTIF(Payments!$G$5:$G$2500,$K1043))</f>
      </c>
      <c r="I1043" s="37">
        <f>IF($D1043="","",IF(OR($F1043="",$F1043=0),"Pending",IF(ROUND($F1043-$D1043,2)&gt;0,"Overpaid",IF(ROUND($F1043-$D1043,2)=0,"Paid","Partial"))))</f>
      </c>
      <c r="J1043" s="29"/>
      <c r="K1043">
        <f>IF($A1043="","","#"&amp;TRIM(SUBSTITUTE(SUBSTITUTE(SUBSTITUTE(SUBSTITUTE(SUBSTITUTE(SUBSTITUTE($A1043,"-",""),"(",""),")",""),".",""),"+","")," ","")))</f>
      </c>
    </row>
    <row r="1044" spans="1:11" x14ac:dyDescent="0.3">
      <c r="A1044" s="28"/>
      <c r="B1044" s="29"/>
      <c r="C1044" s="30"/>
      <c r="D1044" s="31"/>
      <c r="E1044" s="33">
        <f>IF(OR($D1044="",$K1044=""),"",IF(COUNTIFS(Payments!$G$5:$G$2500,$K1044,Payments!$C$5:$C$2500,"&lt;&gt;")=0,"",_xlfn.MAXIFS(Payments!$C$5:$C$2500,Payments!$G$5:$G$2500,$K1044)))</f>
      </c>
      <c r="F1044" s="34">
        <f>IF(OR($D1044="",$K1044=""),"",SUMIF(Payments!$G$5:$G$2500,$K1044,Payments!$D$5:$D$2500))</f>
      </c>
      <c r="G1044" s="36">
        <f>IF($D1044="","",ROUND($D1044-IF($F1044="",0,$F1044),2))</f>
      </c>
      <c r="H1044" s="35">
        <f>IF(OR($D1044="",$K1044=""),"",COUNTIF(Payments!$G$5:$G$2500,$K1044))</f>
      </c>
      <c r="I1044" s="37">
        <f>IF($D1044="","",IF(OR($F1044="",$F1044=0),"Pending",IF(ROUND($F1044-$D1044,2)&gt;0,"Overpaid",IF(ROUND($F1044-$D1044,2)=0,"Paid","Partial"))))</f>
      </c>
      <c r="J1044" s="29"/>
      <c r="K1044">
        <f>IF($A1044="","","#"&amp;TRIM(SUBSTITUTE(SUBSTITUTE(SUBSTITUTE(SUBSTITUTE(SUBSTITUTE(SUBSTITUTE($A1044,"-",""),"(",""),")",""),".",""),"+","")," ","")))</f>
      </c>
    </row>
    <row r="1045" spans="1:11" x14ac:dyDescent="0.3">
      <c r="A1045" s="28"/>
      <c r="B1045" s="29"/>
      <c r="C1045" s="30"/>
      <c r="D1045" s="31"/>
      <c r="E1045" s="33">
        <f>IF(OR($D1045="",$K1045=""),"",IF(COUNTIFS(Payments!$G$5:$G$2500,$K1045,Payments!$C$5:$C$2500,"&lt;&gt;")=0,"",_xlfn.MAXIFS(Payments!$C$5:$C$2500,Payments!$G$5:$G$2500,$K1045)))</f>
      </c>
      <c r="F1045" s="34">
        <f>IF(OR($D1045="",$K1045=""),"",SUMIF(Payments!$G$5:$G$2500,$K1045,Payments!$D$5:$D$2500))</f>
      </c>
      <c r="G1045" s="36">
        <f>IF($D1045="","",ROUND($D1045-IF($F1045="",0,$F1045),2))</f>
      </c>
      <c r="H1045" s="35">
        <f>IF(OR($D1045="",$K1045=""),"",COUNTIF(Payments!$G$5:$G$2500,$K1045))</f>
      </c>
      <c r="I1045" s="37">
        <f>IF($D1045="","",IF(OR($F1045="",$F1045=0),"Pending",IF(ROUND($F1045-$D1045,2)&gt;0,"Overpaid",IF(ROUND($F1045-$D1045,2)=0,"Paid","Partial"))))</f>
      </c>
      <c r="J1045" s="29"/>
      <c r="K1045">
        <f>IF($A1045="","","#"&amp;TRIM(SUBSTITUTE(SUBSTITUTE(SUBSTITUTE(SUBSTITUTE(SUBSTITUTE(SUBSTITUTE($A1045,"-",""),"(",""),")",""),".",""),"+","")," ","")))</f>
      </c>
    </row>
    <row r="1046" spans="1:11" x14ac:dyDescent="0.3">
      <c r="A1046" s="28"/>
      <c r="B1046" s="29"/>
      <c r="C1046" s="30"/>
      <c r="D1046" s="31"/>
      <c r="E1046" s="33">
        <f>IF(OR($D1046="",$K1046=""),"",IF(COUNTIFS(Payments!$G$5:$G$2500,$K1046,Payments!$C$5:$C$2500,"&lt;&gt;")=0,"",_xlfn.MAXIFS(Payments!$C$5:$C$2500,Payments!$G$5:$G$2500,$K1046)))</f>
      </c>
      <c r="F1046" s="34">
        <f>IF(OR($D1046="",$K1046=""),"",SUMIF(Payments!$G$5:$G$2500,$K1046,Payments!$D$5:$D$2500))</f>
      </c>
      <c r="G1046" s="36">
        <f>IF($D1046="","",ROUND($D1046-IF($F1046="",0,$F1046),2))</f>
      </c>
      <c r="H1046" s="35">
        <f>IF(OR($D1046="",$K1046=""),"",COUNTIF(Payments!$G$5:$G$2500,$K1046))</f>
      </c>
      <c r="I1046" s="37">
        <f>IF($D1046="","",IF(OR($F1046="",$F1046=0),"Pending",IF(ROUND($F1046-$D1046,2)&gt;0,"Overpaid",IF(ROUND($F1046-$D1046,2)=0,"Paid","Partial"))))</f>
      </c>
      <c r="J1046" s="29"/>
      <c r="K1046">
        <f>IF($A1046="","","#"&amp;TRIM(SUBSTITUTE(SUBSTITUTE(SUBSTITUTE(SUBSTITUTE(SUBSTITUTE(SUBSTITUTE($A1046,"-",""),"(",""),")",""),".",""),"+","")," ","")))</f>
      </c>
    </row>
    <row r="1047" spans="1:11" x14ac:dyDescent="0.3">
      <c r="A1047" s="28"/>
      <c r="B1047" s="29"/>
      <c r="C1047" s="30"/>
      <c r="D1047" s="31"/>
      <c r="E1047" s="33">
        <f>IF(OR($D1047="",$K1047=""),"",IF(COUNTIFS(Payments!$G$5:$G$2500,$K1047,Payments!$C$5:$C$2500,"&lt;&gt;")=0,"",_xlfn.MAXIFS(Payments!$C$5:$C$2500,Payments!$G$5:$G$2500,$K1047)))</f>
      </c>
      <c r="F1047" s="34">
        <f>IF(OR($D1047="",$K1047=""),"",SUMIF(Payments!$G$5:$G$2500,$K1047,Payments!$D$5:$D$2500))</f>
      </c>
      <c r="G1047" s="36">
        <f>IF($D1047="","",ROUND($D1047-IF($F1047="",0,$F1047),2))</f>
      </c>
      <c r="H1047" s="35">
        <f>IF(OR($D1047="",$K1047=""),"",COUNTIF(Payments!$G$5:$G$2500,$K1047))</f>
      </c>
      <c r="I1047" s="37">
        <f>IF($D1047="","",IF(OR($F1047="",$F1047=0),"Pending",IF(ROUND($F1047-$D1047,2)&gt;0,"Overpaid",IF(ROUND($F1047-$D1047,2)=0,"Paid","Partial"))))</f>
      </c>
      <c r="J1047" s="29"/>
      <c r="K1047">
        <f>IF($A1047="","","#"&amp;TRIM(SUBSTITUTE(SUBSTITUTE(SUBSTITUTE(SUBSTITUTE(SUBSTITUTE(SUBSTITUTE($A1047,"-",""),"(",""),")",""),".",""),"+","")," ","")))</f>
      </c>
    </row>
    <row r="1048" spans="1:11" x14ac:dyDescent="0.3">
      <c r="A1048" s="28"/>
      <c r="B1048" s="29"/>
      <c r="C1048" s="30"/>
      <c r="D1048" s="31"/>
      <c r="E1048" s="33">
        <f>IF(OR($D1048="",$K1048=""),"",IF(COUNTIFS(Payments!$G$5:$G$2500,$K1048,Payments!$C$5:$C$2500,"&lt;&gt;")=0,"",_xlfn.MAXIFS(Payments!$C$5:$C$2500,Payments!$G$5:$G$2500,$K1048)))</f>
      </c>
      <c r="F1048" s="34">
        <f>IF(OR($D1048="",$K1048=""),"",SUMIF(Payments!$G$5:$G$2500,$K1048,Payments!$D$5:$D$2500))</f>
      </c>
      <c r="G1048" s="36">
        <f>IF($D1048="","",ROUND($D1048-IF($F1048="",0,$F1048),2))</f>
      </c>
      <c r="H1048" s="35">
        <f>IF(OR($D1048="",$K1048=""),"",COUNTIF(Payments!$G$5:$G$2500,$K1048))</f>
      </c>
      <c r="I1048" s="37">
        <f>IF($D1048="","",IF(OR($F1048="",$F1048=0),"Pending",IF(ROUND($F1048-$D1048,2)&gt;0,"Overpaid",IF(ROUND($F1048-$D1048,2)=0,"Paid","Partial"))))</f>
      </c>
      <c r="J1048" s="29"/>
      <c r="K1048">
        <f>IF($A1048="","","#"&amp;TRIM(SUBSTITUTE(SUBSTITUTE(SUBSTITUTE(SUBSTITUTE(SUBSTITUTE(SUBSTITUTE($A1048,"-",""),"(",""),")",""),".",""),"+","")," ","")))</f>
      </c>
    </row>
    <row r="1049" spans="1:11" x14ac:dyDescent="0.3">
      <c r="A1049" s="28"/>
      <c r="B1049" s="29"/>
      <c r="C1049" s="30"/>
      <c r="D1049" s="31"/>
      <c r="E1049" s="33">
        <f>IF(OR($D1049="",$K1049=""),"",IF(COUNTIFS(Payments!$G$5:$G$2500,$K1049,Payments!$C$5:$C$2500,"&lt;&gt;")=0,"",_xlfn.MAXIFS(Payments!$C$5:$C$2500,Payments!$G$5:$G$2500,$K1049)))</f>
      </c>
      <c r="F1049" s="34">
        <f>IF(OR($D1049="",$K1049=""),"",SUMIF(Payments!$G$5:$G$2500,$K1049,Payments!$D$5:$D$2500))</f>
      </c>
      <c r="G1049" s="36">
        <f>IF($D1049="","",ROUND($D1049-IF($F1049="",0,$F1049),2))</f>
      </c>
      <c r="H1049" s="35">
        <f>IF(OR($D1049="",$K1049=""),"",COUNTIF(Payments!$G$5:$G$2500,$K1049))</f>
      </c>
      <c r="I1049" s="37">
        <f>IF($D1049="","",IF(OR($F1049="",$F1049=0),"Pending",IF(ROUND($F1049-$D1049,2)&gt;0,"Overpaid",IF(ROUND($F1049-$D1049,2)=0,"Paid","Partial"))))</f>
      </c>
      <c r="J1049" s="29"/>
      <c r="K1049">
        <f>IF($A1049="","","#"&amp;TRIM(SUBSTITUTE(SUBSTITUTE(SUBSTITUTE(SUBSTITUTE(SUBSTITUTE(SUBSTITUTE($A1049,"-",""),"(",""),")",""),".",""),"+","")," ","")))</f>
      </c>
    </row>
    <row r="1050" spans="1:11" x14ac:dyDescent="0.3">
      <c r="A1050" s="28"/>
      <c r="B1050" s="29"/>
      <c r="C1050" s="30"/>
      <c r="D1050" s="31"/>
      <c r="E1050" s="33">
        <f>IF(OR($D1050="",$K1050=""),"",IF(COUNTIFS(Payments!$G$5:$G$2500,$K1050,Payments!$C$5:$C$2500,"&lt;&gt;")=0,"",_xlfn.MAXIFS(Payments!$C$5:$C$2500,Payments!$G$5:$G$2500,$K1050)))</f>
      </c>
      <c r="F1050" s="34">
        <f>IF(OR($D1050="",$K1050=""),"",SUMIF(Payments!$G$5:$G$2500,$K1050,Payments!$D$5:$D$2500))</f>
      </c>
      <c r="G1050" s="36">
        <f>IF($D1050="","",ROUND($D1050-IF($F1050="",0,$F1050),2))</f>
      </c>
      <c r="H1050" s="35">
        <f>IF(OR($D1050="",$K1050=""),"",COUNTIF(Payments!$G$5:$G$2500,$K1050))</f>
      </c>
      <c r="I1050" s="37">
        <f>IF($D1050="","",IF(OR($F1050="",$F1050=0),"Pending",IF(ROUND($F1050-$D1050,2)&gt;0,"Overpaid",IF(ROUND($F1050-$D1050,2)=0,"Paid","Partial"))))</f>
      </c>
      <c r="J1050" s="29"/>
      <c r="K1050">
        <f>IF($A1050="","","#"&amp;TRIM(SUBSTITUTE(SUBSTITUTE(SUBSTITUTE(SUBSTITUTE(SUBSTITUTE(SUBSTITUTE($A1050,"-",""),"(",""),")",""),".",""),"+","")," ","")))</f>
      </c>
    </row>
    <row r="1051" spans="1:11" x14ac:dyDescent="0.3">
      <c r="A1051" s="28"/>
      <c r="B1051" s="29"/>
      <c r="C1051" s="30"/>
      <c r="D1051" s="31"/>
      <c r="E1051" s="33">
        <f>IF(OR($D1051="",$K1051=""),"",IF(COUNTIFS(Payments!$G$5:$G$2500,$K1051,Payments!$C$5:$C$2500,"&lt;&gt;")=0,"",_xlfn.MAXIFS(Payments!$C$5:$C$2500,Payments!$G$5:$G$2500,$K1051)))</f>
      </c>
      <c r="F1051" s="34">
        <f>IF(OR($D1051="",$K1051=""),"",SUMIF(Payments!$G$5:$G$2500,$K1051,Payments!$D$5:$D$2500))</f>
      </c>
      <c r="G1051" s="36">
        <f>IF($D1051="","",ROUND($D1051-IF($F1051="",0,$F1051),2))</f>
      </c>
      <c r="H1051" s="35">
        <f>IF(OR($D1051="",$K1051=""),"",COUNTIF(Payments!$G$5:$G$2500,$K1051))</f>
      </c>
      <c r="I1051" s="37">
        <f>IF($D1051="","",IF(OR($F1051="",$F1051=0),"Pending",IF(ROUND($F1051-$D1051,2)&gt;0,"Overpaid",IF(ROUND($F1051-$D1051,2)=0,"Paid","Partial"))))</f>
      </c>
      <c r="J1051" s="29"/>
      <c r="K1051">
        <f>IF($A1051="","","#"&amp;TRIM(SUBSTITUTE(SUBSTITUTE(SUBSTITUTE(SUBSTITUTE(SUBSTITUTE(SUBSTITUTE($A1051,"-",""),"(",""),")",""),".",""),"+","")," ","")))</f>
      </c>
    </row>
    <row r="1052" spans="1:11" x14ac:dyDescent="0.3">
      <c r="A1052" s="28"/>
      <c r="B1052" s="29"/>
      <c r="C1052" s="30"/>
      <c r="D1052" s="31"/>
      <c r="E1052" s="33">
        <f>IF(OR($D1052="",$K1052=""),"",IF(COUNTIFS(Payments!$G$5:$G$2500,$K1052,Payments!$C$5:$C$2500,"&lt;&gt;")=0,"",_xlfn.MAXIFS(Payments!$C$5:$C$2500,Payments!$G$5:$G$2500,$K1052)))</f>
      </c>
      <c r="F1052" s="34">
        <f>IF(OR($D1052="",$K1052=""),"",SUMIF(Payments!$G$5:$G$2500,$K1052,Payments!$D$5:$D$2500))</f>
      </c>
      <c r="G1052" s="36">
        <f>IF($D1052="","",ROUND($D1052-IF($F1052="",0,$F1052),2))</f>
      </c>
      <c r="H1052" s="35">
        <f>IF(OR($D1052="",$K1052=""),"",COUNTIF(Payments!$G$5:$G$2500,$K1052))</f>
      </c>
      <c r="I1052" s="37">
        <f>IF($D1052="","",IF(OR($F1052="",$F1052=0),"Pending",IF(ROUND($F1052-$D1052,2)&gt;0,"Overpaid",IF(ROUND($F1052-$D1052,2)=0,"Paid","Partial"))))</f>
      </c>
      <c r="J1052" s="29"/>
      <c r="K1052">
        <f>IF($A1052="","","#"&amp;TRIM(SUBSTITUTE(SUBSTITUTE(SUBSTITUTE(SUBSTITUTE(SUBSTITUTE(SUBSTITUTE($A1052,"-",""),"(",""),")",""),".",""),"+","")," ","")))</f>
      </c>
    </row>
    <row r="1053" spans="1:11" x14ac:dyDescent="0.3">
      <c r="A1053" s="28"/>
      <c r="B1053" s="29"/>
      <c r="C1053" s="30"/>
      <c r="D1053" s="31"/>
      <c r="E1053" s="33">
        <f>IF(OR($D1053="",$K1053=""),"",IF(COUNTIFS(Payments!$G$5:$G$2500,$K1053,Payments!$C$5:$C$2500,"&lt;&gt;")=0,"",_xlfn.MAXIFS(Payments!$C$5:$C$2500,Payments!$G$5:$G$2500,$K1053)))</f>
      </c>
      <c r="F1053" s="34">
        <f>IF(OR($D1053="",$K1053=""),"",SUMIF(Payments!$G$5:$G$2500,$K1053,Payments!$D$5:$D$2500))</f>
      </c>
      <c r="G1053" s="36">
        <f>IF($D1053="","",ROUND($D1053-IF($F1053="",0,$F1053),2))</f>
      </c>
      <c r="H1053" s="35">
        <f>IF(OR($D1053="",$K1053=""),"",COUNTIF(Payments!$G$5:$G$2500,$K1053))</f>
      </c>
      <c r="I1053" s="37">
        <f>IF($D1053="","",IF(OR($F1053="",$F1053=0),"Pending",IF(ROUND($F1053-$D1053,2)&gt;0,"Overpaid",IF(ROUND($F1053-$D1053,2)=0,"Paid","Partial"))))</f>
      </c>
      <c r="J1053" s="29"/>
      <c r="K1053">
        <f>IF($A1053="","","#"&amp;TRIM(SUBSTITUTE(SUBSTITUTE(SUBSTITUTE(SUBSTITUTE(SUBSTITUTE(SUBSTITUTE($A1053,"-",""),"(",""),")",""),".",""),"+","")," ","")))</f>
      </c>
    </row>
    <row r="1054" spans="1:11" x14ac:dyDescent="0.3">
      <c r="A1054" s="28"/>
      <c r="B1054" s="29"/>
      <c r="C1054" s="30"/>
      <c r="D1054" s="31"/>
      <c r="E1054" s="33">
        <f>IF(OR($D1054="",$K1054=""),"",IF(COUNTIFS(Payments!$G$5:$G$2500,$K1054,Payments!$C$5:$C$2500,"&lt;&gt;")=0,"",_xlfn.MAXIFS(Payments!$C$5:$C$2500,Payments!$G$5:$G$2500,$K1054)))</f>
      </c>
      <c r="F1054" s="34">
        <f>IF(OR($D1054="",$K1054=""),"",SUMIF(Payments!$G$5:$G$2500,$K1054,Payments!$D$5:$D$2500))</f>
      </c>
      <c r="G1054" s="36">
        <f>IF($D1054="","",ROUND($D1054-IF($F1054="",0,$F1054),2))</f>
      </c>
      <c r="H1054" s="35">
        <f>IF(OR($D1054="",$K1054=""),"",COUNTIF(Payments!$G$5:$G$2500,$K1054))</f>
      </c>
      <c r="I1054" s="37">
        <f>IF($D1054="","",IF(OR($F1054="",$F1054=0),"Pending",IF(ROUND($F1054-$D1054,2)&gt;0,"Overpaid",IF(ROUND($F1054-$D1054,2)=0,"Paid","Partial"))))</f>
      </c>
      <c r="J1054" s="29"/>
      <c r="K1054">
        <f>IF($A1054="","","#"&amp;TRIM(SUBSTITUTE(SUBSTITUTE(SUBSTITUTE(SUBSTITUTE(SUBSTITUTE(SUBSTITUTE($A1054,"-",""),"(",""),")",""),".",""),"+","")," ","")))</f>
      </c>
    </row>
    <row r="1055" spans="1:11" x14ac:dyDescent="0.3">
      <c r="A1055" s="28"/>
      <c r="B1055" s="29"/>
      <c r="C1055" s="30"/>
      <c r="D1055" s="31"/>
      <c r="E1055" s="33">
        <f>IF(OR($D1055="",$K1055=""),"",IF(COUNTIFS(Payments!$G$5:$G$2500,$K1055,Payments!$C$5:$C$2500,"&lt;&gt;")=0,"",_xlfn.MAXIFS(Payments!$C$5:$C$2500,Payments!$G$5:$G$2500,$K1055)))</f>
      </c>
      <c r="F1055" s="34">
        <f>IF(OR($D1055="",$K1055=""),"",SUMIF(Payments!$G$5:$G$2500,$K1055,Payments!$D$5:$D$2500))</f>
      </c>
      <c r="G1055" s="36">
        <f>IF($D1055="","",ROUND($D1055-IF($F1055="",0,$F1055),2))</f>
      </c>
      <c r="H1055" s="35">
        <f>IF(OR($D1055="",$K1055=""),"",COUNTIF(Payments!$G$5:$G$2500,$K1055))</f>
      </c>
      <c r="I1055" s="37">
        <f>IF($D1055="","",IF(OR($F1055="",$F1055=0),"Pending",IF(ROUND($F1055-$D1055,2)&gt;0,"Overpaid",IF(ROUND($F1055-$D1055,2)=0,"Paid","Partial"))))</f>
      </c>
      <c r="J1055" s="29"/>
      <c r="K1055">
        <f>IF($A1055="","","#"&amp;TRIM(SUBSTITUTE(SUBSTITUTE(SUBSTITUTE(SUBSTITUTE(SUBSTITUTE(SUBSTITUTE($A1055,"-",""),"(",""),")",""),".",""),"+","")," ","")))</f>
      </c>
    </row>
    <row r="1056" spans="1:11" x14ac:dyDescent="0.3">
      <c r="A1056" s="28"/>
      <c r="B1056" s="29"/>
      <c r="C1056" s="30"/>
      <c r="D1056" s="31"/>
      <c r="E1056" s="33">
        <f>IF(OR($D1056="",$K1056=""),"",IF(COUNTIFS(Payments!$G$5:$G$2500,$K1056,Payments!$C$5:$C$2500,"&lt;&gt;")=0,"",_xlfn.MAXIFS(Payments!$C$5:$C$2500,Payments!$G$5:$G$2500,$K1056)))</f>
      </c>
      <c r="F1056" s="34">
        <f>IF(OR($D1056="",$K1056=""),"",SUMIF(Payments!$G$5:$G$2500,$K1056,Payments!$D$5:$D$2500))</f>
      </c>
      <c r="G1056" s="36">
        <f>IF($D1056="","",ROUND($D1056-IF($F1056="",0,$F1056),2))</f>
      </c>
      <c r="H1056" s="35">
        <f>IF(OR($D1056="",$K1056=""),"",COUNTIF(Payments!$G$5:$G$2500,$K1056))</f>
      </c>
      <c r="I1056" s="37">
        <f>IF($D1056="","",IF(OR($F1056="",$F1056=0),"Pending",IF(ROUND($F1056-$D1056,2)&gt;0,"Overpaid",IF(ROUND($F1056-$D1056,2)=0,"Paid","Partial"))))</f>
      </c>
      <c r="J1056" s="29"/>
      <c r="K1056">
        <f>IF($A1056="","","#"&amp;TRIM(SUBSTITUTE(SUBSTITUTE(SUBSTITUTE(SUBSTITUTE(SUBSTITUTE(SUBSTITUTE($A1056,"-",""),"(",""),")",""),".",""),"+","")," ","")))</f>
      </c>
    </row>
    <row r="1057" spans="1:11" x14ac:dyDescent="0.3">
      <c r="A1057" s="28"/>
      <c r="B1057" s="29"/>
      <c r="C1057" s="30"/>
      <c r="D1057" s="31"/>
      <c r="E1057" s="33">
        <f>IF(OR($D1057="",$K1057=""),"",IF(COUNTIFS(Payments!$G$5:$G$2500,$K1057,Payments!$C$5:$C$2500,"&lt;&gt;")=0,"",_xlfn.MAXIFS(Payments!$C$5:$C$2500,Payments!$G$5:$G$2500,$K1057)))</f>
      </c>
      <c r="F1057" s="34">
        <f>IF(OR($D1057="",$K1057=""),"",SUMIF(Payments!$G$5:$G$2500,$K1057,Payments!$D$5:$D$2500))</f>
      </c>
      <c r="G1057" s="36">
        <f>IF($D1057="","",ROUND($D1057-IF($F1057="",0,$F1057),2))</f>
      </c>
      <c r="H1057" s="35">
        <f>IF(OR($D1057="",$K1057=""),"",COUNTIF(Payments!$G$5:$G$2500,$K1057))</f>
      </c>
      <c r="I1057" s="37">
        <f>IF($D1057="","",IF(OR($F1057="",$F1057=0),"Pending",IF(ROUND($F1057-$D1057,2)&gt;0,"Overpaid",IF(ROUND($F1057-$D1057,2)=0,"Paid","Partial"))))</f>
      </c>
      <c r="J1057" s="29"/>
      <c r="K1057">
        <f>IF($A1057="","","#"&amp;TRIM(SUBSTITUTE(SUBSTITUTE(SUBSTITUTE(SUBSTITUTE(SUBSTITUTE(SUBSTITUTE($A1057,"-",""),"(",""),")",""),".",""),"+","")," ","")))</f>
      </c>
    </row>
    <row r="1058" spans="1:11" x14ac:dyDescent="0.3">
      <c r="A1058" s="28"/>
      <c r="B1058" s="29"/>
      <c r="C1058" s="30"/>
      <c r="D1058" s="31"/>
      <c r="E1058" s="33">
        <f>IF(OR($D1058="",$K1058=""),"",IF(COUNTIFS(Payments!$G$5:$G$2500,$K1058,Payments!$C$5:$C$2500,"&lt;&gt;")=0,"",_xlfn.MAXIFS(Payments!$C$5:$C$2500,Payments!$G$5:$G$2500,$K1058)))</f>
      </c>
      <c r="F1058" s="34">
        <f>IF(OR($D1058="",$K1058=""),"",SUMIF(Payments!$G$5:$G$2500,$K1058,Payments!$D$5:$D$2500))</f>
      </c>
      <c r="G1058" s="36">
        <f>IF($D1058="","",ROUND($D1058-IF($F1058="",0,$F1058),2))</f>
      </c>
      <c r="H1058" s="35">
        <f>IF(OR($D1058="",$K1058=""),"",COUNTIF(Payments!$G$5:$G$2500,$K1058))</f>
      </c>
      <c r="I1058" s="37">
        <f>IF($D1058="","",IF(OR($F1058="",$F1058=0),"Pending",IF(ROUND($F1058-$D1058,2)&gt;0,"Overpaid",IF(ROUND($F1058-$D1058,2)=0,"Paid","Partial"))))</f>
      </c>
      <c r="J1058" s="29"/>
      <c r="K1058">
        <f>IF($A1058="","","#"&amp;TRIM(SUBSTITUTE(SUBSTITUTE(SUBSTITUTE(SUBSTITUTE(SUBSTITUTE(SUBSTITUTE($A1058,"-",""),"(",""),")",""),".",""),"+","")," ","")))</f>
      </c>
    </row>
    <row r="1059" spans="1:11" x14ac:dyDescent="0.3">
      <c r="A1059" s="28"/>
      <c r="B1059" s="29"/>
      <c r="C1059" s="30"/>
      <c r="D1059" s="31"/>
      <c r="E1059" s="33">
        <f>IF(OR($D1059="",$K1059=""),"",IF(COUNTIFS(Payments!$G$5:$G$2500,$K1059,Payments!$C$5:$C$2500,"&lt;&gt;")=0,"",_xlfn.MAXIFS(Payments!$C$5:$C$2500,Payments!$G$5:$G$2500,$K1059)))</f>
      </c>
      <c r="F1059" s="34">
        <f>IF(OR($D1059="",$K1059=""),"",SUMIF(Payments!$G$5:$G$2500,$K1059,Payments!$D$5:$D$2500))</f>
      </c>
      <c r="G1059" s="36">
        <f>IF($D1059="","",ROUND($D1059-IF($F1059="",0,$F1059),2))</f>
      </c>
      <c r="H1059" s="35">
        <f>IF(OR($D1059="",$K1059=""),"",COUNTIF(Payments!$G$5:$G$2500,$K1059))</f>
      </c>
      <c r="I1059" s="37">
        <f>IF($D1059="","",IF(OR($F1059="",$F1059=0),"Pending",IF(ROUND($F1059-$D1059,2)&gt;0,"Overpaid",IF(ROUND($F1059-$D1059,2)=0,"Paid","Partial"))))</f>
      </c>
      <c r="J1059" s="29"/>
      <c r="K1059">
        <f>IF($A1059="","","#"&amp;TRIM(SUBSTITUTE(SUBSTITUTE(SUBSTITUTE(SUBSTITUTE(SUBSTITUTE(SUBSTITUTE($A1059,"-",""),"(",""),")",""),".",""),"+","")," ","")))</f>
      </c>
    </row>
    <row r="1060" spans="1:11" x14ac:dyDescent="0.3">
      <c r="A1060" s="28"/>
      <c r="B1060" s="29"/>
      <c r="C1060" s="30"/>
      <c r="D1060" s="31"/>
      <c r="E1060" s="33">
        <f>IF(OR($D1060="",$K1060=""),"",IF(COUNTIFS(Payments!$G$5:$G$2500,$K1060,Payments!$C$5:$C$2500,"&lt;&gt;")=0,"",_xlfn.MAXIFS(Payments!$C$5:$C$2500,Payments!$G$5:$G$2500,$K1060)))</f>
      </c>
      <c r="F1060" s="34">
        <f>IF(OR($D1060="",$K1060=""),"",SUMIF(Payments!$G$5:$G$2500,$K1060,Payments!$D$5:$D$2500))</f>
      </c>
      <c r="G1060" s="36">
        <f>IF($D1060="","",ROUND($D1060-IF($F1060="",0,$F1060),2))</f>
      </c>
      <c r="H1060" s="35">
        <f>IF(OR($D1060="",$K1060=""),"",COUNTIF(Payments!$G$5:$G$2500,$K1060))</f>
      </c>
      <c r="I1060" s="37">
        <f>IF($D1060="","",IF(OR($F1060="",$F1060=0),"Pending",IF(ROUND($F1060-$D1060,2)&gt;0,"Overpaid",IF(ROUND($F1060-$D1060,2)=0,"Paid","Partial"))))</f>
      </c>
      <c r="J1060" s="29"/>
      <c r="K1060">
        <f>IF($A1060="","","#"&amp;TRIM(SUBSTITUTE(SUBSTITUTE(SUBSTITUTE(SUBSTITUTE(SUBSTITUTE(SUBSTITUTE($A1060,"-",""),"(",""),")",""),".",""),"+","")," ","")))</f>
      </c>
    </row>
    <row r="1061" spans="1:11" x14ac:dyDescent="0.3">
      <c r="A1061" s="28"/>
      <c r="B1061" s="29"/>
      <c r="C1061" s="30"/>
      <c r="D1061" s="31"/>
      <c r="E1061" s="33">
        <f>IF(OR($D1061="",$K1061=""),"",IF(COUNTIFS(Payments!$G$5:$G$2500,$K1061,Payments!$C$5:$C$2500,"&lt;&gt;")=0,"",_xlfn.MAXIFS(Payments!$C$5:$C$2500,Payments!$G$5:$G$2500,$K1061)))</f>
      </c>
      <c r="F1061" s="34">
        <f>IF(OR($D1061="",$K1061=""),"",SUMIF(Payments!$G$5:$G$2500,$K1061,Payments!$D$5:$D$2500))</f>
      </c>
      <c r="G1061" s="36">
        <f>IF($D1061="","",ROUND($D1061-IF($F1061="",0,$F1061),2))</f>
      </c>
      <c r="H1061" s="35">
        <f>IF(OR($D1061="",$K1061=""),"",COUNTIF(Payments!$G$5:$G$2500,$K1061))</f>
      </c>
      <c r="I1061" s="37">
        <f>IF($D1061="","",IF(OR($F1061="",$F1061=0),"Pending",IF(ROUND($F1061-$D1061,2)&gt;0,"Overpaid",IF(ROUND($F1061-$D1061,2)=0,"Paid","Partial"))))</f>
      </c>
      <c r="J1061" s="29"/>
      <c r="K1061">
        <f>IF($A1061="","","#"&amp;TRIM(SUBSTITUTE(SUBSTITUTE(SUBSTITUTE(SUBSTITUTE(SUBSTITUTE(SUBSTITUTE($A1061,"-",""),"(",""),")",""),".",""),"+","")," ","")))</f>
      </c>
    </row>
    <row r="1062" spans="1:11" x14ac:dyDescent="0.3">
      <c r="A1062" s="28"/>
      <c r="B1062" s="29"/>
      <c r="C1062" s="30"/>
      <c r="D1062" s="31"/>
      <c r="E1062" s="33">
        <f>IF(OR($D1062="",$K1062=""),"",IF(COUNTIFS(Payments!$G$5:$G$2500,$K1062,Payments!$C$5:$C$2500,"&lt;&gt;")=0,"",_xlfn.MAXIFS(Payments!$C$5:$C$2500,Payments!$G$5:$G$2500,$K1062)))</f>
      </c>
      <c r="F1062" s="34">
        <f>IF(OR($D1062="",$K1062=""),"",SUMIF(Payments!$G$5:$G$2500,$K1062,Payments!$D$5:$D$2500))</f>
      </c>
      <c r="G1062" s="36">
        <f>IF($D1062="","",ROUND($D1062-IF($F1062="",0,$F1062),2))</f>
      </c>
      <c r="H1062" s="35">
        <f>IF(OR($D1062="",$K1062=""),"",COUNTIF(Payments!$G$5:$G$2500,$K1062))</f>
      </c>
      <c r="I1062" s="37">
        <f>IF($D1062="","",IF(OR($F1062="",$F1062=0),"Pending",IF(ROUND($F1062-$D1062,2)&gt;0,"Overpaid",IF(ROUND($F1062-$D1062,2)=0,"Paid","Partial"))))</f>
      </c>
      <c r="J1062" s="29"/>
      <c r="K1062">
        <f>IF($A1062="","","#"&amp;TRIM(SUBSTITUTE(SUBSTITUTE(SUBSTITUTE(SUBSTITUTE(SUBSTITUTE(SUBSTITUTE($A1062,"-",""),"(",""),")",""),".",""),"+","")," ","")))</f>
      </c>
    </row>
    <row r="1063" spans="1:11" x14ac:dyDescent="0.3">
      <c r="A1063" s="28"/>
      <c r="B1063" s="29"/>
      <c r="C1063" s="30"/>
      <c r="D1063" s="31"/>
      <c r="E1063" s="33">
        <f>IF(OR($D1063="",$K1063=""),"",IF(COUNTIFS(Payments!$G$5:$G$2500,$K1063,Payments!$C$5:$C$2500,"&lt;&gt;")=0,"",_xlfn.MAXIFS(Payments!$C$5:$C$2500,Payments!$G$5:$G$2500,$K1063)))</f>
      </c>
      <c r="F1063" s="34">
        <f>IF(OR($D1063="",$K1063=""),"",SUMIF(Payments!$G$5:$G$2500,$K1063,Payments!$D$5:$D$2500))</f>
      </c>
      <c r="G1063" s="36">
        <f>IF($D1063="","",ROUND($D1063-IF($F1063="",0,$F1063),2))</f>
      </c>
      <c r="H1063" s="35">
        <f>IF(OR($D1063="",$K1063=""),"",COUNTIF(Payments!$G$5:$G$2500,$K1063))</f>
      </c>
      <c r="I1063" s="37">
        <f>IF($D1063="","",IF(OR($F1063="",$F1063=0),"Pending",IF(ROUND($F1063-$D1063,2)&gt;0,"Overpaid",IF(ROUND($F1063-$D1063,2)=0,"Paid","Partial"))))</f>
      </c>
      <c r="J1063" s="29"/>
      <c r="K1063">
        <f>IF($A1063="","","#"&amp;TRIM(SUBSTITUTE(SUBSTITUTE(SUBSTITUTE(SUBSTITUTE(SUBSTITUTE(SUBSTITUTE($A1063,"-",""),"(",""),")",""),".",""),"+","")," ","")))</f>
      </c>
    </row>
    <row r="1064" spans="1:11" x14ac:dyDescent="0.3">
      <c r="A1064" s="28"/>
      <c r="B1064" s="29"/>
      <c r="C1064" s="30"/>
      <c r="D1064" s="31"/>
      <c r="E1064" s="33">
        <f>IF(OR($D1064="",$K1064=""),"",IF(COUNTIFS(Payments!$G$5:$G$2500,$K1064,Payments!$C$5:$C$2500,"&lt;&gt;")=0,"",_xlfn.MAXIFS(Payments!$C$5:$C$2500,Payments!$G$5:$G$2500,$K1064)))</f>
      </c>
      <c r="F1064" s="34">
        <f>IF(OR($D1064="",$K1064=""),"",SUMIF(Payments!$G$5:$G$2500,$K1064,Payments!$D$5:$D$2500))</f>
      </c>
      <c r="G1064" s="36">
        <f>IF($D1064="","",ROUND($D1064-IF($F1064="",0,$F1064),2))</f>
      </c>
      <c r="H1064" s="35">
        <f>IF(OR($D1064="",$K1064=""),"",COUNTIF(Payments!$G$5:$G$2500,$K1064))</f>
      </c>
      <c r="I1064" s="37">
        <f>IF($D1064="","",IF(OR($F1064="",$F1064=0),"Pending",IF(ROUND($F1064-$D1064,2)&gt;0,"Overpaid",IF(ROUND($F1064-$D1064,2)=0,"Paid","Partial"))))</f>
      </c>
      <c r="J1064" s="29"/>
      <c r="K1064">
        <f>IF($A1064="","","#"&amp;TRIM(SUBSTITUTE(SUBSTITUTE(SUBSTITUTE(SUBSTITUTE(SUBSTITUTE(SUBSTITUTE($A1064,"-",""),"(",""),")",""),".",""),"+","")," ","")))</f>
      </c>
    </row>
    <row r="1065" spans="1:11" x14ac:dyDescent="0.3">
      <c r="A1065" s="28"/>
      <c r="B1065" s="29"/>
      <c r="C1065" s="30"/>
      <c r="D1065" s="31"/>
      <c r="E1065" s="33">
        <f>IF(OR($D1065="",$K1065=""),"",IF(COUNTIFS(Payments!$G$5:$G$2500,$K1065,Payments!$C$5:$C$2500,"&lt;&gt;")=0,"",_xlfn.MAXIFS(Payments!$C$5:$C$2500,Payments!$G$5:$G$2500,$K1065)))</f>
      </c>
      <c r="F1065" s="34">
        <f>IF(OR($D1065="",$K1065=""),"",SUMIF(Payments!$G$5:$G$2500,$K1065,Payments!$D$5:$D$2500))</f>
      </c>
      <c r="G1065" s="36">
        <f>IF($D1065="","",ROUND($D1065-IF($F1065="",0,$F1065),2))</f>
      </c>
      <c r="H1065" s="35">
        <f>IF(OR($D1065="",$K1065=""),"",COUNTIF(Payments!$G$5:$G$2500,$K1065))</f>
      </c>
      <c r="I1065" s="37">
        <f>IF($D1065="","",IF(OR($F1065="",$F1065=0),"Pending",IF(ROUND($F1065-$D1065,2)&gt;0,"Overpaid",IF(ROUND($F1065-$D1065,2)=0,"Paid","Partial"))))</f>
      </c>
      <c r="J1065" s="29"/>
      <c r="K1065">
        <f>IF($A1065="","","#"&amp;TRIM(SUBSTITUTE(SUBSTITUTE(SUBSTITUTE(SUBSTITUTE(SUBSTITUTE(SUBSTITUTE($A1065,"-",""),"(",""),")",""),".",""),"+","")," ","")))</f>
      </c>
    </row>
    <row r="1066" spans="1:11" x14ac:dyDescent="0.3">
      <c r="A1066" s="28"/>
      <c r="B1066" s="29"/>
      <c r="C1066" s="30"/>
      <c r="D1066" s="31"/>
      <c r="E1066" s="33">
        <f>IF(OR($D1066="",$K1066=""),"",IF(COUNTIFS(Payments!$G$5:$G$2500,$K1066,Payments!$C$5:$C$2500,"&lt;&gt;")=0,"",_xlfn.MAXIFS(Payments!$C$5:$C$2500,Payments!$G$5:$G$2500,$K1066)))</f>
      </c>
      <c r="F1066" s="34">
        <f>IF(OR($D1066="",$K1066=""),"",SUMIF(Payments!$G$5:$G$2500,$K1066,Payments!$D$5:$D$2500))</f>
      </c>
      <c r="G1066" s="36">
        <f>IF($D1066="","",ROUND($D1066-IF($F1066="",0,$F1066),2))</f>
      </c>
      <c r="H1066" s="35">
        <f>IF(OR($D1066="",$K1066=""),"",COUNTIF(Payments!$G$5:$G$2500,$K1066))</f>
      </c>
      <c r="I1066" s="37">
        <f>IF($D1066="","",IF(OR($F1066="",$F1066=0),"Pending",IF(ROUND($F1066-$D1066,2)&gt;0,"Overpaid",IF(ROUND($F1066-$D1066,2)=0,"Paid","Partial"))))</f>
      </c>
      <c r="J1066" s="29"/>
      <c r="K1066">
        <f>IF($A1066="","","#"&amp;TRIM(SUBSTITUTE(SUBSTITUTE(SUBSTITUTE(SUBSTITUTE(SUBSTITUTE(SUBSTITUTE($A1066,"-",""),"(",""),")",""),".",""),"+","")," ","")))</f>
      </c>
    </row>
    <row r="1067" spans="1:11" x14ac:dyDescent="0.3">
      <c r="A1067" s="28"/>
      <c r="B1067" s="29"/>
      <c r="C1067" s="30"/>
      <c r="D1067" s="31"/>
      <c r="E1067" s="33">
        <f>IF(OR($D1067="",$K1067=""),"",IF(COUNTIFS(Payments!$G$5:$G$2500,$K1067,Payments!$C$5:$C$2500,"&lt;&gt;")=0,"",_xlfn.MAXIFS(Payments!$C$5:$C$2500,Payments!$G$5:$G$2500,$K1067)))</f>
      </c>
      <c r="F1067" s="34">
        <f>IF(OR($D1067="",$K1067=""),"",SUMIF(Payments!$G$5:$G$2500,$K1067,Payments!$D$5:$D$2500))</f>
      </c>
      <c r="G1067" s="36">
        <f>IF($D1067="","",ROUND($D1067-IF($F1067="",0,$F1067),2))</f>
      </c>
      <c r="H1067" s="35">
        <f>IF(OR($D1067="",$K1067=""),"",COUNTIF(Payments!$G$5:$G$2500,$K1067))</f>
      </c>
      <c r="I1067" s="37">
        <f>IF($D1067="","",IF(OR($F1067="",$F1067=0),"Pending",IF(ROUND($F1067-$D1067,2)&gt;0,"Overpaid",IF(ROUND($F1067-$D1067,2)=0,"Paid","Partial"))))</f>
      </c>
      <c r="J1067" s="29"/>
      <c r="K1067">
        <f>IF($A1067="","","#"&amp;TRIM(SUBSTITUTE(SUBSTITUTE(SUBSTITUTE(SUBSTITUTE(SUBSTITUTE(SUBSTITUTE($A1067,"-",""),"(",""),")",""),".",""),"+","")," ","")))</f>
      </c>
    </row>
    <row r="1068" spans="1:11" x14ac:dyDescent="0.3">
      <c r="A1068" s="28"/>
      <c r="B1068" s="29"/>
      <c r="C1068" s="30"/>
      <c r="D1068" s="31"/>
      <c r="E1068" s="33">
        <f>IF(OR($D1068="",$K1068=""),"",IF(COUNTIFS(Payments!$G$5:$G$2500,$K1068,Payments!$C$5:$C$2500,"&lt;&gt;")=0,"",_xlfn.MAXIFS(Payments!$C$5:$C$2500,Payments!$G$5:$G$2500,$K1068)))</f>
      </c>
      <c r="F1068" s="34">
        <f>IF(OR($D1068="",$K1068=""),"",SUMIF(Payments!$G$5:$G$2500,$K1068,Payments!$D$5:$D$2500))</f>
      </c>
      <c r="G1068" s="36">
        <f>IF($D1068="","",ROUND($D1068-IF($F1068="",0,$F1068),2))</f>
      </c>
      <c r="H1068" s="35">
        <f>IF(OR($D1068="",$K1068=""),"",COUNTIF(Payments!$G$5:$G$2500,$K1068))</f>
      </c>
      <c r="I1068" s="37">
        <f>IF($D1068="","",IF(OR($F1068="",$F1068=0),"Pending",IF(ROUND($F1068-$D1068,2)&gt;0,"Overpaid",IF(ROUND($F1068-$D1068,2)=0,"Paid","Partial"))))</f>
      </c>
      <c r="J1068" s="29"/>
      <c r="K1068">
        <f>IF($A1068="","","#"&amp;TRIM(SUBSTITUTE(SUBSTITUTE(SUBSTITUTE(SUBSTITUTE(SUBSTITUTE(SUBSTITUTE($A1068,"-",""),"(",""),")",""),".",""),"+","")," ","")))</f>
      </c>
    </row>
    <row r="1069" spans="1:11" x14ac:dyDescent="0.3">
      <c r="A1069" s="28"/>
      <c r="B1069" s="29"/>
      <c r="C1069" s="30"/>
      <c r="D1069" s="31"/>
      <c r="E1069" s="33">
        <f>IF(OR($D1069="",$K1069=""),"",IF(COUNTIFS(Payments!$G$5:$G$2500,$K1069,Payments!$C$5:$C$2500,"&lt;&gt;")=0,"",_xlfn.MAXIFS(Payments!$C$5:$C$2500,Payments!$G$5:$G$2500,$K1069)))</f>
      </c>
      <c r="F1069" s="34">
        <f>IF(OR($D1069="",$K1069=""),"",SUMIF(Payments!$G$5:$G$2500,$K1069,Payments!$D$5:$D$2500))</f>
      </c>
      <c r="G1069" s="36">
        <f>IF($D1069="","",ROUND($D1069-IF($F1069="",0,$F1069),2))</f>
      </c>
      <c r="H1069" s="35">
        <f>IF(OR($D1069="",$K1069=""),"",COUNTIF(Payments!$G$5:$G$2500,$K1069))</f>
      </c>
      <c r="I1069" s="37">
        <f>IF($D1069="","",IF(OR($F1069="",$F1069=0),"Pending",IF(ROUND($F1069-$D1069,2)&gt;0,"Overpaid",IF(ROUND($F1069-$D1069,2)=0,"Paid","Partial"))))</f>
      </c>
      <c r="J1069" s="29"/>
      <c r="K1069">
        <f>IF($A1069="","","#"&amp;TRIM(SUBSTITUTE(SUBSTITUTE(SUBSTITUTE(SUBSTITUTE(SUBSTITUTE(SUBSTITUTE($A1069,"-",""),"(",""),")",""),".",""),"+","")," ","")))</f>
      </c>
    </row>
    <row r="1070" spans="1:11" x14ac:dyDescent="0.3">
      <c r="A1070" s="28"/>
      <c r="B1070" s="29"/>
      <c r="C1070" s="30"/>
      <c r="D1070" s="31"/>
      <c r="E1070" s="33">
        <f>IF(OR($D1070="",$K1070=""),"",IF(COUNTIFS(Payments!$G$5:$G$2500,$K1070,Payments!$C$5:$C$2500,"&lt;&gt;")=0,"",_xlfn.MAXIFS(Payments!$C$5:$C$2500,Payments!$G$5:$G$2500,$K1070)))</f>
      </c>
      <c r="F1070" s="34">
        <f>IF(OR($D1070="",$K1070=""),"",SUMIF(Payments!$G$5:$G$2500,$K1070,Payments!$D$5:$D$2500))</f>
      </c>
      <c r="G1070" s="36">
        <f>IF($D1070="","",ROUND($D1070-IF($F1070="",0,$F1070),2))</f>
      </c>
      <c r="H1070" s="35">
        <f>IF(OR($D1070="",$K1070=""),"",COUNTIF(Payments!$G$5:$G$2500,$K1070))</f>
      </c>
      <c r="I1070" s="37">
        <f>IF($D1070="","",IF(OR($F1070="",$F1070=0),"Pending",IF(ROUND($F1070-$D1070,2)&gt;0,"Overpaid",IF(ROUND($F1070-$D1070,2)=0,"Paid","Partial"))))</f>
      </c>
      <c r="J1070" s="29"/>
      <c r="K1070">
        <f>IF($A1070="","","#"&amp;TRIM(SUBSTITUTE(SUBSTITUTE(SUBSTITUTE(SUBSTITUTE(SUBSTITUTE(SUBSTITUTE($A1070,"-",""),"(",""),")",""),".",""),"+","")," ","")))</f>
      </c>
    </row>
    <row r="1071" spans="1:11" x14ac:dyDescent="0.3">
      <c r="A1071" s="28"/>
      <c r="B1071" s="29"/>
      <c r="C1071" s="30"/>
      <c r="D1071" s="31"/>
      <c r="E1071" s="33">
        <f>IF(OR($D1071="",$K1071=""),"",IF(COUNTIFS(Payments!$G$5:$G$2500,$K1071,Payments!$C$5:$C$2500,"&lt;&gt;")=0,"",_xlfn.MAXIFS(Payments!$C$5:$C$2500,Payments!$G$5:$G$2500,$K1071)))</f>
      </c>
      <c r="F1071" s="34">
        <f>IF(OR($D1071="",$K1071=""),"",SUMIF(Payments!$G$5:$G$2500,$K1071,Payments!$D$5:$D$2500))</f>
      </c>
      <c r="G1071" s="36">
        <f>IF($D1071="","",ROUND($D1071-IF($F1071="",0,$F1071),2))</f>
      </c>
      <c r="H1071" s="35">
        <f>IF(OR($D1071="",$K1071=""),"",COUNTIF(Payments!$G$5:$G$2500,$K1071))</f>
      </c>
      <c r="I1071" s="37">
        <f>IF($D1071="","",IF(OR($F1071="",$F1071=0),"Pending",IF(ROUND($F1071-$D1071,2)&gt;0,"Overpaid",IF(ROUND($F1071-$D1071,2)=0,"Paid","Partial"))))</f>
      </c>
      <c r="J1071" s="29"/>
      <c r="K1071">
        <f>IF($A1071="","","#"&amp;TRIM(SUBSTITUTE(SUBSTITUTE(SUBSTITUTE(SUBSTITUTE(SUBSTITUTE(SUBSTITUTE($A1071,"-",""),"(",""),")",""),".",""),"+","")," ","")))</f>
      </c>
    </row>
    <row r="1072" spans="1:11" x14ac:dyDescent="0.3">
      <c r="A1072" s="28"/>
      <c r="B1072" s="29"/>
      <c r="C1072" s="30"/>
      <c r="D1072" s="31"/>
      <c r="E1072" s="33">
        <f>IF(OR($D1072="",$K1072=""),"",IF(COUNTIFS(Payments!$G$5:$G$2500,$K1072,Payments!$C$5:$C$2500,"&lt;&gt;")=0,"",_xlfn.MAXIFS(Payments!$C$5:$C$2500,Payments!$G$5:$G$2500,$K1072)))</f>
      </c>
      <c r="F1072" s="34">
        <f>IF(OR($D1072="",$K1072=""),"",SUMIF(Payments!$G$5:$G$2500,$K1072,Payments!$D$5:$D$2500))</f>
      </c>
      <c r="G1072" s="36">
        <f>IF($D1072="","",ROUND($D1072-IF($F1072="",0,$F1072),2))</f>
      </c>
      <c r="H1072" s="35">
        <f>IF(OR($D1072="",$K1072=""),"",COUNTIF(Payments!$G$5:$G$2500,$K1072))</f>
      </c>
      <c r="I1072" s="37">
        <f>IF($D1072="","",IF(OR($F1072="",$F1072=0),"Pending",IF(ROUND($F1072-$D1072,2)&gt;0,"Overpaid",IF(ROUND($F1072-$D1072,2)=0,"Paid","Partial"))))</f>
      </c>
      <c r="J1072" s="29"/>
      <c r="K1072">
        <f>IF($A1072="","","#"&amp;TRIM(SUBSTITUTE(SUBSTITUTE(SUBSTITUTE(SUBSTITUTE(SUBSTITUTE(SUBSTITUTE($A1072,"-",""),"(",""),")",""),".",""),"+","")," ","")))</f>
      </c>
    </row>
    <row r="1073" spans="1:11" x14ac:dyDescent="0.3">
      <c r="A1073" s="28"/>
      <c r="B1073" s="29"/>
      <c r="C1073" s="30"/>
      <c r="D1073" s="31"/>
      <c r="E1073" s="33">
        <f>IF(OR($D1073="",$K1073=""),"",IF(COUNTIFS(Payments!$G$5:$G$2500,$K1073,Payments!$C$5:$C$2500,"&lt;&gt;")=0,"",_xlfn.MAXIFS(Payments!$C$5:$C$2500,Payments!$G$5:$G$2500,$K1073)))</f>
      </c>
      <c r="F1073" s="34">
        <f>IF(OR($D1073="",$K1073=""),"",SUMIF(Payments!$G$5:$G$2500,$K1073,Payments!$D$5:$D$2500))</f>
      </c>
      <c r="G1073" s="36">
        <f>IF($D1073="","",ROUND($D1073-IF($F1073="",0,$F1073),2))</f>
      </c>
      <c r="H1073" s="35">
        <f>IF(OR($D1073="",$K1073=""),"",COUNTIF(Payments!$G$5:$G$2500,$K1073))</f>
      </c>
      <c r="I1073" s="37">
        <f>IF($D1073="","",IF(OR($F1073="",$F1073=0),"Pending",IF(ROUND($F1073-$D1073,2)&gt;0,"Overpaid",IF(ROUND($F1073-$D1073,2)=0,"Paid","Partial"))))</f>
      </c>
      <c r="J1073" s="29"/>
      <c r="K1073">
        <f>IF($A1073="","","#"&amp;TRIM(SUBSTITUTE(SUBSTITUTE(SUBSTITUTE(SUBSTITUTE(SUBSTITUTE(SUBSTITUTE($A1073,"-",""),"(",""),")",""),".",""),"+","")," ","")))</f>
      </c>
    </row>
    <row r="1074" spans="1:11" x14ac:dyDescent="0.3">
      <c r="A1074" s="28"/>
      <c r="B1074" s="29"/>
      <c r="C1074" s="30"/>
      <c r="D1074" s="31"/>
      <c r="E1074" s="33">
        <f>IF(OR($D1074="",$K1074=""),"",IF(COUNTIFS(Payments!$G$5:$G$2500,$K1074,Payments!$C$5:$C$2500,"&lt;&gt;")=0,"",_xlfn.MAXIFS(Payments!$C$5:$C$2500,Payments!$G$5:$G$2500,$K1074)))</f>
      </c>
      <c r="F1074" s="34">
        <f>IF(OR($D1074="",$K1074=""),"",SUMIF(Payments!$G$5:$G$2500,$K1074,Payments!$D$5:$D$2500))</f>
      </c>
      <c r="G1074" s="36">
        <f>IF($D1074="","",ROUND($D1074-IF($F1074="",0,$F1074),2))</f>
      </c>
      <c r="H1074" s="35">
        <f>IF(OR($D1074="",$K1074=""),"",COUNTIF(Payments!$G$5:$G$2500,$K1074))</f>
      </c>
      <c r="I1074" s="37">
        <f>IF($D1074="","",IF(OR($F1074="",$F1074=0),"Pending",IF(ROUND($F1074-$D1074,2)&gt;0,"Overpaid",IF(ROUND($F1074-$D1074,2)=0,"Paid","Partial"))))</f>
      </c>
      <c r="J1074" s="29"/>
      <c r="K1074">
        <f>IF($A1074="","","#"&amp;TRIM(SUBSTITUTE(SUBSTITUTE(SUBSTITUTE(SUBSTITUTE(SUBSTITUTE(SUBSTITUTE($A1074,"-",""),"(",""),")",""),".",""),"+","")," ","")))</f>
      </c>
    </row>
    <row r="1075" spans="1:11" x14ac:dyDescent="0.3">
      <c r="A1075" s="28"/>
      <c r="B1075" s="29"/>
      <c r="C1075" s="30"/>
      <c r="D1075" s="31"/>
      <c r="E1075" s="33">
        <f>IF(OR($D1075="",$K1075=""),"",IF(COUNTIFS(Payments!$G$5:$G$2500,$K1075,Payments!$C$5:$C$2500,"&lt;&gt;")=0,"",_xlfn.MAXIFS(Payments!$C$5:$C$2500,Payments!$G$5:$G$2500,$K1075)))</f>
      </c>
      <c r="F1075" s="34">
        <f>IF(OR($D1075="",$K1075=""),"",SUMIF(Payments!$G$5:$G$2500,$K1075,Payments!$D$5:$D$2500))</f>
      </c>
      <c r="G1075" s="36">
        <f>IF($D1075="","",ROUND($D1075-IF($F1075="",0,$F1075),2))</f>
      </c>
      <c r="H1075" s="35">
        <f>IF(OR($D1075="",$K1075=""),"",COUNTIF(Payments!$G$5:$G$2500,$K1075))</f>
      </c>
      <c r="I1075" s="37">
        <f>IF($D1075="","",IF(OR($F1075="",$F1075=0),"Pending",IF(ROUND($F1075-$D1075,2)&gt;0,"Overpaid",IF(ROUND($F1075-$D1075,2)=0,"Paid","Partial"))))</f>
      </c>
      <c r="J1075" s="29"/>
      <c r="K1075">
        <f>IF($A1075="","","#"&amp;TRIM(SUBSTITUTE(SUBSTITUTE(SUBSTITUTE(SUBSTITUTE(SUBSTITUTE(SUBSTITUTE($A1075,"-",""),"(",""),")",""),".",""),"+","")," ","")))</f>
      </c>
    </row>
    <row r="1076" spans="1:11" x14ac:dyDescent="0.3">
      <c r="A1076" s="28"/>
      <c r="B1076" s="29"/>
      <c r="C1076" s="30"/>
      <c r="D1076" s="31"/>
      <c r="E1076" s="33">
        <f>IF(OR($D1076="",$K1076=""),"",IF(COUNTIFS(Payments!$G$5:$G$2500,$K1076,Payments!$C$5:$C$2500,"&lt;&gt;")=0,"",_xlfn.MAXIFS(Payments!$C$5:$C$2500,Payments!$G$5:$G$2500,$K1076)))</f>
      </c>
      <c r="F1076" s="34">
        <f>IF(OR($D1076="",$K1076=""),"",SUMIF(Payments!$G$5:$G$2500,$K1076,Payments!$D$5:$D$2500))</f>
      </c>
      <c r="G1076" s="36">
        <f>IF($D1076="","",ROUND($D1076-IF($F1076="",0,$F1076),2))</f>
      </c>
      <c r="H1076" s="35">
        <f>IF(OR($D1076="",$K1076=""),"",COUNTIF(Payments!$G$5:$G$2500,$K1076))</f>
      </c>
      <c r="I1076" s="37">
        <f>IF($D1076="","",IF(OR($F1076="",$F1076=0),"Pending",IF(ROUND($F1076-$D1076,2)&gt;0,"Overpaid",IF(ROUND($F1076-$D1076,2)=0,"Paid","Partial"))))</f>
      </c>
      <c r="J1076" s="29"/>
      <c r="K1076">
        <f>IF($A1076="","","#"&amp;TRIM(SUBSTITUTE(SUBSTITUTE(SUBSTITUTE(SUBSTITUTE(SUBSTITUTE(SUBSTITUTE($A1076,"-",""),"(",""),")",""),".",""),"+","")," ","")))</f>
      </c>
    </row>
    <row r="1077" spans="1:11" x14ac:dyDescent="0.3">
      <c r="A1077" s="28"/>
      <c r="B1077" s="29"/>
      <c r="C1077" s="30"/>
      <c r="D1077" s="31"/>
      <c r="E1077" s="33">
        <f>IF(OR($D1077="",$K1077=""),"",IF(COUNTIFS(Payments!$G$5:$G$2500,$K1077,Payments!$C$5:$C$2500,"&lt;&gt;")=0,"",_xlfn.MAXIFS(Payments!$C$5:$C$2500,Payments!$G$5:$G$2500,$K1077)))</f>
      </c>
      <c r="F1077" s="34">
        <f>IF(OR($D1077="",$K1077=""),"",SUMIF(Payments!$G$5:$G$2500,$K1077,Payments!$D$5:$D$2500))</f>
      </c>
      <c r="G1077" s="36">
        <f>IF($D1077="","",ROUND($D1077-IF($F1077="",0,$F1077),2))</f>
      </c>
      <c r="H1077" s="35">
        <f>IF(OR($D1077="",$K1077=""),"",COUNTIF(Payments!$G$5:$G$2500,$K1077))</f>
      </c>
      <c r="I1077" s="37">
        <f>IF($D1077="","",IF(OR($F1077="",$F1077=0),"Pending",IF(ROUND($F1077-$D1077,2)&gt;0,"Overpaid",IF(ROUND($F1077-$D1077,2)=0,"Paid","Partial"))))</f>
      </c>
      <c r="J1077" s="29"/>
      <c r="K1077">
        <f>IF($A1077="","","#"&amp;TRIM(SUBSTITUTE(SUBSTITUTE(SUBSTITUTE(SUBSTITUTE(SUBSTITUTE(SUBSTITUTE($A1077,"-",""),"(",""),")",""),".",""),"+","")," ","")))</f>
      </c>
    </row>
    <row r="1078" spans="1:11" x14ac:dyDescent="0.3">
      <c r="A1078" s="28"/>
      <c r="B1078" s="29"/>
      <c r="C1078" s="30"/>
      <c r="D1078" s="31"/>
      <c r="E1078" s="33">
        <f>IF(OR($D1078="",$K1078=""),"",IF(COUNTIFS(Payments!$G$5:$G$2500,$K1078,Payments!$C$5:$C$2500,"&lt;&gt;")=0,"",_xlfn.MAXIFS(Payments!$C$5:$C$2500,Payments!$G$5:$G$2500,$K1078)))</f>
      </c>
      <c r="F1078" s="34">
        <f>IF(OR($D1078="",$K1078=""),"",SUMIF(Payments!$G$5:$G$2500,$K1078,Payments!$D$5:$D$2500))</f>
      </c>
      <c r="G1078" s="36">
        <f>IF($D1078="","",ROUND($D1078-IF($F1078="",0,$F1078),2))</f>
      </c>
      <c r="H1078" s="35">
        <f>IF(OR($D1078="",$K1078=""),"",COUNTIF(Payments!$G$5:$G$2500,$K1078))</f>
      </c>
      <c r="I1078" s="37">
        <f>IF($D1078="","",IF(OR($F1078="",$F1078=0),"Pending",IF(ROUND($F1078-$D1078,2)&gt;0,"Overpaid",IF(ROUND($F1078-$D1078,2)=0,"Paid","Partial"))))</f>
      </c>
      <c r="J1078" s="29"/>
      <c r="K1078">
        <f>IF($A1078="","","#"&amp;TRIM(SUBSTITUTE(SUBSTITUTE(SUBSTITUTE(SUBSTITUTE(SUBSTITUTE(SUBSTITUTE($A1078,"-",""),"(",""),")",""),".",""),"+","")," ","")))</f>
      </c>
    </row>
    <row r="1079" spans="1:11" x14ac:dyDescent="0.3">
      <c r="A1079" s="28"/>
      <c r="B1079" s="29"/>
      <c r="C1079" s="30"/>
      <c r="D1079" s="31"/>
      <c r="E1079" s="33">
        <f>IF(OR($D1079="",$K1079=""),"",IF(COUNTIFS(Payments!$G$5:$G$2500,$K1079,Payments!$C$5:$C$2500,"&lt;&gt;")=0,"",_xlfn.MAXIFS(Payments!$C$5:$C$2500,Payments!$G$5:$G$2500,$K1079)))</f>
      </c>
      <c r="F1079" s="34">
        <f>IF(OR($D1079="",$K1079=""),"",SUMIF(Payments!$G$5:$G$2500,$K1079,Payments!$D$5:$D$2500))</f>
      </c>
      <c r="G1079" s="36">
        <f>IF($D1079="","",ROUND($D1079-IF($F1079="",0,$F1079),2))</f>
      </c>
      <c r="H1079" s="35">
        <f>IF(OR($D1079="",$K1079=""),"",COUNTIF(Payments!$G$5:$G$2500,$K1079))</f>
      </c>
      <c r="I1079" s="37">
        <f>IF($D1079="","",IF(OR($F1079="",$F1079=0),"Pending",IF(ROUND($F1079-$D1079,2)&gt;0,"Overpaid",IF(ROUND($F1079-$D1079,2)=0,"Paid","Partial"))))</f>
      </c>
      <c r="J1079" s="29"/>
      <c r="K1079">
        <f>IF($A1079="","","#"&amp;TRIM(SUBSTITUTE(SUBSTITUTE(SUBSTITUTE(SUBSTITUTE(SUBSTITUTE(SUBSTITUTE($A1079,"-",""),"(",""),")",""),".",""),"+","")," ","")))</f>
      </c>
    </row>
    <row r="1080" spans="1:11" x14ac:dyDescent="0.3">
      <c r="A1080" s="28"/>
      <c r="B1080" s="29"/>
      <c r="C1080" s="30"/>
      <c r="D1080" s="31"/>
      <c r="E1080" s="33">
        <f>IF(OR($D1080="",$K1080=""),"",IF(COUNTIFS(Payments!$G$5:$G$2500,$K1080,Payments!$C$5:$C$2500,"&lt;&gt;")=0,"",_xlfn.MAXIFS(Payments!$C$5:$C$2500,Payments!$G$5:$G$2500,$K1080)))</f>
      </c>
      <c r="F1080" s="34">
        <f>IF(OR($D1080="",$K1080=""),"",SUMIF(Payments!$G$5:$G$2500,$K1080,Payments!$D$5:$D$2500))</f>
      </c>
      <c r="G1080" s="36">
        <f>IF($D1080="","",ROUND($D1080-IF($F1080="",0,$F1080),2))</f>
      </c>
      <c r="H1080" s="35">
        <f>IF(OR($D1080="",$K1080=""),"",COUNTIF(Payments!$G$5:$G$2500,$K1080))</f>
      </c>
      <c r="I1080" s="37">
        <f>IF($D1080="","",IF(OR($F1080="",$F1080=0),"Pending",IF(ROUND($F1080-$D1080,2)&gt;0,"Overpaid",IF(ROUND($F1080-$D1080,2)=0,"Paid","Partial"))))</f>
      </c>
      <c r="J1080" s="29"/>
      <c r="K1080">
        <f>IF($A1080="","","#"&amp;TRIM(SUBSTITUTE(SUBSTITUTE(SUBSTITUTE(SUBSTITUTE(SUBSTITUTE(SUBSTITUTE($A1080,"-",""),"(",""),")",""),".",""),"+","")," ","")))</f>
      </c>
    </row>
    <row r="1081" spans="1:11" x14ac:dyDescent="0.3">
      <c r="A1081" s="28"/>
      <c r="B1081" s="29"/>
      <c r="C1081" s="30"/>
      <c r="D1081" s="31"/>
      <c r="E1081" s="33">
        <f>IF(OR($D1081="",$K1081=""),"",IF(COUNTIFS(Payments!$G$5:$G$2500,$K1081,Payments!$C$5:$C$2500,"&lt;&gt;")=0,"",_xlfn.MAXIFS(Payments!$C$5:$C$2500,Payments!$G$5:$G$2500,$K1081)))</f>
      </c>
      <c r="F1081" s="34">
        <f>IF(OR($D1081="",$K1081=""),"",SUMIF(Payments!$G$5:$G$2500,$K1081,Payments!$D$5:$D$2500))</f>
      </c>
      <c r="G1081" s="36">
        <f>IF($D1081="","",ROUND($D1081-IF($F1081="",0,$F1081),2))</f>
      </c>
      <c r="H1081" s="35">
        <f>IF(OR($D1081="",$K1081=""),"",COUNTIF(Payments!$G$5:$G$2500,$K1081))</f>
      </c>
      <c r="I1081" s="37">
        <f>IF($D1081="","",IF(OR($F1081="",$F1081=0),"Pending",IF(ROUND($F1081-$D1081,2)&gt;0,"Overpaid",IF(ROUND($F1081-$D1081,2)=0,"Paid","Partial"))))</f>
      </c>
      <c r="J1081" s="29"/>
      <c r="K1081">
        <f>IF($A1081="","","#"&amp;TRIM(SUBSTITUTE(SUBSTITUTE(SUBSTITUTE(SUBSTITUTE(SUBSTITUTE(SUBSTITUTE($A1081,"-",""),"(",""),")",""),".",""),"+","")," ","")))</f>
      </c>
    </row>
    <row r="1082" spans="1:11" x14ac:dyDescent="0.3">
      <c r="A1082" s="28"/>
      <c r="B1082" s="29"/>
      <c r="C1082" s="30"/>
      <c r="D1082" s="31"/>
      <c r="E1082" s="33">
        <f>IF(OR($D1082="",$K1082=""),"",IF(COUNTIFS(Payments!$G$5:$G$2500,$K1082,Payments!$C$5:$C$2500,"&lt;&gt;")=0,"",_xlfn.MAXIFS(Payments!$C$5:$C$2500,Payments!$G$5:$G$2500,$K1082)))</f>
      </c>
      <c r="F1082" s="34">
        <f>IF(OR($D1082="",$K1082=""),"",SUMIF(Payments!$G$5:$G$2500,$K1082,Payments!$D$5:$D$2500))</f>
      </c>
      <c r="G1082" s="36">
        <f>IF($D1082="","",ROUND($D1082-IF($F1082="",0,$F1082),2))</f>
      </c>
      <c r="H1082" s="35">
        <f>IF(OR($D1082="",$K1082=""),"",COUNTIF(Payments!$G$5:$G$2500,$K1082))</f>
      </c>
      <c r="I1082" s="37">
        <f>IF($D1082="","",IF(OR($F1082="",$F1082=0),"Pending",IF(ROUND($F1082-$D1082,2)&gt;0,"Overpaid",IF(ROUND($F1082-$D1082,2)=0,"Paid","Partial"))))</f>
      </c>
      <c r="J1082" s="29"/>
      <c r="K1082">
        <f>IF($A1082="","","#"&amp;TRIM(SUBSTITUTE(SUBSTITUTE(SUBSTITUTE(SUBSTITUTE(SUBSTITUTE(SUBSTITUTE($A1082,"-",""),"(",""),")",""),".",""),"+","")," ","")))</f>
      </c>
    </row>
    <row r="1083" spans="1:11" x14ac:dyDescent="0.3">
      <c r="A1083" s="28"/>
      <c r="B1083" s="29"/>
      <c r="C1083" s="30"/>
      <c r="D1083" s="31"/>
      <c r="E1083" s="33">
        <f>IF(OR($D1083="",$K1083=""),"",IF(COUNTIFS(Payments!$G$5:$G$2500,$K1083,Payments!$C$5:$C$2500,"&lt;&gt;")=0,"",_xlfn.MAXIFS(Payments!$C$5:$C$2500,Payments!$G$5:$G$2500,$K1083)))</f>
      </c>
      <c r="F1083" s="34">
        <f>IF(OR($D1083="",$K1083=""),"",SUMIF(Payments!$G$5:$G$2500,$K1083,Payments!$D$5:$D$2500))</f>
      </c>
      <c r="G1083" s="36">
        <f>IF($D1083="","",ROUND($D1083-IF($F1083="",0,$F1083),2))</f>
      </c>
      <c r="H1083" s="35">
        <f>IF(OR($D1083="",$K1083=""),"",COUNTIF(Payments!$G$5:$G$2500,$K1083))</f>
      </c>
      <c r="I1083" s="37">
        <f>IF($D1083="","",IF(OR($F1083="",$F1083=0),"Pending",IF(ROUND($F1083-$D1083,2)&gt;0,"Overpaid",IF(ROUND($F1083-$D1083,2)=0,"Paid","Partial"))))</f>
      </c>
      <c r="J1083" s="29"/>
      <c r="K1083">
        <f>IF($A1083="","","#"&amp;TRIM(SUBSTITUTE(SUBSTITUTE(SUBSTITUTE(SUBSTITUTE(SUBSTITUTE(SUBSTITUTE($A1083,"-",""),"(",""),")",""),".",""),"+","")," ","")))</f>
      </c>
    </row>
    <row r="1084" spans="1:11" x14ac:dyDescent="0.3">
      <c r="A1084" s="28"/>
      <c r="B1084" s="29"/>
      <c r="C1084" s="30"/>
      <c r="D1084" s="31"/>
      <c r="E1084" s="33">
        <f>IF(OR($D1084="",$K1084=""),"",IF(COUNTIFS(Payments!$G$5:$G$2500,$K1084,Payments!$C$5:$C$2500,"&lt;&gt;")=0,"",_xlfn.MAXIFS(Payments!$C$5:$C$2500,Payments!$G$5:$G$2500,$K1084)))</f>
      </c>
      <c r="F1084" s="34">
        <f>IF(OR($D1084="",$K1084=""),"",SUMIF(Payments!$G$5:$G$2500,$K1084,Payments!$D$5:$D$2500))</f>
      </c>
      <c r="G1084" s="36">
        <f>IF($D1084="","",ROUND($D1084-IF($F1084="",0,$F1084),2))</f>
      </c>
      <c r="H1084" s="35">
        <f>IF(OR($D1084="",$K1084=""),"",COUNTIF(Payments!$G$5:$G$2500,$K1084))</f>
      </c>
      <c r="I1084" s="37">
        <f>IF($D1084="","",IF(OR($F1084="",$F1084=0),"Pending",IF(ROUND($F1084-$D1084,2)&gt;0,"Overpaid",IF(ROUND($F1084-$D1084,2)=0,"Paid","Partial"))))</f>
      </c>
      <c r="J1084" s="29"/>
      <c r="K1084">
        <f>IF($A1084="","","#"&amp;TRIM(SUBSTITUTE(SUBSTITUTE(SUBSTITUTE(SUBSTITUTE(SUBSTITUTE(SUBSTITUTE($A1084,"-",""),"(",""),")",""),".",""),"+","")," ","")))</f>
      </c>
    </row>
    <row r="1085" spans="1:11" x14ac:dyDescent="0.3">
      <c r="A1085" s="28"/>
      <c r="B1085" s="29"/>
      <c r="C1085" s="30"/>
      <c r="D1085" s="31"/>
      <c r="E1085" s="33">
        <f>IF(OR($D1085="",$K1085=""),"",IF(COUNTIFS(Payments!$G$5:$G$2500,$K1085,Payments!$C$5:$C$2500,"&lt;&gt;")=0,"",_xlfn.MAXIFS(Payments!$C$5:$C$2500,Payments!$G$5:$G$2500,$K1085)))</f>
      </c>
      <c r="F1085" s="34">
        <f>IF(OR($D1085="",$K1085=""),"",SUMIF(Payments!$G$5:$G$2500,$K1085,Payments!$D$5:$D$2500))</f>
      </c>
      <c r="G1085" s="36">
        <f>IF($D1085="","",ROUND($D1085-IF($F1085="",0,$F1085),2))</f>
      </c>
      <c r="H1085" s="35">
        <f>IF(OR($D1085="",$K1085=""),"",COUNTIF(Payments!$G$5:$G$2500,$K1085))</f>
      </c>
      <c r="I1085" s="37">
        <f>IF($D1085="","",IF(OR($F1085="",$F1085=0),"Pending",IF(ROUND($F1085-$D1085,2)&gt;0,"Overpaid",IF(ROUND($F1085-$D1085,2)=0,"Paid","Partial"))))</f>
      </c>
      <c r="J1085" s="29"/>
      <c r="K1085">
        <f>IF($A1085="","","#"&amp;TRIM(SUBSTITUTE(SUBSTITUTE(SUBSTITUTE(SUBSTITUTE(SUBSTITUTE(SUBSTITUTE($A1085,"-",""),"(",""),")",""),".",""),"+","")," ","")))</f>
      </c>
    </row>
    <row r="1086" spans="1:11" x14ac:dyDescent="0.3">
      <c r="A1086" s="28"/>
      <c r="B1086" s="29"/>
      <c r="C1086" s="30"/>
      <c r="D1086" s="31"/>
      <c r="E1086" s="33">
        <f>IF(OR($D1086="",$K1086=""),"",IF(COUNTIFS(Payments!$G$5:$G$2500,$K1086,Payments!$C$5:$C$2500,"&lt;&gt;")=0,"",_xlfn.MAXIFS(Payments!$C$5:$C$2500,Payments!$G$5:$G$2500,$K1086)))</f>
      </c>
      <c r="F1086" s="34">
        <f>IF(OR($D1086="",$K1086=""),"",SUMIF(Payments!$G$5:$G$2500,$K1086,Payments!$D$5:$D$2500))</f>
      </c>
      <c r="G1086" s="36">
        <f>IF($D1086="","",ROUND($D1086-IF($F1086="",0,$F1086),2))</f>
      </c>
      <c r="H1086" s="35">
        <f>IF(OR($D1086="",$K1086=""),"",COUNTIF(Payments!$G$5:$G$2500,$K1086))</f>
      </c>
      <c r="I1086" s="37">
        <f>IF($D1086="","",IF(OR($F1086="",$F1086=0),"Pending",IF(ROUND($F1086-$D1086,2)&gt;0,"Overpaid",IF(ROUND($F1086-$D1086,2)=0,"Paid","Partial"))))</f>
      </c>
      <c r="J1086" s="29"/>
      <c r="K1086">
        <f>IF($A1086="","","#"&amp;TRIM(SUBSTITUTE(SUBSTITUTE(SUBSTITUTE(SUBSTITUTE(SUBSTITUTE(SUBSTITUTE($A1086,"-",""),"(",""),")",""),".",""),"+","")," ","")))</f>
      </c>
    </row>
    <row r="1087" spans="1:11" x14ac:dyDescent="0.3">
      <c r="A1087" s="28"/>
      <c r="B1087" s="29"/>
      <c r="C1087" s="30"/>
      <c r="D1087" s="31"/>
      <c r="E1087" s="33">
        <f>IF(OR($D1087="",$K1087=""),"",IF(COUNTIFS(Payments!$G$5:$G$2500,$K1087,Payments!$C$5:$C$2500,"&lt;&gt;")=0,"",_xlfn.MAXIFS(Payments!$C$5:$C$2500,Payments!$G$5:$G$2500,$K1087)))</f>
      </c>
      <c r="F1087" s="34">
        <f>IF(OR($D1087="",$K1087=""),"",SUMIF(Payments!$G$5:$G$2500,$K1087,Payments!$D$5:$D$2500))</f>
      </c>
      <c r="G1087" s="36">
        <f>IF($D1087="","",ROUND($D1087-IF($F1087="",0,$F1087),2))</f>
      </c>
      <c r="H1087" s="35">
        <f>IF(OR($D1087="",$K1087=""),"",COUNTIF(Payments!$G$5:$G$2500,$K1087))</f>
      </c>
      <c r="I1087" s="37">
        <f>IF($D1087="","",IF(OR($F1087="",$F1087=0),"Pending",IF(ROUND($F1087-$D1087,2)&gt;0,"Overpaid",IF(ROUND($F1087-$D1087,2)=0,"Paid","Partial"))))</f>
      </c>
      <c r="J1087" s="29"/>
      <c r="K1087">
        <f>IF($A1087="","","#"&amp;TRIM(SUBSTITUTE(SUBSTITUTE(SUBSTITUTE(SUBSTITUTE(SUBSTITUTE(SUBSTITUTE($A1087,"-",""),"(",""),")",""),".",""),"+","")," ","")))</f>
      </c>
    </row>
    <row r="1088" spans="1:11" x14ac:dyDescent="0.3">
      <c r="A1088" s="28"/>
      <c r="B1088" s="29"/>
      <c r="C1088" s="30"/>
      <c r="D1088" s="31"/>
      <c r="E1088" s="33">
        <f>IF(OR($D1088="",$K1088=""),"",IF(COUNTIFS(Payments!$G$5:$G$2500,$K1088,Payments!$C$5:$C$2500,"&lt;&gt;")=0,"",_xlfn.MAXIFS(Payments!$C$5:$C$2500,Payments!$G$5:$G$2500,$K1088)))</f>
      </c>
      <c r="F1088" s="34">
        <f>IF(OR($D1088="",$K1088=""),"",SUMIF(Payments!$G$5:$G$2500,$K1088,Payments!$D$5:$D$2500))</f>
      </c>
      <c r="G1088" s="36">
        <f>IF($D1088="","",ROUND($D1088-IF($F1088="",0,$F1088),2))</f>
      </c>
      <c r="H1088" s="35">
        <f>IF(OR($D1088="",$K1088=""),"",COUNTIF(Payments!$G$5:$G$2500,$K1088))</f>
      </c>
      <c r="I1088" s="37">
        <f>IF($D1088="","",IF(OR($F1088="",$F1088=0),"Pending",IF(ROUND($F1088-$D1088,2)&gt;0,"Overpaid",IF(ROUND($F1088-$D1088,2)=0,"Paid","Partial"))))</f>
      </c>
      <c r="J1088" s="29"/>
      <c r="K1088">
        <f>IF($A1088="","","#"&amp;TRIM(SUBSTITUTE(SUBSTITUTE(SUBSTITUTE(SUBSTITUTE(SUBSTITUTE(SUBSTITUTE($A1088,"-",""),"(",""),")",""),".",""),"+","")," ","")))</f>
      </c>
    </row>
    <row r="1089" spans="1:11" x14ac:dyDescent="0.3">
      <c r="A1089" s="28"/>
      <c r="B1089" s="29"/>
      <c r="C1089" s="30"/>
      <c r="D1089" s="31"/>
      <c r="E1089" s="33">
        <f>IF(OR($D1089="",$K1089=""),"",IF(COUNTIFS(Payments!$G$5:$G$2500,$K1089,Payments!$C$5:$C$2500,"&lt;&gt;")=0,"",_xlfn.MAXIFS(Payments!$C$5:$C$2500,Payments!$G$5:$G$2500,$K1089)))</f>
      </c>
      <c r="F1089" s="34">
        <f>IF(OR($D1089="",$K1089=""),"",SUMIF(Payments!$G$5:$G$2500,$K1089,Payments!$D$5:$D$2500))</f>
      </c>
      <c r="G1089" s="36">
        <f>IF($D1089="","",ROUND($D1089-IF($F1089="",0,$F1089),2))</f>
      </c>
      <c r="H1089" s="35">
        <f>IF(OR($D1089="",$K1089=""),"",COUNTIF(Payments!$G$5:$G$2500,$K1089))</f>
      </c>
      <c r="I1089" s="37">
        <f>IF($D1089="","",IF(OR($F1089="",$F1089=0),"Pending",IF(ROUND($F1089-$D1089,2)&gt;0,"Overpaid",IF(ROUND($F1089-$D1089,2)=0,"Paid","Partial"))))</f>
      </c>
      <c r="J1089" s="29"/>
      <c r="K1089">
        <f>IF($A1089="","","#"&amp;TRIM(SUBSTITUTE(SUBSTITUTE(SUBSTITUTE(SUBSTITUTE(SUBSTITUTE(SUBSTITUTE($A1089,"-",""),"(",""),")",""),".",""),"+","")," ","")))</f>
      </c>
    </row>
    <row r="1090" spans="1:11" x14ac:dyDescent="0.3">
      <c r="A1090" s="28"/>
      <c r="B1090" s="29"/>
      <c r="C1090" s="30"/>
      <c r="D1090" s="31"/>
      <c r="E1090" s="33">
        <f>IF(OR($D1090="",$K1090=""),"",IF(COUNTIFS(Payments!$G$5:$G$2500,$K1090,Payments!$C$5:$C$2500,"&lt;&gt;")=0,"",_xlfn.MAXIFS(Payments!$C$5:$C$2500,Payments!$G$5:$G$2500,$K1090)))</f>
      </c>
      <c r="F1090" s="34">
        <f>IF(OR($D1090="",$K1090=""),"",SUMIF(Payments!$G$5:$G$2500,$K1090,Payments!$D$5:$D$2500))</f>
      </c>
      <c r="G1090" s="36">
        <f>IF($D1090="","",ROUND($D1090-IF($F1090="",0,$F1090),2))</f>
      </c>
      <c r="H1090" s="35">
        <f>IF(OR($D1090="",$K1090=""),"",COUNTIF(Payments!$G$5:$G$2500,$K1090))</f>
      </c>
      <c r="I1090" s="37">
        <f>IF($D1090="","",IF(OR($F1090="",$F1090=0),"Pending",IF(ROUND($F1090-$D1090,2)&gt;0,"Overpaid",IF(ROUND($F1090-$D1090,2)=0,"Paid","Partial"))))</f>
      </c>
      <c r="J1090" s="29"/>
      <c r="K1090">
        <f>IF($A1090="","","#"&amp;TRIM(SUBSTITUTE(SUBSTITUTE(SUBSTITUTE(SUBSTITUTE(SUBSTITUTE(SUBSTITUTE($A1090,"-",""),"(",""),")",""),".",""),"+","")," ","")))</f>
      </c>
    </row>
    <row r="1091" spans="1:11" x14ac:dyDescent="0.3">
      <c r="A1091" s="28"/>
      <c r="B1091" s="29"/>
      <c r="C1091" s="30"/>
      <c r="D1091" s="31"/>
      <c r="E1091" s="33">
        <f>IF(OR($D1091="",$K1091=""),"",IF(COUNTIFS(Payments!$G$5:$G$2500,$K1091,Payments!$C$5:$C$2500,"&lt;&gt;")=0,"",_xlfn.MAXIFS(Payments!$C$5:$C$2500,Payments!$G$5:$G$2500,$K1091)))</f>
      </c>
      <c r="F1091" s="34">
        <f>IF(OR($D1091="",$K1091=""),"",SUMIF(Payments!$G$5:$G$2500,$K1091,Payments!$D$5:$D$2500))</f>
      </c>
      <c r="G1091" s="36">
        <f>IF($D1091="","",ROUND($D1091-IF($F1091="",0,$F1091),2))</f>
      </c>
      <c r="H1091" s="35">
        <f>IF(OR($D1091="",$K1091=""),"",COUNTIF(Payments!$G$5:$G$2500,$K1091))</f>
      </c>
      <c r="I1091" s="37">
        <f>IF($D1091="","",IF(OR($F1091="",$F1091=0),"Pending",IF(ROUND($F1091-$D1091,2)&gt;0,"Overpaid",IF(ROUND($F1091-$D1091,2)=0,"Paid","Partial"))))</f>
      </c>
      <c r="J1091" s="29"/>
      <c r="K1091">
        <f>IF($A1091="","","#"&amp;TRIM(SUBSTITUTE(SUBSTITUTE(SUBSTITUTE(SUBSTITUTE(SUBSTITUTE(SUBSTITUTE($A1091,"-",""),"(",""),")",""),".",""),"+","")," ","")))</f>
      </c>
    </row>
    <row r="1092" spans="1:11" x14ac:dyDescent="0.3">
      <c r="A1092" s="28"/>
      <c r="B1092" s="29"/>
      <c r="C1092" s="30"/>
      <c r="D1092" s="31"/>
      <c r="E1092" s="33">
        <f>IF(OR($D1092="",$K1092=""),"",IF(COUNTIFS(Payments!$G$5:$G$2500,$K1092,Payments!$C$5:$C$2500,"&lt;&gt;")=0,"",_xlfn.MAXIFS(Payments!$C$5:$C$2500,Payments!$G$5:$G$2500,$K1092)))</f>
      </c>
      <c r="F1092" s="34">
        <f>IF(OR($D1092="",$K1092=""),"",SUMIF(Payments!$G$5:$G$2500,$K1092,Payments!$D$5:$D$2500))</f>
      </c>
      <c r="G1092" s="36">
        <f>IF($D1092="","",ROUND($D1092-IF($F1092="",0,$F1092),2))</f>
      </c>
      <c r="H1092" s="35">
        <f>IF(OR($D1092="",$K1092=""),"",COUNTIF(Payments!$G$5:$G$2500,$K1092))</f>
      </c>
      <c r="I1092" s="37">
        <f>IF($D1092="","",IF(OR($F1092="",$F1092=0),"Pending",IF(ROUND($F1092-$D1092,2)&gt;0,"Overpaid",IF(ROUND($F1092-$D1092,2)=0,"Paid","Partial"))))</f>
      </c>
      <c r="J1092" s="29"/>
      <c r="K1092">
        <f>IF($A1092="","","#"&amp;TRIM(SUBSTITUTE(SUBSTITUTE(SUBSTITUTE(SUBSTITUTE(SUBSTITUTE(SUBSTITUTE($A1092,"-",""),"(",""),")",""),".",""),"+","")," ","")))</f>
      </c>
    </row>
    <row r="1093" spans="1:11" x14ac:dyDescent="0.3">
      <c r="A1093" s="28"/>
      <c r="B1093" s="29"/>
      <c r="C1093" s="30"/>
      <c r="D1093" s="31"/>
      <c r="E1093" s="33">
        <f>IF(OR($D1093="",$K1093=""),"",IF(COUNTIFS(Payments!$G$5:$G$2500,$K1093,Payments!$C$5:$C$2500,"&lt;&gt;")=0,"",_xlfn.MAXIFS(Payments!$C$5:$C$2500,Payments!$G$5:$G$2500,$K1093)))</f>
      </c>
      <c r="F1093" s="34">
        <f>IF(OR($D1093="",$K1093=""),"",SUMIF(Payments!$G$5:$G$2500,$K1093,Payments!$D$5:$D$2500))</f>
      </c>
      <c r="G1093" s="36">
        <f>IF($D1093="","",ROUND($D1093-IF($F1093="",0,$F1093),2))</f>
      </c>
      <c r="H1093" s="35">
        <f>IF(OR($D1093="",$K1093=""),"",COUNTIF(Payments!$G$5:$G$2500,$K1093))</f>
      </c>
      <c r="I1093" s="37">
        <f>IF($D1093="","",IF(OR($F1093="",$F1093=0),"Pending",IF(ROUND($F1093-$D1093,2)&gt;0,"Overpaid",IF(ROUND($F1093-$D1093,2)=0,"Paid","Partial"))))</f>
      </c>
      <c r="J1093" s="29"/>
      <c r="K1093">
        <f>IF($A1093="","","#"&amp;TRIM(SUBSTITUTE(SUBSTITUTE(SUBSTITUTE(SUBSTITUTE(SUBSTITUTE(SUBSTITUTE($A1093,"-",""),"(",""),")",""),".",""),"+","")," ","")))</f>
      </c>
    </row>
    <row r="1094" spans="1:11" x14ac:dyDescent="0.3">
      <c r="A1094" s="28"/>
      <c r="B1094" s="29"/>
      <c r="C1094" s="30"/>
      <c r="D1094" s="31"/>
      <c r="E1094" s="33">
        <f>IF(OR($D1094="",$K1094=""),"",IF(COUNTIFS(Payments!$G$5:$G$2500,$K1094,Payments!$C$5:$C$2500,"&lt;&gt;")=0,"",_xlfn.MAXIFS(Payments!$C$5:$C$2500,Payments!$G$5:$G$2500,$K1094)))</f>
      </c>
      <c r="F1094" s="34">
        <f>IF(OR($D1094="",$K1094=""),"",SUMIF(Payments!$G$5:$G$2500,$K1094,Payments!$D$5:$D$2500))</f>
      </c>
      <c r="G1094" s="36">
        <f>IF($D1094="","",ROUND($D1094-IF($F1094="",0,$F1094),2))</f>
      </c>
      <c r="H1094" s="35">
        <f>IF(OR($D1094="",$K1094=""),"",COUNTIF(Payments!$G$5:$G$2500,$K1094))</f>
      </c>
      <c r="I1094" s="37">
        <f>IF($D1094="","",IF(OR($F1094="",$F1094=0),"Pending",IF(ROUND($F1094-$D1094,2)&gt;0,"Overpaid",IF(ROUND($F1094-$D1094,2)=0,"Paid","Partial"))))</f>
      </c>
      <c r="J1094" s="29"/>
      <c r="K1094">
        <f>IF($A1094="","","#"&amp;TRIM(SUBSTITUTE(SUBSTITUTE(SUBSTITUTE(SUBSTITUTE(SUBSTITUTE(SUBSTITUTE($A1094,"-",""),"(",""),")",""),".",""),"+","")," ","")))</f>
      </c>
    </row>
    <row r="1095" spans="1:11" x14ac:dyDescent="0.3">
      <c r="A1095" s="28"/>
      <c r="B1095" s="29"/>
      <c r="C1095" s="30"/>
      <c r="D1095" s="31"/>
      <c r="E1095" s="33">
        <f>IF(OR($D1095="",$K1095=""),"",IF(COUNTIFS(Payments!$G$5:$G$2500,$K1095,Payments!$C$5:$C$2500,"&lt;&gt;")=0,"",_xlfn.MAXIFS(Payments!$C$5:$C$2500,Payments!$G$5:$G$2500,$K1095)))</f>
      </c>
      <c r="F1095" s="34">
        <f>IF(OR($D1095="",$K1095=""),"",SUMIF(Payments!$G$5:$G$2500,$K1095,Payments!$D$5:$D$2500))</f>
      </c>
      <c r="G1095" s="36">
        <f>IF($D1095="","",ROUND($D1095-IF($F1095="",0,$F1095),2))</f>
      </c>
      <c r="H1095" s="35">
        <f>IF(OR($D1095="",$K1095=""),"",COUNTIF(Payments!$G$5:$G$2500,$K1095))</f>
      </c>
      <c r="I1095" s="37">
        <f>IF($D1095="","",IF(OR($F1095="",$F1095=0),"Pending",IF(ROUND($F1095-$D1095,2)&gt;0,"Overpaid",IF(ROUND($F1095-$D1095,2)=0,"Paid","Partial"))))</f>
      </c>
      <c r="J1095" s="29"/>
      <c r="K1095">
        <f>IF($A1095="","","#"&amp;TRIM(SUBSTITUTE(SUBSTITUTE(SUBSTITUTE(SUBSTITUTE(SUBSTITUTE(SUBSTITUTE($A1095,"-",""),"(",""),")",""),".",""),"+","")," ","")))</f>
      </c>
    </row>
    <row r="1096" spans="1:11" x14ac:dyDescent="0.3">
      <c r="A1096" s="28"/>
      <c r="B1096" s="29"/>
      <c r="C1096" s="30"/>
      <c r="D1096" s="31"/>
      <c r="E1096" s="33">
        <f>IF(OR($D1096="",$K1096=""),"",IF(COUNTIFS(Payments!$G$5:$G$2500,$K1096,Payments!$C$5:$C$2500,"&lt;&gt;")=0,"",_xlfn.MAXIFS(Payments!$C$5:$C$2500,Payments!$G$5:$G$2500,$K1096)))</f>
      </c>
      <c r="F1096" s="34">
        <f>IF(OR($D1096="",$K1096=""),"",SUMIF(Payments!$G$5:$G$2500,$K1096,Payments!$D$5:$D$2500))</f>
      </c>
      <c r="G1096" s="36">
        <f>IF($D1096="","",ROUND($D1096-IF($F1096="",0,$F1096),2))</f>
      </c>
      <c r="H1096" s="35">
        <f>IF(OR($D1096="",$K1096=""),"",COUNTIF(Payments!$G$5:$G$2500,$K1096))</f>
      </c>
      <c r="I1096" s="37">
        <f>IF($D1096="","",IF(OR($F1096="",$F1096=0),"Pending",IF(ROUND($F1096-$D1096,2)&gt;0,"Overpaid",IF(ROUND($F1096-$D1096,2)=0,"Paid","Partial"))))</f>
      </c>
      <c r="J1096" s="29"/>
      <c r="K1096">
        <f>IF($A1096="","","#"&amp;TRIM(SUBSTITUTE(SUBSTITUTE(SUBSTITUTE(SUBSTITUTE(SUBSTITUTE(SUBSTITUTE($A1096,"-",""),"(",""),")",""),".",""),"+","")," ","")))</f>
      </c>
    </row>
    <row r="1097" spans="1:11" x14ac:dyDescent="0.3">
      <c r="A1097" s="28"/>
      <c r="B1097" s="29"/>
      <c r="C1097" s="30"/>
      <c r="D1097" s="31"/>
      <c r="E1097" s="33">
        <f>IF(OR($D1097="",$K1097=""),"",IF(COUNTIFS(Payments!$G$5:$G$2500,$K1097,Payments!$C$5:$C$2500,"&lt;&gt;")=0,"",_xlfn.MAXIFS(Payments!$C$5:$C$2500,Payments!$G$5:$G$2500,$K1097)))</f>
      </c>
      <c r="F1097" s="34">
        <f>IF(OR($D1097="",$K1097=""),"",SUMIF(Payments!$G$5:$G$2500,$K1097,Payments!$D$5:$D$2500))</f>
      </c>
      <c r="G1097" s="36">
        <f>IF($D1097="","",ROUND($D1097-IF($F1097="",0,$F1097),2))</f>
      </c>
      <c r="H1097" s="35">
        <f>IF(OR($D1097="",$K1097=""),"",COUNTIF(Payments!$G$5:$G$2500,$K1097))</f>
      </c>
      <c r="I1097" s="37">
        <f>IF($D1097="","",IF(OR($F1097="",$F1097=0),"Pending",IF(ROUND($F1097-$D1097,2)&gt;0,"Overpaid",IF(ROUND($F1097-$D1097,2)=0,"Paid","Partial"))))</f>
      </c>
      <c r="J1097" s="29"/>
      <c r="K1097">
        <f>IF($A1097="","","#"&amp;TRIM(SUBSTITUTE(SUBSTITUTE(SUBSTITUTE(SUBSTITUTE(SUBSTITUTE(SUBSTITUTE($A1097,"-",""),"(",""),")",""),".",""),"+","")," ","")))</f>
      </c>
    </row>
    <row r="1098" spans="1:11" x14ac:dyDescent="0.3">
      <c r="A1098" s="28"/>
      <c r="B1098" s="29"/>
      <c r="C1098" s="30"/>
      <c r="D1098" s="31"/>
      <c r="E1098" s="33">
        <f>IF(OR($D1098="",$K1098=""),"",IF(COUNTIFS(Payments!$G$5:$G$2500,$K1098,Payments!$C$5:$C$2500,"&lt;&gt;")=0,"",_xlfn.MAXIFS(Payments!$C$5:$C$2500,Payments!$G$5:$G$2500,$K1098)))</f>
      </c>
      <c r="F1098" s="34">
        <f>IF(OR($D1098="",$K1098=""),"",SUMIF(Payments!$G$5:$G$2500,$K1098,Payments!$D$5:$D$2500))</f>
      </c>
      <c r="G1098" s="36">
        <f>IF($D1098="","",ROUND($D1098-IF($F1098="",0,$F1098),2))</f>
      </c>
      <c r="H1098" s="35">
        <f>IF(OR($D1098="",$K1098=""),"",COUNTIF(Payments!$G$5:$G$2500,$K1098))</f>
      </c>
      <c r="I1098" s="37">
        <f>IF($D1098="","",IF(OR($F1098="",$F1098=0),"Pending",IF(ROUND($F1098-$D1098,2)&gt;0,"Overpaid",IF(ROUND($F1098-$D1098,2)=0,"Paid","Partial"))))</f>
      </c>
      <c r="J1098" s="29"/>
      <c r="K1098">
        <f>IF($A1098="","","#"&amp;TRIM(SUBSTITUTE(SUBSTITUTE(SUBSTITUTE(SUBSTITUTE(SUBSTITUTE(SUBSTITUTE($A1098,"-",""),"(",""),")",""),".",""),"+","")," ","")))</f>
      </c>
    </row>
    <row r="1099" spans="1:11" x14ac:dyDescent="0.3">
      <c r="A1099" s="28"/>
      <c r="B1099" s="29"/>
      <c r="C1099" s="30"/>
      <c r="D1099" s="31"/>
      <c r="E1099" s="33">
        <f>IF(OR($D1099="",$K1099=""),"",IF(COUNTIFS(Payments!$G$5:$G$2500,$K1099,Payments!$C$5:$C$2500,"&lt;&gt;")=0,"",_xlfn.MAXIFS(Payments!$C$5:$C$2500,Payments!$G$5:$G$2500,$K1099)))</f>
      </c>
      <c r="F1099" s="34">
        <f>IF(OR($D1099="",$K1099=""),"",SUMIF(Payments!$G$5:$G$2500,$K1099,Payments!$D$5:$D$2500))</f>
      </c>
      <c r="G1099" s="36">
        <f>IF($D1099="","",ROUND($D1099-IF($F1099="",0,$F1099),2))</f>
      </c>
      <c r="H1099" s="35">
        <f>IF(OR($D1099="",$K1099=""),"",COUNTIF(Payments!$G$5:$G$2500,$K1099))</f>
      </c>
      <c r="I1099" s="37">
        <f>IF($D1099="","",IF(OR($F1099="",$F1099=0),"Pending",IF(ROUND($F1099-$D1099,2)&gt;0,"Overpaid",IF(ROUND($F1099-$D1099,2)=0,"Paid","Partial"))))</f>
      </c>
      <c r="J1099" s="29"/>
      <c r="K1099">
        <f>IF($A1099="","","#"&amp;TRIM(SUBSTITUTE(SUBSTITUTE(SUBSTITUTE(SUBSTITUTE(SUBSTITUTE(SUBSTITUTE($A1099,"-",""),"(",""),")",""),".",""),"+","")," ","")))</f>
      </c>
    </row>
    <row r="1100" spans="1:11" x14ac:dyDescent="0.3">
      <c r="A1100" s="28"/>
      <c r="B1100" s="29"/>
      <c r="C1100" s="30"/>
      <c r="D1100" s="31"/>
      <c r="E1100" s="33">
        <f>IF(OR($D1100="",$K1100=""),"",IF(COUNTIFS(Payments!$G$5:$G$2500,$K1100,Payments!$C$5:$C$2500,"&lt;&gt;")=0,"",_xlfn.MAXIFS(Payments!$C$5:$C$2500,Payments!$G$5:$G$2500,$K1100)))</f>
      </c>
      <c r="F1100" s="34">
        <f>IF(OR($D1100="",$K1100=""),"",SUMIF(Payments!$G$5:$G$2500,$K1100,Payments!$D$5:$D$2500))</f>
      </c>
      <c r="G1100" s="36">
        <f>IF($D1100="","",ROUND($D1100-IF($F1100="",0,$F1100),2))</f>
      </c>
      <c r="H1100" s="35">
        <f>IF(OR($D1100="",$K1100=""),"",COUNTIF(Payments!$G$5:$G$2500,$K1100))</f>
      </c>
      <c r="I1100" s="37">
        <f>IF($D1100="","",IF(OR($F1100="",$F1100=0),"Pending",IF(ROUND($F1100-$D1100,2)&gt;0,"Overpaid",IF(ROUND($F1100-$D1100,2)=0,"Paid","Partial"))))</f>
      </c>
      <c r="J1100" s="29"/>
      <c r="K1100">
        <f>IF($A1100="","","#"&amp;TRIM(SUBSTITUTE(SUBSTITUTE(SUBSTITUTE(SUBSTITUTE(SUBSTITUTE(SUBSTITUTE($A1100,"-",""),"(",""),")",""),".",""),"+","")," ","")))</f>
      </c>
    </row>
    <row r="1101" spans="1:11" x14ac:dyDescent="0.3">
      <c r="A1101" s="28"/>
      <c r="B1101" s="29"/>
      <c r="C1101" s="30"/>
      <c r="D1101" s="31"/>
      <c r="E1101" s="33">
        <f>IF(OR($D1101="",$K1101=""),"",IF(COUNTIFS(Payments!$G$5:$G$2500,$K1101,Payments!$C$5:$C$2500,"&lt;&gt;")=0,"",_xlfn.MAXIFS(Payments!$C$5:$C$2500,Payments!$G$5:$G$2500,$K1101)))</f>
      </c>
      <c r="F1101" s="34">
        <f>IF(OR($D1101="",$K1101=""),"",SUMIF(Payments!$G$5:$G$2500,$K1101,Payments!$D$5:$D$2500))</f>
      </c>
      <c r="G1101" s="36">
        <f>IF($D1101="","",ROUND($D1101-IF($F1101="",0,$F1101),2))</f>
      </c>
      <c r="H1101" s="35">
        <f>IF(OR($D1101="",$K1101=""),"",COUNTIF(Payments!$G$5:$G$2500,$K1101))</f>
      </c>
      <c r="I1101" s="37">
        <f>IF($D1101="","",IF(OR($F1101="",$F1101=0),"Pending",IF(ROUND($F1101-$D1101,2)&gt;0,"Overpaid",IF(ROUND($F1101-$D1101,2)=0,"Paid","Partial"))))</f>
      </c>
      <c r="J1101" s="29"/>
      <c r="K1101">
        <f>IF($A1101="","","#"&amp;TRIM(SUBSTITUTE(SUBSTITUTE(SUBSTITUTE(SUBSTITUTE(SUBSTITUTE(SUBSTITUTE($A1101,"-",""),"(",""),")",""),".",""),"+","")," ","")))</f>
      </c>
    </row>
    <row r="1102" spans="1:11" x14ac:dyDescent="0.3">
      <c r="A1102" s="28"/>
      <c r="B1102" s="29"/>
      <c r="C1102" s="30"/>
      <c r="D1102" s="31"/>
      <c r="E1102" s="33">
        <f>IF(OR($D1102="",$K1102=""),"",IF(COUNTIFS(Payments!$G$5:$G$2500,$K1102,Payments!$C$5:$C$2500,"&lt;&gt;")=0,"",_xlfn.MAXIFS(Payments!$C$5:$C$2500,Payments!$G$5:$G$2500,$K1102)))</f>
      </c>
      <c r="F1102" s="34">
        <f>IF(OR($D1102="",$K1102=""),"",SUMIF(Payments!$G$5:$G$2500,$K1102,Payments!$D$5:$D$2500))</f>
      </c>
      <c r="G1102" s="36">
        <f>IF($D1102="","",ROUND($D1102-IF($F1102="",0,$F1102),2))</f>
      </c>
      <c r="H1102" s="35">
        <f>IF(OR($D1102="",$K1102=""),"",COUNTIF(Payments!$G$5:$G$2500,$K1102))</f>
      </c>
      <c r="I1102" s="37">
        <f>IF($D1102="","",IF(OR($F1102="",$F1102=0),"Pending",IF(ROUND($F1102-$D1102,2)&gt;0,"Overpaid",IF(ROUND($F1102-$D1102,2)=0,"Paid","Partial"))))</f>
      </c>
      <c r="J1102" s="29"/>
      <c r="K1102">
        <f>IF($A1102="","","#"&amp;TRIM(SUBSTITUTE(SUBSTITUTE(SUBSTITUTE(SUBSTITUTE(SUBSTITUTE(SUBSTITUTE($A1102,"-",""),"(",""),")",""),".",""),"+","")," ","")))</f>
      </c>
    </row>
    <row r="1103" spans="1:11" x14ac:dyDescent="0.3">
      <c r="A1103" s="28"/>
      <c r="B1103" s="29"/>
      <c r="C1103" s="30"/>
      <c r="D1103" s="31"/>
      <c r="E1103" s="33">
        <f>IF(OR($D1103="",$K1103=""),"",IF(COUNTIFS(Payments!$G$5:$G$2500,$K1103,Payments!$C$5:$C$2500,"&lt;&gt;")=0,"",_xlfn.MAXIFS(Payments!$C$5:$C$2500,Payments!$G$5:$G$2500,$K1103)))</f>
      </c>
      <c r="F1103" s="34">
        <f>IF(OR($D1103="",$K1103=""),"",SUMIF(Payments!$G$5:$G$2500,$K1103,Payments!$D$5:$D$2500))</f>
      </c>
      <c r="G1103" s="36">
        <f>IF($D1103="","",ROUND($D1103-IF($F1103="",0,$F1103),2))</f>
      </c>
      <c r="H1103" s="35">
        <f>IF(OR($D1103="",$K1103=""),"",COUNTIF(Payments!$G$5:$G$2500,$K1103))</f>
      </c>
      <c r="I1103" s="37">
        <f>IF($D1103="","",IF(OR($F1103="",$F1103=0),"Pending",IF(ROUND($F1103-$D1103,2)&gt;0,"Overpaid",IF(ROUND($F1103-$D1103,2)=0,"Paid","Partial"))))</f>
      </c>
      <c r="J1103" s="29"/>
      <c r="K1103">
        <f>IF($A1103="","","#"&amp;TRIM(SUBSTITUTE(SUBSTITUTE(SUBSTITUTE(SUBSTITUTE(SUBSTITUTE(SUBSTITUTE($A1103,"-",""),"(",""),")",""),".",""),"+","")," ","")))</f>
      </c>
    </row>
    <row r="1104" spans="1:11" x14ac:dyDescent="0.3">
      <c r="A1104" s="28"/>
      <c r="B1104" s="29"/>
      <c r="C1104" s="30"/>
      <c r="D1104" s="31"/>
      <c r="E1104" s="33">
        <f>IF(OR($D1104="",$K1104=""),"",IF(COUNTIFS(Payments!$G$5:$G$2500,$K1104,Payments!$C$5:$C$2500,"&lt;&gt;")=0,"",_xlfn.MAXIFS(Payments!$C$5:$C$2500,Payments!$G$5:$G$2500,$K1104)))</f>
      </c>
      <c r="F1104" s="34">
        <f>IF(OR($D1104="",$K1104=""),"",SUMIF(Payments!$G$5:$G$2500,$K1104,Payments!$D$5:$D$2500))</f>
      </c>
      <c r="G1104" s="36">
        <f>IF($D1104="","",ROUND($D1104-IF($F1104="",0,$F1104),2))</f>
      </c>
      <c r="H1104" s="35">
        <f>IF(OR($D1104="",$K1104=""),"",COUNTIF(Payments!$G$5:$G$2500,$K1104))</f>
      </c>
      <c r="I1104" s="37">
        <f>IF($D1104="","",IF(OR($F1104="",$F1104=0),"Pending",IF(ROUND($F1104-$D1104,2)&gt;0,"Overpaid",IF(ROUND($F1104-$D1104,2)=0,"Paid","Partial"))))</f>
      </c>
      <c r="J1104" s="29"/>
      <c r="K1104">
        <f>IF($A1104="","","#"&amp;TRIM(SUBSTITUTE(SUBSTITUTE(SUBSTITUTE(SUBSTITUTE(SUBSTITUTE(SUBSTITUTE($A1104,"-",""),"(",""),")",""),".",""),"+","")," ","")))</f>
      </c>
    </row>
    <row r="1105" spans="1:11" x14ac:dyDescent="0.3">
      <c r="A1105" s="28"/>
      <c r="B1105" s="29"/>
      <c r="C1105" s="30"/>
      <c r="D1105" s="31"/>
      <c r="E1105" s="33">
        <f>IF(OR($D1105="",$K1105=""),"",IF(COUNTIFS(Payments!$G$5:$G$2500,$K1105,Payments!$C$5:$C$2500,"&lt;&gt;")=0,"",_xlfn.MAXIFS(Payments!$C$5:$C$2500,Payments!$G$5:$G$2500,$K1105)))</f>
      </c>
      <c r="F1105" s="34">
        <f>IF(OR($D1105="",$K1105=""),"",SUMIF(Payments!$G$5:$G$2500,$K1105,Payments!$D$5:$D$2500))</f>
      </c>
      <c r="G1105" s="36">
        <f>IF($D1105="","",ROUND($D1105-IF($F1105="",0,$F1105),2))</f>
      </c>
      <c r="H1105" s="35">
        <f>IF(OR($D1105="",$K1105=""),"",COUNTIF(Payments!$G$5:$G$2500,$K1105))</f>
      </c>
      <c r="I1105" s="37">
        <f>IF($D1105="","",IF(OR($F1105="",$F1105=0),"Pending",IF(ROUND($F1105-$D1105,2)&gt;0,"Overpaid",IF(ROUND($F1105-$D1105,2)=0,"Paid","Partial"))))</f>
      </c>
      <c r="J1105" s="29"/>
      <c r="K1105">
        <f>IF($A1105="","","#"&amp;TRIM(SUBSTITUTE(SUBSTITUTE(SUBSTITUTE(SUBSTITUTE(SUBSTITUTE(SUBSTITUTE($A1105,"-",""),"(",""),")",""),".",""),"+","")," ","")))</f>
      </c>
    </row>
    <row r="1106" spans="1:11" x14ac:dyDescent="0.3">
      <c r="A1106" s="28"/>
      <c r="B1106" s="29"/>
      <c r="C1106" s="30"/>
      <c r="D1106" s="31"/>
      <c r="E1106" s="33">
        <f>IF(OR($D1106="",$K1106=""),"",IF(COUNTIFS(Payments!$G$5:$G$2500,$K1106,Payments!$C$5:$C$2500,"&lt;&gt;")=0,"",_xlfn.MAXIFS(Payments!$C$5:$C$2500,Payments!$G$5:$G$2500,$K1106)))</f>
      </c>
      <c r="F1106" s="34">
        <f>IF(OR($D1106="",$K1106=""),"",SUMIF(Payments!$G$5:$G$2500,$K1106,Payments!$D$5:$D$2500))</f>
      </c>
      <c r="G1106" s="36">
        <f>IF($D1106="","",ROUND($D1106-IF($F1106="",0,$F1106),2))</f>
      </c>
      <c r="H1106" s="35">
        <f>IF(OR($D1106="",$K1106=""),"",COUNTIF(Payments!$G$5:$G$2500,$K1106))</f>
      </c>
      <c r="I1106" s="37">
        <f>IF($D1106="","",IF(OR($F1106="",$F1106=0),"Pending",IF(ROUND($F1106-$D1106,2)&gt;0,"Overpaid",IF(ROUND($F1106-$D1106,2)=0,"Paid","Partial"))))</f>
      </c>
      <c r="J1106" s="29"/>
      <c r="K1106">
        <f>IF($A1106="","","#"&amp;TRIM(SUBSTITUTE(SUBSTITUTE(SUBSTITUTE(SUBSTITUTE(SUBSTITUTE(SUBSTITUTE($A1106,"-",""),"(",""),")",""),".",""),"+","")," ","")))</f>
      </c>
    </row>
    <row r="1107" spans="1:11" x14ac:dyDescent="0.3">
      <c r="A1107" s="28"/>
      <c r="B1107" s="29"/>
      <c r="C1107" s="30"/>
      <c r="D1107" s="31"/>
      <c r="E1107" s="33">
        <f>IF(OR($D1107="",$K1107=""),"",IF(COUNTIFS(Payments!$G$5:$G$2500,$K1107,Payments!$C$5:$C$2500,"&lt;&gt;")=0,"",_xlfn.MAXIFS(Payments!$C$5:$C$2500,Payments!$G$5:$G$2500,$K1107)))</f>
      </c>
      <c r="F1107" s="34">
        <f>IF(OR($D1107="",$K1107=""),"",SUMIF(Payments!$G$5:$G$2500,$K1107,Payments!$D$5:$D$2500))</f>
      </c>
      <c r="G1107" s="36">
        <f>IF($D1107="","",ROUND($D1107-IF($F1107="",0,$F1107),2))</f>
      </c>
      <c r="H1107" s="35">
        <f>IF(OR($D1107="",$K1107=""),"",COUNTIF(Payments!$G$5:$G$2500,$K1107))</f>
      </c>
      <c r="I1107" s="37">
        <f>IF($D1107="","",IF(OR($F1107="",$F1107=0),"Pending",IF(ROUND($F1107-$D1107,2)&gt;0,"Overpaid",IF(ROUND($F1107-$D1107,2)=0,"Paid","Partial"))))</f>
      </c>
      <c r="J1107" s="29"/>
      <c r="K1107">
        <f>IF($A1107="","","#"&amp;TRIM(SUBSTITUTE(SUBSTITUTE(SUBSTITUTE(SUBSTITUTE(SUBSTITUTE(SUBSTITUTE($A1107,"-",""),"(",""),")",""),".",""),"+","")," ","")))</f>
      </c>
    </row>
    <row r="1108" spans="1:11" x14ac:dyDescent="0.3">
      <c r="A1108" s="28"/>
      <c r="B1108" s="29"/>
      <c r="C1108" s="30"/>
      <c r="D1108" s="31"/>
      <c r="E1108" s="33">
        <f>IF(OR($D1108="",$K1108=""),"",IF(COUNTIFS(Payments!$G$5:$G$2500,$K1108,Payments!$C$5:$C$2500,"&lt;&gt;")=0,"",_xlfn.MAXIFS(Payments!$C$5:$C$2500,Payments!$G$5:$G$2500,$K1108)))</f>
      </c>
      <c r="F1108" s="34">
        <f>IF(OR($D1108="",$K1108=""),"",SUMIF(Payments!$G$5:$G$2500,$K1108,Payments!$D$5:$D$2500))</f>
      </c>
      <c r="G1108" s="36">
        <f>IF($D1108="","",ROUND($D1108-IF($F1108="",0,$F1108),2))</f>
      </c>
      <c r="H1108" s="35">
        <f>IF(OR($D1108="",$K1108=""),"",COUNTIF(Payments!$G$5:$G$2500,$K1108))</f>
      </c>
      <c r="I1108" s="37">
        <f>IF($D1108="","",IF(OR($F1108="",$F1108=0),"Pending",IF(ROUND($F1108-$D1108,2)&gt;0,"Overpaid",IF(ROUND($F1108-$D1108,2)=0,"Paid","Partial"))))</f>
      </c>
      <c r="J1108" s="29"/>
      <c r="K1108">
        <f>IF($A1108="","","#"&amp;TRIM(SUBSTITUTE(SUBSTITUTE(SUBSTITUTE(SUBSTITUTE(SUBSTITUTE(SUBSTITUTE($A1108,"-",""),"(",""),")",""),".",""),"+","")," ","")))</f>
      </c>
    </row>
    <row r="1109" spans="1:11" x14ac:dyDescent="0.3">
      <c r="A1109" s="28"/>
      <c r="B1109" s="29"/>
      <c r="C1109" s="30"/>
      <c r="D1109" s="31"/>
      <c r="E1109" s="33">
        <f>IF(OR($D1109="",$K1109=""),"",IF(COUNTIFS(Payments!$G$5:$G$2500,$K1109,Payments!$C$5:$C$2500,"&lt;&gt;")=0,"",_xlfn.MAXIFS(Payments!$C$5:$C$2500,Payments!$G$5:$G$2500,$K1109)))</f>
      </c>
      <c r="F1109" s="34">
        <f>IF(OR($D1109="",$K1109=""),"",SUMIF(Payments!$G$5:$G$2500,$K1109,Payments!$D$5:$D$2500))</f>
      </c>
      <c r="G1109" s="36">
        <f>IF($D1109="","",ROUND($D1109-IF($F1109="",0,$F1109),2))</f>
      </c>
      <c r="H1109" s="35">
        <f>IF(OR($D1109="",$K1109=""),"",COUNTIF(Payments!$G$5:$G$2500,$K1109))</f>
      </c>
      <c r="I1109" s="37">
        <f>IF($D1109="","",IF(OR($F1109="",$F1109=0),"Pending",IF(ROUND($F1109-$D1109,2)&gt;0,"Overpaid",IF(ROUND($F1109-$D1109,2)=0,"Paid","Partial"))))</f>
      </c>
      <c r="J1109" s="29"/>
      <c r="K1109">
        <f>IF($A1109="","","#"&amp;TRIM(SUBSTITUTE(SUBSTITUTE(SUBSTITUTE(SUBSTITUTE(SUBSTITUTE(SUBSTITUTE($A1109,"-",""),"(",""),")",""),".",""),"+","")," ","")))</f>
      </c>
    </row>
    <row r="1110" spans="1:11" x14ac:dyDescent="0.3">
      <c r="A1110" s="28"/>
      <c r="B1110" s="29"/>
      <c r="C1110" s="30"/>
      <c r="D1110" s="31"/>
      <c r="E1110" s="33">
        <f>IF(OR($D1110="",$K1110=""),"",IF(COUNTIFS(Payments!$G$5:$G$2500,$K1110,Payments!$C$5:$C$2500,"&lt;&gt;")=0,"",_xlfn.MAXIFS(Payments!$C$5:$C$2500,Payments!$G$5:$G$2500,$K1110)))</f>
      </c>
      <c r="F1110" s="34">
        <f>IF(OR($D1110="",$K1110=""),"",SUMIF(Payments!$G$5:$G$2500,$K1110,Payments!$D$5:$D$2500))</f>
      </c>
      <c r="G1110" s="36">
        <f>IF($D1110="","",ROUND($D1110-IF($F1110="",0,$F1110),2))</f>
      </c>
      <c r="H1110" s="35">
        <f>IF(OR($D1110="",$K1110=""),"",COUNTIF(Payments!$G$5:$G$2500,$K1110))</f>
      </c>
      <c r="I1110" s="37">
        <f>IF($D1110="","",IF(OR($F1110="",$F1110=0),"Pending",IF(ROUND($F1110-$D1110,2)&gt;0,"Overpaid",IF(ROUND($F1110-$D1110,2)=0,"Paid","Partial"))))</f>
      </c>
      <c r="J1110" s="29"/>
      <c r="K1110">
        <f>IF($A1110="","","#"&amp;TRIM(SUBSTITUTE(SUBSTITUTE(SUBSTITUTE(SUBSTITUTE(SUBSTITUTE(SUBSTITUTE($A1110,"-",""),"(",""),")",""),".",""),"+","")," ","")))</f>
      </c>
    </row>
    <row r="1111" spans="1:11" x14ac:dyDescent="0.3">
      <c r="A1111" s="28"/>
      <c r="B1111" s="29"/>
      <c r="C1111" s="30"/>
      <c r="D1111" s="31"/>
      <c r="E1111" s="33">
        <f>IF(OR($D1111="",$K1111=""),"",IF(COUNTIFS(Payments!$G$5:$G$2500,$K1111,Payments!$C$5:$C$2500,"&lt;&gt;")=0,"",_xlfn.MAXIFS(Payments!$C$5:$C$2500,Payments!$G$5:$G$2500,$K1111)))</f>
      </c>
      <c r="F1111" s="34">
        <f>IF(OR($D1111="",$K1111=""),"",SUMIF(Payments!$G$5:$G$2500,$K1111,Payments!$D$5:$D$2500))</f>
      </c>
      <c r="G1111" s="36">
        <f>IF($D1111="","",ROUND($D1111-IF($F1111="",0,$F1111),2))</f>
      </c>
      <c r="H1111" s="35">
        <f>IF(OR($D1111="",$K1111=""),"",COUNTIF(Payments!$G$5:$G$2500,$K1111))</f>
      </c>
      <c r="I1111" s="37">
        <f>IF($D1111="","",IF(OR($F1111="",$F1111=0),"Pending",IF(ROUND($F1111-$D1111,2)&gt;0,"Overpaid",IF(ROUND($F1111-$D1111,2)=0,"Paid","Partial"))))</f>
      </c>
      <c r="J1111" s="29"/>
      <c r="K1111">
        <f>IF($A1111="","","#"&amp;TRIM(SUBSTITUTE(SUBSTITUTE(SUBSTITUTE(SUBSTITUTE(SUBSTITUTE(SUBSTITUTE($A1111,"-",""),"(",""),")",""),".",""),"+","")," ","")))</f>
      </c>
    </row>
    <row r="1112" spans="1:11" x14ac:dyDescent="0.3">
      <c r="A1112" s="28"/>
      <c r="B1112" s="29"/>
      <c r="C1112" s="30"/>
      <c r="D1112" s="31"/>
      <c r="E1112" s="33">
        <f>IF(OR($D1112="",$K1112=""),"",IF(COUNTIFS(Payments!$G$5:$G$2500,$K1112,Payments!$C$5:$C$2500,"&lt;&gt;")=0,"",_xlfn.MAXIFS(Payments!$C$5:$C$2500,Payments!$G$5:$G$2500,$K1112)))</f>
      </c>
      <c r="F1112" s="34">
        <f>IF(OR($D1112="",$K1112=""),"",SUMIF(Payments!$G$5:$G$2500,$K1112,Payments!$D$5:$D$2500))</f>
      </c>
      <c r="G1112" s="36">
        <f>IF($D1112="","",ROUND($D1112-IF($F1112="",0,$F1112),2))</f>
      </c>
      <c r="H1112" s="35">
        <f>IF(OR($D1112="",$K1112=""),"",COUNTIF(Payments!$G$5:$G$2500,$K1112))</f>
      </c>
      <c r="I1112" s="37">
        <f>IF($D1112="","",IF(OR($F1112="",$F1112=0),"Pending",IF(ROUND($F1112-$D1112,2)&gt;0,"Overpaid",IF(ROUND($F1112-$D1112,2)=0,"Paid","Partial"))))</f>
      </c>
      <c r="J1112" s="29"/>
      <c r="K1112">
        <f>IF($A1112="","","#"&amp;TRIM(SUBSTITUTE(SUBSTITUTE(SUBSTITUTE(SUBSTITUTE(SUBSTITUTE(SUBSTITUTE($A1112,"-",""),"(",""),")",""),".",""),"+","")," ","")))</f>
      </c>
    </row>
    <row r="1113" spans="1:11" x14ac:dyDescent="0.3">
      <c r="A1113" s="28"/>
      <c r="B1113" s="29"/>
      <c r="C1113" s="30"/>
      <c r="D1113" s="31"/>
      <c r="E1113" s="33">
        <f>IF(OR($D1113="",$K1113=""),"",IF(COUNTIFS(Payments!$G$5:$G$2500,$K1113,Payments!$C$5:$C$2500,"&lt;&gt;")=0,"",_xlfn.MAXIFS(Payments!$C$5:$C$2500,Payments!$G$5:$G$2500,$K1113)))</f>
      </c>
      <c r="F1113" s="34">
        <f>IF(OR($D1113="",$K1113=""),"",SUMIF(Payments!$G$5:$G$2500,$K1113,Payments!$D$5:$D$2500))</f>
      </c>
      <c r="G1113" s="36">
        <f>IF($D1113="","",ROUND($D1113-IF($F1113="",0,$F1113),2))</f>
      </c>
      <c r="H1113" s="35">
        <f>IF(OR($D1113="",$K1113=""),"",COUNTIF(Payments!$G$5:$G$2500,$K1113))</f>
      </c>
      <c r="I1113" s="37">
        <f>IF($D1113="","",IF(OR($F1113="",$F1113=0),"Pending",IF(ROUND($F1113-$D1113,2)&gt;0,"Overpaid",IF(ROUND($F1113-$D1113,2)=0,"Paid","Partial"))))</f>
      </c>
      <c r="J1113" s="29"/>
      <c r="K1113">
        <f>IF($A1113="","","#"&amp;TRIM(SUBSTITUTE(SUBSTITUTE(SUBSTITUTE(SUBSTITUTE(SUBSTITUTE(SUBSTITUTE($A1113,"-",""),"(",""),")",""),".",""),"+","")," ","")))</f>
      </c>
    </row>
    <row r="1114" spans="1:11" x14ac:dyDescent="0.3">
      <c r="A1114" s="28"/>
      <c r="B1114" s="29"/>
      <c r="C1114" s="30"/>
      <c r="D1114" s="31"/>
      <c r="E1114" s="33">
        <f>IF(OR($D1114="",$K1114=""),"",IF(COUNTIFS(Payments!$G$5:$G$2500,$K1114,Payments!$C$5:$C$2500,"&lt;&gt;")=0,"",_xlfn.MAXIFS(Payments!$C$5:$C$2500,Payments!$G$5:$G$2500,$K1114)))</f>
      </c>
      <c r="F1114" s="34">
        <f>IF(OR($D1114="",$K1114=""),"",SUMIF(Payments!$G$5:$G$2500,$K1114,Payments!$D$5:$D$2500))</f>
      </c>
      <c r="G1114" s="36">
        <f>IF($D1114="","",ROUND($D1114-IF($F1114="",0,$F1114),2))</f>
      </c>
      <c r="H1114" s="35">
        <f>IF(OR($D1114="",$K1114=""),"",COUNTIF(Payments!$G$5:$G$2500,$K1114))</f>
      </c>
      <c r="I1114" s="37">
        <f>IF($D1114="","",IF(OR($F1114="",$F1114=0),"Pending",IF(ROUND($F1114-$D1114,2)&gt;0,"Overpaid",IF(ROUND($F1114-$D1114,2)=0,"Paid","Partial"))))</f>
      </c>
      <c r="J1114" s="29"/>
      <c r="K1114">
        <f>IF($A1114="","","#"&amp;TRIM(SUBSTITUTE(SUBSTITUTE(SUBSTITUTE(SUBSTITUTE(SUBSTITUTE(SUBSTITUTE($A1114,"-",""),"(",""),")",""),".",""),"+","")," ","")))</f>
      </c>
    </row>
    <row r="1115" spans="1:11" x14ac:dyDescent="0.3">
      <c r="A1115" s="28"/>
      <c r="B1115" s="29"/>
      <c r="C1115" s="30"/>
      <c r="D1115" s="31"/>
      <c r="E1115" s="33">
        <f>IF(OR($D1115="",$K1115=""),"",IF(COUNTIFS(Payments!$G$5:$G$2500,$K1115,Payments!$C$5:$C$2500,"&lt;&gt;")=0,"",_xlfn.MAXIFS(Payments!$C$5:$C$2500,Payments!$G$5:$G$2500,$K1115)))</f>
      </c>
      <c r="F1115" s="34">
        <f>IF(OR($D1115="",$K1115=""),"",SUMIF(Payments!$G$5:$G$2500,$K1115,Payments!$D$5:$D$2500))</f>
      </c>
      <c r="G1115" s="36">
        <f>IF($D1115="","",ROUND($D1115-IF($F1115="",0,$F1115),2))</f>
      </c>
      <c r="H1115" s="35">
        <f>IF(OR($D1115="",$K1115=""),"",COUNTIF(Payments!$G$5:$G$2500,$K1115))</f>
      </c>
      <c r="I1115" s="37">
        <f>IF($D1115="","",IF(OR($F1115="",$F1115=0),"Pending",IF(ROUND($F1115-$D1115,2)&gt;0,"Overpaid",IF(ROUND($F1115-$D1115,2)=0,"Paid","Partial"))))</f>
      </c>
      <c r="J1115" s="29"/>
      <c r="K1115">
        <f>IF($A1115="","","#"&amp;TRIM(SUBSTITUTE(SUBSTITUTE(SUBSTITUTE(SUBSTITUTE(SUBSTITUTE(SUBSTITUTE($A1115,"-",""),"(",""),")",""),".",""),"+","")," ","")))</f>
      </c>
    </row>
    <row r="1116" spans="1:11" x14ac:dyDescent="0.3">
      <c r="A1116" s="28"/>
      <c r="B1116" s="29"/>
      <c r="C1116" s="30"/>
      <c r="D1116" s="31"/>
      <c r="E1116" s="33">
        <f>IF(OR($D1116="",$K1116=""),"",IF(COUNTIFS(Payments!$G$5:$G$2500,$K1116,Payments!$C$5:$C$2500,"&lt;&gt;")=0,"",_xlfn.MAXIFS(Payments!$C$5:$C$2500,Payments!$G$5:$G$2500,$K1116)))</f>
      </c>
      <c r="F1116" s="34">
        <f>IF(OR($D1116="",$K1116=""),"",SUMIF(Payments!$G$5:$G$2500,$K1116,Payments!$D$5:$D$2500))</f>
      </c>
      <c r="G1116" s="36">
        <f>IF($D1116="","",ROUND($D1116-IF($F1116="",0,$F1116),2))</f>
      </c>
      <c r="H1116" s="35">
        <f>IF(OR($D1116="",$K1116=""),"",COUNTIF(Payments!$G$5:$G$2500,$K1116))</f>
      </c>
      <c r="I1116" s="37">
        <f>IF($D1116="","",IF(OR($F1116="",$F1116=0),"Pending",IF(ROUND($F1116-$D1116,2)&gt;0,"Overpaid",IF(ROUND($F1116-$D1116,2)=0,"Paid","Partial"))))</f>
      </c>
      <c r="J1116" s="29"/>
      <c r="K1116">
        <f>IF($A1116="","","#"&amp;TRIM(SUBSTITUTE(SUBSTITUTE(SUBSTITUTE(SUBSTITUTE(SUBSTITUTE(SUBSTITUTE($A1116,"-",""),"(",""),")",""),".",""),"+","")," ","")))</f>
      </c>
    </row>
    <row r="1117" spans="1:11" x14ac:dyDescent="0.3">
      <c r="A1117" s="28"/>
      <c r="B1117" s="29"/>
      <c r="C1117" s="30"/>
      <c r="D1117" s="31"/>
      <c r="E1117" s="33">
        <f>IF(OR($D1117="",$K1117=""),"",IF(COUNTIFS(Payments!$G$5:$G$2500,$K1117,Payments!$C$5:$C$2500,"&lt;&gt;")=0,"",_xlfn.MAXIFS(Payments!$C$5:$C$2500,Payments!$G$5:$G$2500,$K1117)))</f>
      </c>
      <c r="F1117" s="34">
        <f>IF(OR($D1117="",$K1117=""),"",SUMIF(Payments!$G$5:$G$2500,$K1117,Payments!$D$5:$D$2500))</f>
      </c>
      <c r="G1117" s="36">
        <f>IF($D1117="","",ROUND($D1117-IF($F1117="",0,$F1117),2))</f>
      </c>
      <c r="H1117" s="35">
        <f>IF(OR($D1117="",$K1117=""),"",COUNTIF(Payments!$G$5:$G$2500,$K1117))</f>
      </c>
      <c r="I1117" s="37">
        <f>IF($D1117="","",IF(OR($F1117="",$F1117=0),"Pending",IF(ROUND($F1117-$D1117,2)&gt;0,"Overpaid",IF(ROUND($F1117-$D1117,2)=0,"Paid","Partial"))))</f>
      </c>
      <c r="J1117" s="29"/>
      <c r="K1117">
        <f>IF($A1117="","","#"&amp;TRIM(SUBSTITUTE(SUBSTITUTE(SUBSTITUTE(SUBSTITUTE(SUBSTITUTE(SUBSTITUTE($A1117,"-",""),"(",""),")",""),".",""),"+","")," ","")))</f>
      </c>
    </row>
    <row r="1118" spans="1:11" x14ac:dyDescent="0.3">
      <c r="A1118" s="28"/>
      <c r="B1118" s="29"/>
      <c r="C1118" s="30"/>
      <c r="D1118" s="31"/>
      <c r="E1118" s="33">
        <f>IF(OR($D1118="",$K1118=""),"",IF(COUNTIFS(Payments!$G$5:$G$2500,$K1118,Payments!$C$5:$C$2500,"&lt;&gt;")=0,"",_xlfn.MAXIFS(Payments!$C$5:$C$2500,Payments!$G$5:$G$2500,$K1118)))</f>
      </c>
      <c r="F1118" s="34">
        <f>IF(OR($D1118="",$K1118=""),"",SUMIF(Payments!$G$5:$G$2500,$K1118,Payments!$D$5:$D$2500))</f>
      </c>
      <c r="G1118" s="36">
        <f>IF($D1118="","",ROUND($D1118-IF($F1118="",0,$F1118),2))</f>
      </c>
      <c r="H1118" s="35">
        <f>IF(OR($D1118="",$K1118=""),"",COUNTIF(Payments!$G$5:$G$2500,$K1118))</f>
      </c>
      <c r="I1118" s="37">
        <f>IF($D1118="","",IF(OR($F1118="",$F1118=0),"Pending",IF(ROUND($F1118-$D1118,2)&gt;0,"Overpaid",IF(ROUND($F1118-$D1118,2)=0,"Paid","Partial"))))</f>
      </c>
      <c r="J1118" s="29"/>
      <c r="K1118">
        <f>IF($A1118="","","#"&amp;TRIM(SUBSTITUTE(SUBSTITUTE(SUBSTITUTE(SUBSTITUTE(SUBSTITUTE(SUBSTITUTE($A1118,"-",""),"(",""),")",""),".",""),"+","")," ","")))</f>
      </c>
    </row>
    <row r="1119" spans="1:11" x14ac:dyDescent="0.3">
      <c r="A1119" s="28"/>
      <c r="B1119" s="29"/>
      <c r="C1119" s="30"/>
      <c r="D1119" s="31"/>
      <c r="E1119" s="33">
        <f>IF(OR($D1119="",$K1119=""),"",IF(COUNTIFS(Payments!$G$5:$G$2500,$K1119,Payments!$C$5:$C$2500,"&lt;&gt;")=0,"",_xlfn.MAXIFS(Payments!$C$5:$C$2500,Payments!$G$5:$G$2500,$K1119)))</f>
      </c>
      <c r="F1119" s="34">
        <f>IF(OR($D1119="",$K1119=""),"",SUMIF(Payments!$G$5:$G$2500,$K1119,Payments!$D$5:$D$2500))</f>
      </c>
      <c r="G1119" s="36">
        <f>IF($D1119="","",ROUND($D1119-IF($F1119="",0,$F1119),2))</f>
      </c>
      <c r="H1119" s="35">
        <f>IF(OR($D1119="",$K1119=""),"",COUNTIF(Payments!$G$5:$G$2500,$K1119))</f>
      </c>
      <c r="I1119" s="37">
        <f>IF($D1119="","",IF(OR($F1119="",$F1119=0),"Pending",IF(ROUND($F1119-$D1119,2)&gt;0,"Overpaid",IF(ROUND($F1119-$D1119,2)=0,"Paid","Partial"))))</f>
      </c>
      <c r="J1119" s="29"/>
      <c r="K1119">
        <f>IF($A1119="","","#"&amp;TRIM(SUBSTITUTE(SUBSTITUTE(SUBSTITUTE(SUBSTITUTE(SUBSTITUTE(SUBSTITUTE($A1119,"-",""),"(",""),")",""),".",""),"+","")," ","")))</f>
      </c>
    </row>
    <row r="1120" spans="1:11" x14ac:dyDescent="0.3">
      <c r="A1120" s="28"/>
      <c r="B1120" s="29"/>
      <c r="C1120" s="30"/>
      <c r="D1120" s="31"/>
      <c r="E1120" s="33">
        <f>IF(OR($D1120="",$K1120=""),"",IF(COUNTIFS(Payments!$G$5:$G$2500,$K1120,Payments!$C$5:$C$2500,"&lt;&gt;")=0,"",_xlfn.MAXIFS(Payments!$C$5:$C$2500,Payments!$G$5:$G$2500,$K1120)))</f>
      </c>
      <c r="F1120" s="34">
        <f>IF(OR($D1120="",$K1120=""),"",SUMIF(Payments!$G$5:$G$2500,$K1120,Payments!$D$5:$D$2500))</f>
      </c>
      <c r="G1120" s="36">
        <f>IF($D1120="","",ROUND($D1120-IF($F1120="",0,$F1120),2))</f>
      </c>
      <c r="H1120" s="35">
        <f>IF(OR($D1120="",$K1120=""),"",COUNTIF(Payments!$G$5:$G$2500,$K1120))</f>
      </c>
      <c r="I1120" s="37">
        <f>IF($D1120="","",IF(OR($F1120="",$F1120=0),"Pending",IF(ROUND($F1120-$D1120,2)&gt;0,"Overpaid",IF(ROUND($F1120-$D1120,2)=0,"Paid","Partial"))))</f>
      </c>
      <c r="J1120" s="29"/>
      <c r="K1120">
        <f>IF($A1120="","","#"&amp;TRIM(SUBSTITUTE(SUBSTITUTE(SUBSTITUTE(SUBSTITUTE(SUBSTITUTE(SUBSTITUTE($A1120,"-",""),"(",""),")",""),".",""),"+","")," ","")))</f>
      </c>
    </row>
    <row r="1121" spans="1:11" x14ac:dyDescent="0.3">
      <c r="A1121" s="28"/>
      <c r="B1121" s="29"/>
      <c r="C1121" s="30"/>
      <c r="D1121" s="31"/>
      <c r="E1121" s="33">
        <f>IF(OR($D1121="",$K1121=""),"",IF(COUNTIFS(Payments!$G$5:$G$2500,$K1121,Payments!$C$5:$C$2500,"&lt;&gt;")=0,"",_xlfn.MAXIFS(Payments!$C$5:$C$2500,Payments!$G$5:$G$2500,$K1121)))</f>
      </c>
      <c r="F1121" s="34">
        <f>IF(OR($D1121="",$K1121=""),"",SUMIF(Payments!$G$5:$G$2500,$K1121,Payments!$D$5:$D$2500))</f>
      </c>
      <c r="G1121" s="36">
        <f>IF($D1121="","",ROUND($D1121-IF($F1121="",0,$F1121),2))</f>
      </c>
      <c r="H1121" s="35">
        <f>IF(OR($D1121="",$K1121=""),"",COUNTIF(Payments!$G$5:$G$2500,$K1121))</f>
      </c>
      <c r="I1121" s="37">
        <f>IF($D1121="","",IF(OR($F1121="",$F1121=0),"Pending",IF(ROUND($F1121-$D1121,2)&gt;0,"Overpaid",IF(ROUND($F1121-$D1121,2)=0,"Paid","Partial"))))</f>
      </c>
      <c r="J1121" s="29"/>
      <c r="K1121">
        <f>IF($A1121="","","#"&amp;TRIM(SUBSTITUTE(SUBSTITUTE(SUBSTITUTE(SUBSTITUTE(SUBSTITUTE(SUBSTITUTE($A1121,"-",""),"(",""),")",""),".",""),"+","")," ","")))</f>
      </c>
    </row>
    <row r="1122" spans="1:11" x14ac:dyDescent="0.3">
      <c r="A1122" s="28"/>
      <c r="B1122" s="29"/>
      <c r="C1122" s="30"/>
      <c r="D1122" s="31"/>
      <c r="E1122" s="33">
        <f>IF(OR($D1122="",$K1122=""),"",IF(COUNTIFS(Payments!$G$5:$G$2500,$K1122,Payments!$C$5:$C$2500,"&lt;&gt;")=0,"",_xlfn.MAXIFS(Payments!$C$5:$C$2500,Payments!$G$5:$G$2500,$K1122)))</f>
      </c>
      <c r="F1122" s="34">
        <f>IF(OR($D1122="",$K1122=""),"",SUMIF(Payments!$G$5:$G$2500,$K1122,Payments!$D$5:$D$2500))</f>
      </c>
      <c r="G1122" s="36">
        <f>IF($D1122="","",ROUND($D1122-IF($F1122="",0,$F1122),2))</f>
      </c>
      <c r="H1122" s="35">
        <f>IF(OR($D1122="",$K1122=""),"",COUNTIF(Payments!$G$5:$G$2500,$K1122))</f>
      </c>
      <c r="I1122" s="37">
        <f>IF($D1122="","",IF(OR($F1122="",$F1122=0),"Pending",IF(ROUND($F1122-$D1122,2)&gt;0,"Overpaid",IF(ROUND($F1122-$D1122,2)=0,"Paid","Partial"))))</f>
      </c>
      <c r="J1122" s="29"/>
      <c r="K1122">
        <f>IF($A1122="","","#"&amp;TRIM(SUBSTITUTE(SUBSTITUTE(SUBSTITUTE(SUBSTITUTE(SUBSTITUTE(SUBSTITUTE($A1122,"-",""),"(",""),")",""),".",""),"+","")," ","")))</f>
      </c>
    </row>
    <row r="1123" spans="1:11" x14ac:dyDescent="0.3">
      <c r="A1123" s="28"/>
      <c r="B1123" s="29"/>
      <c r="C1123" s="30"/>
      <c r="D1123" s="31"/>
      <c r="E1123" s="33">
        <f>IF(OR($D1123="",$K1123=""),"",IF(COUNTIFS(Payments!$G$5:$G$2500,$K1123,Payments!$C$5:$C$2500,"&lt;&gt;")=0,"",_xlfn.MAXIFS(Payments!$C$5:$C$2500,Payments!$G$5:$G$2500,$K1123)))</f>
      </c>
      <c r="F1123" s="34">
        <f>IF(OR($D1123="",$K1123=""),"",SUMIF(Payments!$G$5:$G$2500,$K1123,Payments!$D$5:$D$2500))</f>
      </c>
      <c r="G1123" s="36">
        <f>IF($D1123="","",ROUND($D1123-IF($F1123="",0,$F1123),2))</f>
      </c>
      <c r="H1123" s="35">
        <f>IF(OR($D1123="",$K1123=""),"",COUNTIF(Payments!$G$5:$G$2500,$K1123))</f>
      </c>
      <c r="I1123" s="37">
        <f>IF($D1123="","",IF(OR($F1123="",$F1123=0),"Pending",IF(ROUND($F1123-$D1123,2)&gt;0,"Overpaid",IF(ROUND($F1123-$D1123,2)=0,"Paid","Partial"))))</f>
      </c>
      <c r="J1123" s="29"/>
      <c r="K1123">
        <f>IF($A1123="","","#"&amp;TRIM(SUBSTITUTE(SUBSTITUTE(SUBSTITUTE(SUBSTITUTE(SUBSTITUTE(SUBSTITUTE($A1123,"-",""),"(",""),")",""),".",""),"+","")," ","")))</f>
      </c>
    </row>
    <row r="1124" spans="1:11" x14ac:dyDescent="0.3">
      <c r="A1124" s="28"/>
      <c r="B1124" s="29"/>
      <c r="C1124" s="30"/>
      <c r="D1124" s="31"/>
      <c r="E1124" s="33">
        <f>IF(OR($D1124="",$K1124=""),"",IF(COUNTIFS(Payments!$G$5:$G$2500,$K1124,Payments!$C$5:$C$2500,"&lt;&gt;")=0,"",_xlfn.MAXIFS(Payments!$C$5:$C$2500,Payments!$G$5:$G$2500,$K1124)))</f>
      </c>
      <c r="F1124" s="34">
        <f>IF(OR($D1124="",$K1124=""),"",SUMIF(Payments!$G$5:$G$2500,$K1124,Payments!$D$5:$D$2500))</f>
      </c>
      <c r="G1124" s="36">
        <f>IF($D1124="","",ROUND($D1124-IF($F1124="",0,$F1124),2))</f>
      </c>
      <c r="H1124" s="35">
        <f>IF(OR($D1124="",$K1124=""),"",COUNTIF(Payments!$G$5:$G$2500,$K1124))</f>
      </c>
      <c r="I1124" s="37">
        <f>IF($D1124="","",IF(OR($F1124="",$F1124=0),"Pending",IF(ROUND($F1124-$D1124,2)&gt;0,"Overpaid",IF(ROUND($F1124-$D1124,2)=0,"Paid","Partial"))))</f>
      </c>
      <c r="J1124" s="29"/>
      <c r="K1124">
        <f>IF($A1124="","","#"&amp;TRIM(SUBSTITUTE(SUBSTITUTE(SUBSTITUTE(SUBSTITUTE(SUBSTITUTE(SUBSTITUTE($A1124,"-",""),"(",""),")",""),".",""),"+","")," ","")))</f>
      </c>
    </row>
    <row r="1125" spans="1:11" x14ac:dyDescent="0.3">
      <c r="A1125" s="28"/>
      <c r="B1125" s="29"/>
      <c r="C1125" s="30"/>
      <c r="D1125" s="31"/>
      <c r="E1125" s="33">
        <f>IF(OR($D1125="",$K1125=""),"",IF(COUNTIFS(Payments!$G$5:$G$2500,$K1125,Payments!$C$5:$C$2500,"&lt;&gt;")=0,"",_xlfn.MAXIFS(Payments!$C$5:$C$2500,Payments!$G$5:$G$2500,$K1125)))</f>
      </c>
      <c r="F1125" s="34">
        <f>IF(OR($D1125="",$K1125=""),"",SUMIF(Payments!$G$5:$G$2500,$K1125,Payments!$D$5:$D$2500))</f>
      </c>
      <c r="G1125" s="36">
        <f>IF($D1125="","",ROUND($D1125-IF($F1125="",0,$F1125),2))</f>
      </c>
      <c r="H1125" s="35">
        <f>IF(OR($D1125="",$K1125=""),"",COUNTIF(Payments!$G$5:$G$2500,$K1125))</f>
      </c>
      <c r="I1125" s="37">
        <f>IF($D1125="","",IF(OR($F1125="",$F1125=0),"Pending",IF(ROUND($F1125-$D1125,2)&gt;0,"Overpaid",IF(ROUND($F1125-$D1125,2)=0,"Paid","Partial"))))</f>
      </c>
      <c r="J1125" s="29"/>
      <c r="K1125">
        <f>IF($A1125="","","#"&amp;TRIM(SUBSTITUTE(SUBSTITUTE(SUBSTITUTE(SUBSTITUTE(SUBSTITUTE(SUBSTITUTE($A1125,"-",""),"(",""),")",""),".",""),"+","")," ","")))</f>
      </c>
    </row>
    <row r="1126" spans="1:11" x14ac:dyDescent="0.3">
      <c r="A1126" s="28"/>
      <c r="B1126" s="29"/>
      <c r="C1126" s="30"/>
      <c r="D1126" s="31"/>
      <c r="E1126" s="33">
        <f>IF(OR($D1126="",$K1126=""),"",IF(COUNTIFS(Payments!$G$5:$G$2500,$K1126,Payments!$C$5:$C$2500,"&lt;&gt;")=0,"",_xlfn.MAXIFS(Payments!$C$5:$C$2500,Payments!$G$5:$G$2500,$K1126)))</f>
      </c>
      <c r="F1126" s="34">
        <f>IF(OR($D1126="",$K1126=""),"",SUMIF(Payments!$G$5:$G$2500,$K1126,Payments!$D$5:$D$2500))</f>
      </c>
      <c r="G1126" s="36">
        <f>IF($D1126="","",ROUND($D1126-IF($F1126="",0,$F1126),2))</f>
      </c>
      <c r="H1126" s="35">
        <f>IF(OR($D1126="",$K1126=""),"",COUNTIF(Payments!$G$5:$G$2500,$K1126))</f>
      </c>
      <c r="I1126" s="37">
        <f>IF($D1126="","",IF(OR($F1126="",$F1126=0),"Pending",IF(ROUND($F1126-$D1126,2)&gt;0,"Overpaid",IF(ROUND($F1126-$D1126,2)=0,"Paid","Partial"))))</f>
      </c>
      <c r="J1126" s="29"/>
      <c r="K1126">
        <f>IF($A1126="","","#"&amp;TRIM(SUBSTITUTE(SUBSTITUTE(SUBSTITUTE(SUBSTITUTE(SUBSTITUTE(SUBSTITUTE($A1126,"-",""),"(",""),")",""),".",""),"+","")," ","")))</f>
      </c>
    </row>
    <row r="1127" spans="1:11" x14ac:dyDescent="0.3">
      <c r="A1127" s="28"/>
      <c r="B1127" s="29"/>
      <c r="C1127" s="30"/>
      <c r="D1127" s="31"/>
      <c r="E1127" s="33">
        <f>IF(OR($D1127="",$K1127=""),"",IF(COUNTIFS(Payments!$G$5:$G$2500,$K1127,Payments!$C$5:$C$2500,"&lt;&gt;")=0,"",_xlfn.MAXIFS(Payments!$C$5:$C$2500,Payments!$G$5:$G$2500,$K1127)))</f>
      </c>
      <c r="F1127" s="34">
        <f>IF(OR($D1127="",$K1127=""),"",SUMIF(Payments!$G$5:$G$2500,$K1127,Payments!$D$5:$D$2500))</f>
      </c>
      <c r="G1127" s="36">
        <f>IF($D1127="","",ROUND($D1127-IF($F1127="",0,$F1127),2))</f>
      </c>
      <c r="H1127" s="35">
        <f>IF(OR($D1127="",$K1127=""),"",COUNTIF(Payments!$G$5:$G$2500,$K1127))</f>
      </c>
      <c r="I1127" s="37">
        <f>IF($D1127="","",IF(OR($F1127="",$F1127=0),"Pending",IF(ROUND($F1127-$D1127,2)&gt;0,"Overpaid",IF(ROUND($F1127-$D1127,2)=0,"Paid","Partial"))))</f>
      </c>
      <c r="J1127" s="29"/>
      <c r="K1127">
        <f>IF($A1127="","","#"&amp;TRIM(SUBSTITUTE(SUBSTITUTE(SUBSTITUTE(SUBSTITUTE(SUBSTITUTE(SUBSTITUTE($A1127,"-",""),"(",""),")",""),".",""),"+","")," ","")))</f>
      </c>
    </row>
    <row r="1128" spans="1:11" x14ac:dyDescent="0.3">
      <c r="A1128" s="28"/>
      <c r="B1128" s="29"/>
      <c r="C1128" s="30"/>
      <c r="D1128" s="31"/>
      <c r="E1128" s="33">
        <f>IF(OR($D1128="",$K1128=""),"",IF(COUNTIFS(Payments!$G$5:$G$2500,$K1128,Payments!$C$5:$C$2500,"&lt;&gt;")=0,"",_xlfn.MAXIFS(Payments!$C$5:$C$2500,Payments!$G$5:$G$2500,$K1128)))</f>
      </c>
      <c r="F1128" s="34">
        <f>IF(OR($D1128="",$K1128=""),"",SUMIF(Payments!$G$5:$G$2500,$K1128,Payments!$D$5:$D$2500))</f>
      </c>
      <c r="G1128" s="36">
        <f>IF($D1128="","",ROUND($D1128-IF($F1128="",0,$F1128),2))</f>
      </c>
      <c r="H1128" s="35">
        <f>IF(OR($D1128="",$K1128=""),"",COUNTIF(Payments!$G$5:$G$2500,$K1128))</f>
      </c>
      <c r="I1128" s="37">
        <f>IF($D1128="","",IF(OR($F1128="",$F1128=0),"Pending",IF(ROUND($F1128-$D1128,2)&gt;0,"Overpaid",IF(ROUND($F1128-$D1128,2)=0,"Paid","Partial"))))</f>
      </c>
      <c r="J1128" s="29"/>
      <c r="K1128">
        <f>IF($A1128="","","#"&amp;TRIM(SUBSTITUTE(SUBSTITUTE(SUBSTITUTE(SUBSTITUTE(SUBSTITUTE(SUBSTITUTE($A1128,"-",""),"(",""),")",""),".",""),"+","")," ","")))</f>
      </c>
    </row>
    <row r="1129" spans="1:11" x14ac:dyDescent="0.3">
      <c r="A1129" s="28"/>
      <c r="B1129" s="29"/>
      <c r="C1129" s="30"/>
      <c r="D1129" s="31"/>
      <c r="E1129" s="33">
        <f>IF(OR($D1129="",$K1129=""),"",IF(COUNTIFS(Payments!$G$5:$G$2500,$K1129,Payments!$C$5:$C$2500,"&lt;&gt;")=0,"",_xlfn.MAXIFS(Payments!$C$5:$C$2500,Payments!$G$5:$G$2500,$K1129)))</f>
      </c>
      <c r="F1129" s="34">
        <f>IF(OR($D1129="",$K1129=""),"",SUMIF(Payments!$G$5:$G$2500,$K1129,Payments!$D$5:$D$2500))</f>
      </c>
      <c r="G1129" s="36">
        <f>IF($D1129="","",ROUND($D1129-IF($F1129="",0,$F1129),2))</f>
      </c>
      <c r="H1129" s="35">
        <f>IF(OR($D1129="",$K1129=""),"",COUNTIF(Payments!$G$5:$G$2500,$K1129))</f>
      </c>
      <c r="I1129" s="37">
        <f>IF($D1129="","",IF(OR($F1129="",$F1129=0),"Pending",IF(ROUND($F1129-$D1129,2)&gt;0,"Overpaid",IF(ROUND($F1129-$D1129,2)=0,"Paid","Partial"))))</f>
      </c>
      <c r="J1129" s="29"/>
      <c r="K1129">
        <f>IF($A1129="","","#"&amp;TRIM(SUBSTITUTE(SUBSTITUTE(SUBSTITUTE(SUBSTITUTE(SUBSTITUTE(SUBSTITUTE($A1129,"-",""),"(",""),")",""),".",""),"+","")," ","")))</f>
      </c>
    </row>
    <row r="1130" spans="1:11" x14ac:dyDescent="0.3">
      <c r="A1130" s="28"/>
      <c r="B1130" s="29"/>
      <c r="C1130" s="30"/>
      <c r="D1130" s="31"/>
      <c r="E1130" s="33">
        <f>IF(OR($D1130="",$K1130=""),"",IF(COUNTIFS(Payments!$G$5:$G$2500,$K1130,Payments!$C$5:$C$2500,"&lt;&gt;")=0,"",_xlfn.MAXIFS(Payments!$C$5:$C$2500,Payments!$G$5:$G$2500,$K1130)))</f>
      </c>
      <c r="F1130" s="34">
        <f>IF(OR($D1130="",$K1130=""),"",SUMIF(Payments!$G$5:$G$2500,$K1130,Payments!$D$5:$D$2500))</f>
      </c>
      <c r="G1130" s="36">
        <f>IF($D1130="","",ROUND($D1130-IF($F1130="",0,$F1130),2))</f>
      </c>
      <c r="H1130" s="35">
        <f>IF(OR($D1130="",$K1130=""),"",COUNTIF(Payments!$G$5:$G$2500,$K1130))</f>
      </c>
      <c r="I1130" s="37">
        <f>IF($D1130="","",IF(OR($F1130="",$F1130=0),"Pending",IF(ROUND($F1130-$D1130,2)&gt;0,"Overpaid",IF(ROUND($F1130-$D1130,2)=0,"Paid","Partial"))))</f>
      </c>
      <c r="J1130" s="29"/>
      <c r="K1130">
        <f>IF($A1130="","","#"&amp;TRIM(SUBSTITUTE(SUBSTITUTE(SUBSTITUTE(SUBSTITUTE(SUBSTITUTE(SUBSTITUTE($A1130,"-",""),"(",""),")",""),".",""),"+","")," ","")))</f>
      </c>
    </row>
    <row r="1131" spans="1:11" x14ac:dyDescent="0.3">
      <c r="A1131" s="28"/>
      <c r="B1131" s="29"/>
      <c r="C1131" s="30"/>
      <c r="D1131" s="31"/>
      <c r="E1131" s="33">
        <f>IF(OR($D1131="",$K1131=""),"",IF(COUNTIFS(Payments!$G$5:$G$2500,$K1131,Payments!$C$5:$C$2500,"&lt;&gt;")=0,"",_xlfn.MAXIFS(Payments!$C$5:$C$2500,Payments!$G$5:$G$2500,$K1131)))</f>
      </c>
      <c r="F1131" s="34">
        <f>IF(OR($D1131="",$K1131=""),"",SUMIF(Payments!$G$5:$G$2500,$K1131,Payments!$D$5:$D$2500))</f>
      </c>
      <c r="G1131" s="36">
        <f>IF($D1131="","",ROUND($D1131-IF($F1131="",0,$F1131),2))</f>
      </c>
      <c r="H1131" s="35">
        <f>IF(OR($D1131="",$K1131=""),"",COUNTIF(Payments!$G$5:$G$2500,$K1131))</f>
      </c>
      <c r="I1131" s="37">
        <f>IF($D1131="","",IF(OR($F1131="",$F1131=0),"Pending",IF(ROUND($F1131-$D1131,2)&gt;0,"Overpaid",IF(ROUND($F1131-$D1131,2)=0,"Paid","Partial"))))</f>
      </c>
      <c r="J1131" s="29"/>
      <c r="K1131">
        <f>IF($A1131="","","#"&amp;TRIM(SUBSTITUTE(SUBSTITUTE(SUBSTITUTE(SUBSTITUTE(SUBSTITUTE(SUBSTITUTE($A1131,"-",""),"(",""),")",""),".",""),"+","")," ","")))</f>
      </c>
    </row>
    <row r="1132" spans="1:11" x14ac:dyDescent="0.3">
      <c r="A1132" s="28"/>
      <c r="B1132" s="29"/>
      <c r="C1132" s="30"/>
      <c r="D1132" s="31"/>
      <c r="E1132" s="33">
        <f>IF(OR($D1132="",$K1132=""),"",IF(COUNTIFS(Payments!$G$5:$G$2500,$K1132,Payments!$C$5:$C$2500,"&lt;&gt;")=0,"",_xlfn.MAXIFS(Payments!$C$5:$C$2500,Payments!$G$5:$G$2500,$K1132)))</f>
      </c>
      <c r="F1132" s="34">
        <f>IF(OR($D1132="",$K1132=""),"",SUMIF(Payments!$G$5:$G$2500,$K1132,Payments!$D$5:$D$2500))</f>
      </c>
      <c r="G1132" s="36">
        <f>IF($D1132="","",ROUND($D1132-IF($F1132="",0,$F1132),2))</f>
      </c>
      <c r="H1132" s="35">
        <f>IF(OR($D1132="",$K1132=""),"",COUNTIF(Payments!$G$5:$G$2500,$K1132))</f>
      </c>
      <c r="I1132" s="37">
        <f>IF($D1132="","",IF(OR($F1132="",$F1132=0),"Pending",IF(ROUND($F1132-$D1132,2)&gt;0,"Overpaid",IF(ROUND($F1132-$D1132,2)=0,"Paid","Partial"))))</f>
      </c>
      <c r="J1132" s="29"/>
      <c r="K1132">
        <f>IF($A1132="","","#"&amp;TRIM(SUBSTITUTE(SUBSTITUTE(SUBSTITUTE(SUBSTITUTE(SUBSTITUTE(SUBSTITUTE($A1132,"-",""),"(",""),")",""),".",""),"+","")," ","")))</f>
      </c>
    </row>
    <row r="1133" spans="1:11" x14ac:dyDescent="0.3">
      <c r="A1133" s="28"/>
      <c r="B1133" s="29"/>
      <c r="C1133" s="30"/>
      <c r="D1133" s="31"/>
      <c r="E1133" s="33">
        <f>IF(OR($D1133="",$K1133=""),"",IF(COUNTIFS(Payments!$G$5:$G$2500,$K1133,Payments!$C$5:$C$2500,"&lt;&gt;")=0,"",_xlfn.MAXIFS(Payments!$C$5:$C$2500,Payments!$G$5:$G$2500,$K1133)))</f>
      </c>
      <c r="F1133" s="34">
        <f>IF(OR($D1133="",$K1133=""),"",SUMIF(Payments!$G$5:$G$2500,$K1133,Payments!$D$5:$D$2500))</f>
      </c>
      <c r="G1133" s="36">
        <f>IF($D1133="","",ROUND($D1133-IF($F1133="",0,$F1133),2))</f>
      </c>
      <c r="H1133" s="35">
        <f>IF(OR($D1133="",$K1133=""),"",COUNTIF(Payments!$G$5:$G$2500,$K1133))</f>
      </c>
      <c r="I1133" s="37">
        <f>IF($D1133="","",IF(OR($F1133="",$F1133=0),"Pending",IF(ROUND($F1133-$D1133,2)&gt;0,"Overpaid",IF(ROUND($F1133-$D1133,2)=0,"Paid","Partial"))))</f>
      </c>
      <c r="J1133" s="29"/>
      <c r="K1133">
        <f>IF($A1133="","","#"&amp;TRIM(SUBSTITUTE(SUBSTITUTE(SUBSTITUTE(SUBSTITUTE(SUBSTITUTE(SUBSTITUTE($A1133,"-",""),"(",""),")",""),".",""),"+","")," ","")))</f>
      </c>
    </row>
    <row r="1134" spans="1:11" x14ac:dyDescent="0.3">
      <c r="A1134" s="28"/>
      <c r="B1134" s="29"/>
      <c r="C1134" s="30"/>
      <c r="D1134" s="31"/>
      <c r="E1134" s="33">
        <f>IF(OR($D1134="",$K1134=""),"",IF(COUNTIFS(Payments!$G$5:$G$2500,$K1134,Payments!$C$5:$C$2500,"&lt;&gt;")=0,"",_xlfn.MAXIFS(Payments!$C$5:$C$2500,Payments!$G$5:$G$2500,$K1134)))</f>
      </c>
      <c r="F1134" s="34">
        <f>IF(OR($D1134="",$K1134=""),"",SUMIF(Payments!$G$5:$G$2500,$K1134,Payments!$D$5:$D$2500))</f>
      </c>
      <c r="G1134" s="36">
        <f>IF($D1134="","",ROUND($D1134-IF($F1134="",0,$F1134),2))</f>
      </c>
      <c r="H1134" s="35">
        <f>IF(OR($D1134="",$K1134=""),"",COUNTIF(Payments!$G$5:$G$2500,$K1134))</f>
      </c>
      <c r="I1134" s="37">
        <f>IF($D1134="","",IF(OR($F1134="",$F1134=0),"Pending",IF(ROUND($F1134-$D1134,2)&gt;0,"Overpaid",IF(ROUND($F1134-$D1134,2)=0,"Paid","Partial"))))</f>
      </c>
      <c r="J1134" s="29"/>
      <c r="K1134">
        <f>IF($A1134="","","#"&amp;TRIM(SUBSTITUTE(SUBSTITUTE(SUBSTITUTE(SUBSTITUTE(SUBSTITUTE(SUBSTITUTE($A1134,"-",""),"(",""),")",""),".",""),"+","")," ","")))</f>
      </c>
    </row>
    <row r="1135" spans="1:11" x14ac:dyDescent="0.3">
      <c r="A1135" s="28"/>
      <c r="B1135" s="29"/>
      <c r="C1135" s="30"/>
      <c r="D1135" s="31"/>
      <c r="E1135" s="33">
        <f>IF(OR($D1135="",$K1135=""),"",IF(COUNTIFS(Payments!$G$5:$G$2500,$K1135,Payments!$C$5:$C$2500,"&lt;&gt;")=0,"",_xlfn.MAXIFS(Payments!$C$5:$C$2500,Payments!$G$5:$G$2500,$K1135)))</f>
      </c>
      <c r="F1135" s="34">
        <f>IF(OR($D1135="",$K1135=""),"",SUMIF(Payments!$G$5:$G$2500,$K1135,Payments!$D$5:$D$2500))</f>
      </c>
      <c r="G1135" s="36">
        <f>IF($D1135="","",ROUND($D1135-IF($F1135="",0,$F1135),2))</f>
      </c>
      <c r="H1135" s="35">
        <f>IF(OR($D1135="",$K1135=""),"",COUNTIF(Payments!$G$5:$G$2500,$K1135))</f>
      </c>
      <c r="I1135" s="37">
        <f>IF($D1135="","",IF(OR($F1135="",$F1135=0),"Pending",IF(ROUND($F1135-$D1135,2)&gt;0,"Overpaid",IF(ROUND($F1135-$D1135,2)=0,"Paid","Partial"))))</f>
      </c>
      <c r="J1135" s="29"/>
      <c r="K1135">
        <f>IF($A1135="","","#"&amp;TRIM(SUBSTITUTE(SUBSTITUTE(SUBSTITUTE(SUBSTITUTE(SUBSTITUTE(SUBSTITUTE($A1135,"-",""),"(",""),")",""),".",""),"+","")," ","")))</f>
      </c>
    </row>
    <row r="1136" spans="1:11" x14ac:dyDescent="0.3">
      <c r="A1136" s="28"/>
      <c r="B1136" s="29"/>
      <c r="C1136" s="30"/>
      <c r="D1136" s="31"/>
      <c r="E1136" s="33">
        <f>IF(OR($D1136="",$K1136=""),"",IF(COUNTIFS(Payments!$G$5:$G$2500,$K1136,Payments!$C$5:$C$2500,"&lt;&gt;")=0,"",_xlfn.MAXIFS(Payments!$C$5:$C$2500,Payments!$G$5:$G$2500,$K1136)))</f>
      </c>
      <c r="F1136" s="34">
        <f>IF(OR($D1136="",$K1136=""),"",SUMIF(Payments!$G$5:$G$2500,$K1136,Payments!$D$5:$D$2500))</f>
      </c>
      <c r="G1136" s="36">
        <f>IF($D1136="","",ROUND($D1136-IF($F1136="",0,$F1136),2))</f>
      </c>
      <c r="H1136" s="35">
        <f>IF(OR($D1136="",$K1136=""),"",COUNTIF(Payments!$G$5:$G$2500,$K1136))</f>
      </c>
      <c r="I1136" s="37">
        <f>IF($D1136="","",IF(OR($F1136="",$F1136=0),"Pending",IF(ROUND($F1136-$D1136,2)&gt;0,"Overpaid",IF(ROUND($F1136-$D1136,2)=0,"Paid","Partial"))))</f>
      </c>
      <c r="J1136" s="29"/>
      <c r="K1136">
        <f>IF($A1136="","","#"&amp;TRIM(SUBSTITUTE(SUBSTITUTE(SUBSTITUTE(SUBSTITUTE(SUBSTITUTE(SUBSTITUTE($A1136,"-",""),"(",""),")",""),".",""),"+","")," ","")))</f>
      </c>
    </row>
    <row r="1137" spans="1:11" x14ac:dyDescent="0.3">
      <c r="A1137" s="28"/>
      <c r="B1137" s="29"/>
      <c r="C1137" s="30"/>
      <c r="D1137" s="31"/>
      <c r="E1137" s="33">
        <f>IF(OR($D1137="",$K1137=""),"",IF(COUNTIFS(Payments!$G$5:$G$2500,$K1137,Payments!$C$5:$C$2500,"&lt;&gt;")=0,"",_xlfn.MAXIFS(Payments!$C$5:$C$2500,Payments!$G$5:$G$2500,$K1137)))</f>
      </c>
      <c r="F1137" s="34">
        <f>IF(OR($D1137="",$K1137=""),"",SUMIF(Payments!$G$5:$G$2500,$K1137,Payments!$D$5:$D$2500))</f>
      </c>
      <c r="G1137" s="36">
        <f>IF($D1137="","",ROUND($D1137-IF($F1137="",0,$F1137),2))</f>
      </c>
      <c r="H1137" s="35">
        <f>IF(OR($D1137="",$K1137=""),"",COUNTIF(Payments!$G$5:$G$2500,$K1137))</f>
      </c>
      <c r="I1137" s="37">
        <f>IF($D1137="","",IF(OR($F1137="",$F1137=0),"Pending",IF(ROUND($F1137-$D1137,2)&gt;0,"Overpaid",IF(ROUND($F1137-$D1137,2)=0,"Paid","Partial"))))</f>
      </c>
      <c r="J1137" s="29"/>
      <c r="K1137">
        <f>IF($A1137="","","#"&amp;TRIM(SUBSTITUTE(SUBSTITUTE(SUBSTITUTE(SUBSTITUTE(SUBSTITUTE(SUBSTITUTE($A1137,"-",""),"(",""),")",""),".",""),"+","")," ","")))</f>
      </c>
    </row>
    <row r="1138" spans="1:11" x14ac:dyDescent="0.3">
      <c r="A1138" s="28"/>
      <c r="B1138" s="29"/>
      <c r="C1138" s="30"/>
      <c r="D1138" s="31"/>
      <c r="E1138" s="33">
        <f>IF(OR($D1138="",$K1138=""),"",IF(COUNTIFS(Payments!$G$5:$G$2500,$K1138,Payments!$C$5:$C$2500,"&lt;&gt;")=0,"",_xlfn.MAXIFS(Payments!$C$5:$C$2500,Payments!$G$5:$G$2500,$K1138)))</f>
      </c>
      <c r="F1138" s="34">
        <f>IF(OR($D1138="",$K1138=""),"",SUMIF(Payments!$G$5:$G$2500,$K1138,Payments!$D$5:$D$2500))</f>
      </c>
      <c r="G1138" s="36">
        <f>IF($D1138="","",ROUND($D1138-IF($F1138="",0,$F1138),2))</f>
      </c>
      <c r="H1138" s="35">
        <f>IF(OR($D1138="",$K1138=""),"",COUNTIF(Payments!$G$5:$G$2500,$K1138))</f>
      </c>
      <c r="I1138" s="37">
        <f>IF($D1138="","",IF(OR($F1138="",$F1138=0),"Pending",IF(ROUND($F1138-$D1138,2)&gt;0,"Overpaid",IF(ROUND($F1138-$D1138,2)=0,"Paid","Partial"))))</f>
      </c>
      <c r="J1138" s="29"/>
      <c r="K1138">
        <f>IF($A1138="","","#"&amp;TRIM(SUBSTITUTE(SUBSTITUTE(SUBSTITUTE(SUBSTITUTE(SUBSTITUTE(SUBSTITUTE($A1138,"-",""),"(",""),")",""),".",""),"+","")," ","")))</f>
      </c>
    </row>
    <row r="1139" spans="1:11" x14ac:dyDescent="0.3">
      <c r="A1139" s="28"/>
      <c r="B1139" s="29"/>
      <c r="C1139" s="30"/>
      <c r="D1139" s="31"/>
      <c r="E1139" s="33">
        <f>IF(OR($D1139="",$K1139=""),"",IF(COUNTIFS(Payments!$G$5:$G$2500,$K1139,Payments!$C$5:$C$2500,"&lt;&gt;")=0,"",_xlfn.MAXIFS(Payments!$C$5:$C$2500,Payments!$G$5:$G$2500,$K1139)))</f>
      </c>
      <c r="F1139" s="34">
        <f>IF(OR($D1139="",$K1139=""),"",SUMIF(Payments!$G$5:$G$2500,$K1139,Payments!$D$5:$D$2500))</f>
      </c>
      <c r="G1139" s="36">
        <f>IF($D1139="","",ROUND($D1139-IF($F1139="",0,$F1139),2))</f>
      </c>
      <c r="H1139" s="35">
        <f>IF(OR($D1139="",$K1139=""),"",COUNTIF(Payments!$G$5:$G$2500,$K1139))</f>
      </c>
      <c r="I1139" s="37">
        <f>IF($D1139="","",IF(OR($F1139="",$F1139=0),"Pending",IF(ROUND($F1139-$D1139,2)&gt;0,"Overpaid",IF(ROUND($F1139-$D1139,2)=0,"Paid","Partial"))))</f>
      </c>
      <c r="J1139" s="29"/>
      <c r="K1139">
        <f>IF($A1139="","","#"&amp;TRIM(SUBSTITUTE(SUBSTITUTE(SUBSTITUTE(SUBSTITUTE(SUBSTITUTE(SUBSTITUTE($A1139,"-",""),"(",""),")",""),".",""),"+","")," ","")))</f>
      </c>
    </row>
    <row r="1140" spans="1:11" x14ac:dyDescent="0.3">
      <c r="A1140" s="28"/>
      <c r="B1140" s="29"/>
      <c r="C1140" s="30"/>
      <c r="D1140" s="31"/>
      <c r="E1140" s="33">
        <f>IF(OR($D1140="",$K1140=""),"",IF(COUNTIFS(Payments!$G$5:$G$2500,$K1140,Payments!$C$5:$C$2500,"&lt;&gt;")=0,"",_xlfn.MAXIFS(Payments!$C$5:$C$2500,Payments!$G$5:$G$2500,$K1140)))</f>
      </c>
      <c r="F1140" s="34">
        <f>IF(OR($D1140="",$K1140=""),"",SUMIF(Payments!$G$5:$G$2500,$K1140,Payments!$D$5:$D$2500))</f>
      </c>
      <c r="G1140" s="36">
        <f>IF($D1140="","",ROUND($D1140-IF($F1140="",0,$F1140),2))</f>
      </c>
      <c r="H1140" s="35">
        <f>IF(OR($D1140="",$K1140=""),"",COUNTIF(Payments!$G$5:$G$2500,$K1140))</f>
      </c>
      <c r="I1140" s="37">
        <f>IF($D1140="","",IF(OR($F1140="",$F1140=0),"Pending",IF(ROUND($F1140-$D1140,2)&gt;0,"Overpaid",IF(ROUND($F1140-$D1140,2)=0,"Paid","Partial"))))</f>
      </c>
      <c r="J1140" s="29"/>
      <c r="K1140">
        <f>IF($A1140="","","#"&amp;TRIM(SUBSTITUTE(SUBSTITUTE(SUBSTITUTE(SUBSTITUTE(SUBSTITUTE(SUBSTITUTE($A1140,"-",""),"(",""),")",""),".",""),"+","")," ","")))</f>
      </c>
    </row>
    <row r="1141" spans="1:11" x14ac:dyDescent="0.3">
      <c r="A1141" s="28"/>
      <c r="B1141" s="29"/>
      <c r="C1141" s="30"/>
      <c r="D1141" s="31"/>
      <c r="E1141" s="33">
        <f>IF(OR($D1141="",$K1141=""),"",IF(COUNTIFS(Payments!$G$5:$G$2500,$K1141,Payments!$C$5:$C$2500,"&lt;&gt;")=0,"",_xlfn.MAXIFS(Payments!$C$5:$C$2500,Payments!$G$5:$G$2500,$K1141)))</f>
      </c>
      <c r="F1141" s="34">
        <f>IF(OR($D1141="",$K1141=""),"",SUMIF(Payments!$G$5:$G$2500,$K1141,Payments!$D$5:$D$2500))</f>
      </c>
      <c r="G1141" s="36">
        <f>IF($D1141="","",ROUND($D1141-IF($F1141="",0,$F1141),2))</f>
      </c>
      <c r="H1141" s="35">
        <f>IF(OR($D1141="",$K1141=""),"",COUNTIF(Payments!$G$5:$G$2500,$K1141))</f>
      </c>
      <c r="I1141" s="37">
        <f>IF($D1141="","",IF(OR($F1141="",$F1141=0),"Pending",IF(ROUND($F1141-$D1141,2)&gt;0,"Overpaid",IF(ROUND($F1141-$D1141,2)=0,"Paid","Partial"))))</f>
      </c>
      <c r="J1141" s="29"/>
      <c r="K1141">
        <f>IF($A1141="","","#"&amp;TRIM(SUBSTITUTE(SUBSTITUTE(SUBSTITUTE(SUBSTITUTE(SUBSTITUTE(SUBSTITUTE($A1141,"-",""),"(",""),")",""),".",""),"+","")," ","")))</f>
      </c>
    </row>
    <row r="1142" spans="1:11" x14ac:dyDescent="0.3">
      <c r="A1142" s="28"/>
      <c r="B1142" s="29"/>
      <c r="C1142" s="30"/>
      <c r="D1142" s="31"/>
      <c r="E1142" s="33">
        <f>IF(OR($D1142="",$K1142=""),"",IF(COUNTIFS(Payments!$G$5:$G$2500,$K1142,Payments!$C$5:$C$2500,"&lt;&gt;")=0,"",_xlfn.MAXIFS(Payments!$C$5:$C$2500,Payments!$G$5:$G$2500,$K1142)))</f>
      </c>
      <c r="F1142" s="34">
        <f>IF(OR($D1142="",$K1142=""),"",SUMIF(Payments!$G$5:$G$2500,$K1142,Payments!$D$5:$D$2500))</f>
      </c>
      <c r="G1142" s="36">
        <f>IF($D1142="","",ROUND($D1142-IF($F1142="",0,$F1142),2))</f>
      </c>
      <c r="H1142" s="35">
        <f>IF(OR($D1142="",$K1142=""),"",COUNTIF(Payments!$G$5:$G$2500,$K1142))</f>
      </c>
      <c r="I1142" s="37">
        <f>IF($D1142="","",IF(OR($F1142="",$F1142=0),"Pending",IF(ROUND($F1142-$D1142,2)&gt;0,"Overpaid",IF(ROUND($F1142-$D1142,2)=0,"Paid","Partial"))))</f>
      </c>
      <c r="J1142" s="29"/>
      <c r="K1142">
        <f>IF($A1142="","","#"&amp;TRIM(SUBSTITUTE(SUBSTITUTE(SUBSTITUTE(SUBSTITUTE(SUBSTITUTE(SUBSTITUTE($A1142,"-",""),"(",""),")",""),".",""),"+","")," ","")))</f>
      </c>
    </row>
    <row r="1143" spans="1:11" x14ac:dyDescent="0.3">
      <c r="A1143" s="28"/>
      <c r="B1143" s="29"/>
      <c r="C1143" s="30"/>
      <c r="D1143" s="31"/>
      <c r="E1143" s="33">
        <f>IF(OR($D1143="",$K1143=""),"",IF(COUNTIFS(Payments!$G$5:$G$2500,$K1143,Payments!$C$5:$C$2500,"&lt;&gt;")=0,"",_xlfn.MAXIFS(Payments!$C$5:$C$2500,Payments!$G$5:$G$2500,$K1143)))</f>
      </c>
      <c r="F1143" s="34">
        <f>IF(OR($D1143="",$K1143=""),"",SUMIF(Payments!$G$5:$G$2500,$K1143,Payments!$D$5:$D$2500))</f>
      </c>
      <c r="G1143" s="36">
        <f>IF($D1143="","",ROUND($D1143-IF($F1143="",0,$F1143),2))</f>
      </c>
      <c r="H1143" s="35">
        <f>IF(OR($D1143="",$K1143=""),"",COUNTIF(Payments!$G$5:$G$2500,$K1143))</f>
      </c>
      <c r="I1143" s="37">
        <f>IF($D1143="","",IF(OR($F1143="",$F1143=0),"Pending",IF(ROUND($F1143-$D1143,2)&gt;0,"Overpaid",IF(ROUND($F1143-$D1143,2)=0,"Paid","Partial"))))</f>
      </c>
      <c r="J1143" s="29"/>
      <c r="K1143">
        <f>IF($A1143="","","#"&amp;TRIM(SUBSTITUTE(SUBSTITUTE(SUBSTITUTE(SUBSTITUTE(SUBSTITUTE(SUBSTITUTE($A1143,"-",""),"(",""),")",""),".",""),"+","")," ","")))</f>
      </c>
    </row>
    <row r="1144" spans="1:11" x14ac:dyDescent="0.3">
      <c r="A1144" s="28"/>
      <c r="B1144" s="29"/>
      <c r="C1144" s="30"/>
      <c r="D1144" s="31"/>
      <c r="E1144" s="33">
        <f>IF(OR($D1144="",$K1144=""),"",IF(COUNTIFS(Payments!$G$5:$G$2500,$K1144,Payments!$C$5:$C$2500,"&lt;&gt;")=0,"",_xlfn.MAXIFS(Payments!$C$5:$C$2500,Payments!$G$5:$G$2500,$K1144)))</f>
      </c>
      <c r="F1144" s="34">
        <f>IF(OR($D1144="",$K1144=""),"",SUMIF(Payments!$G$5:$G$2500,$K1144,Payments!$D$5:$D$2500))</f>
      </c>
      <c r="G1144" s="36">
        <f>IF($D1144="","",ROUND($D1144-IF($F1144="",0,$F1144),2))</f>
      </c>
      <c r="H1144" s="35">
        <f>IF(OR($D1144="",$K1144=""),"",COUNTIF(Payments!$G$5:$G$2500,$K1144))</f>
      </c>
      <c r="I1144" s="37">
        <f>IF($D1144="","",IF(OR($F1144="",$F1144=0),"Pending",IF(ROUND($F1144-$D1144,2)&gt;0,"Overpaid",IF(ROUND($F1144-$D1144,2)=0,"Paid","Partial"))))</f>
      </c>
      <c r="J1144" s="29"/>
      <c r="K1144">
        <f>IF($A1144="","","#"&amp;TRIM(SUBSTITUTE(SUBSTITUTE(SUBSTITUTE(SUBSTITUTE(SUBSTITUTE(SUBSTITUTE($A1144,"-",""),"(",""),")",""),".",""),"+","")," ","")))</f>
      </c>
    </row>
    <row r="1145" spans="1:11" x14ac:dyDescent="0.3">
      <c r="A1145" s="28"/>
      <c r="B1145" s="29"/>
      <c r="C1145" s="30"/>
      <c r="D1145" s="31"/>
      <c r="E1145" s="33">
        <f>IF(OR($D1145="",$K1145=""),"",IF(COUNTIFS(Payments!$G$5:$G$2500,$K1145,Payments!$C$5:$C$2500,"&lt;&gt;")=0,"",_xlfn.MAXIFS(Payments!$C$5:$C$2500,Payments!$G$5:$G$2500,$K1145)))</f>
      </c>
      <c r="F1145" s="34">
        <f>IF(OR($D1145="",$K1145=""),"",SUMIF(Payments!$G$5:$G$2500,$K1145,Payments!$D$5:$D$2500))</f>
      </c>
      <c r="G1145" s="36">
        <f>IF($D1145="","",ROUND($D1145-IF($F1145="",0,$F1145),2))</f>
      </c>
      <c r="H1145" s="35">
        <f>IF(OR($D1145="",$K1145=""),"",COUNTIF(Payments!$G$5:$G$2500,$K1145))</f>
      </c>
      <c r="I1145" s="37">
        <f>IF($D1145="","",IF(OR($F1145="",$F1145=0),"Pending",IF(ROUND($F1145-$D1145,2)&gt;0,"Overpaid",IF(ROUND($F1145-$D1145,2)=0,"Paid","Partial"))))</f>
      </c>
      <c r="J1145" s="29"/>
      <c r="K1145">
        <f>IF($A1145="","","#"&amp;TRIM(SUBSTITUTE(SUBSTITUTE(SUBSTITUTE(SUBSTITUTE(SUBSTITUTE(SUBSTITUTE($A1145,"-",""),"(",""),")",""),".",""),"+","")," ","")))</f>
      </c>
    </row>
    <row r="1146" spans="1:11" x14ac:dyDescent="0.3">
      <c r="A1146" s="28"/>
      <c r="B1146" s="29"/>
      <c r="C1146" s="30"/>
      <c r="D1146" s="31"/>
      <c r="E1146" s="33">
        <f>IF(OR($D1146="",$K1146=""),"",IF(COUNTIFS(Payments!$G$5:$G$2500,$K1146,Payments!$C$5:$C$2500,"&lt;&gt;")=0,"",_xlfn.MAXIFS(Payments!$C$5:$C$2500,Payments!$G$5:$G$2500,$K1146)))</f>
      </c>
      <c r="F1146" s="34">
        <f>IF(OR($D1146="",$K1146=""),"",SUMIF(Payments!$G$5:$G$2500,$K1146,Payments!$D$5:$D$2500))</f>
      </c>
      <c r="G1146" s="36">
        <f>IF($D1146="","",ROUND($D1146-IF($F1146="",0,$F1146),2))</f>
      </c>
      <c r="H1146" s="35">
        <f>IF(OR($D1146="",$K1146=""),"",COUNTIF(Payments!$G$5:$G$2500,$K1146))</f>
      </c>
      <c r="I1146" s="37">
        <f>IF($D1146="","",IF(OR($F1146="",$F1146=0),"Pending",IF(ROUND($F1146-$D1146,2)&gt;0,"Overpaid",IF(ROUND($F1146-$D1146,2)=0,"Paid","Partial"))))</f>
      </c>
      <c r="J1146" s="29"/>
      <c r="K1146">
        <f>IF($A1146="","","#"&amp;TRIM(SUBSTITUTE(SUBSTITUTE(SUBSTITUTE(SUBSTITUTE(SUBSTITUTE(SUBSTITUTE($A1146,"-",""),"(",""),")",""),".",""),"+","")," ","")))</f>
      </c>
    </row>
    <row r="1147" spans="1:11" x14ac:dyDescent="0.3">
      <c r="A1147" s="28"/>
      <c r="B1147" s="29"/>
      <c r="C1147" s="30"/>
      <c r="D1147" s="31"/>
      <c r="E1147" s="33">
        <f>IF(OR($D1147="",$K1147=""),"",IF(COUNTIFS(Payments!$G$5:$G$2500,$K1147,Payments!$C$5:$C$2500,"&lt;&gt;")=0,"",_xlfn.MAXIFS(Payments!$C$5:$C$2500,Payments!$G$5:$G$2500,$K1147)))</f>
      </c>
      <c r="F1147" s="34">
        <f>IF(OR($D1147="",$K1147=""),"",SUMIF(Payments!$G$5:$G$2500,$K1147,Payments!$D$5:$D$2500))</f>
      </c>
      <c r="G1147" s="36">
        <f>IF($D1147="","",ROUND($D1147-IF($F1147="",0,$F1147),2))</f>
      </c>
      <c r="H1147" s="35">
        <f>IF(OR($D1147="",$K1147=""),"",COUNTIF(Payments!$G$5:$G$2500,$K1147))</f>
      </c>
      <c r="I1147" s="37">
        <f>IF($D1147="","",IF(OR($F1147="",$F1147=0),"Pending",IF(ROUND($F1147-$D1147,2)&gt;0,"Overpaid",IF(ROUND($F1147-$D1147,2)=0,"Paid","Partial"))))</f>
      </c>
      <c r="J1147" s="29"/>
      <c r="K1147">
        <f>IF($A1147="","","#"&amp;TRIM(SUBSTITUTE(SUBSTITUTE(SUBSTITUTE(SUBSTITUTE(SUBSTITUTE(SUBSTITUTE($A1147,"-",""),"(",""),")",""),".",""),"+","")," ","")))</f>
      </c>
    </row>
    <row r="1148" spans="1:11" x14ac:dyDescent="0.3">
      <c r="A1148" s="28"/>
      <c r="B1148" s="29"/>
      <c r="C1148" s="30"/>
      <c r="D1148" s="31"/>
      <c r="E1148" s="33">
        <f>IF(OR($D1148="",$K1148=""),"",IF(COUNTIFS(Payments!$G$5:$G$2500,$K1148,Payments!$C$5:$C$2500,"&lt;&gt;")=0,"",_xlfn.MAXIFS(Payments!$C$5:$C$2500,Payments!$G$5:$G$2500,$K1148)))</f>
      </c>
      <c r="F1148" s="34">
        <f>IF(OR($D1148="",$K1148=""),"",SUMIF(Payments!$G$5:$G$2500,$K1148,Payments!$D$5:$D$2500))</f>
      </c>
      <c r="G1148" s="36">
        <f>IF($D1148="","",ROUND($D1148-IF($F1148="",0,$F1148),2))</f>
      </c>
      <c r="H1148" s="35">
        <f>IF(OR($D1148="",$K1148=""),"",COUNTIF(Payments!$G$5:$G$2500,$K1148))</f>
      </c>
      <c r="I1148" s="37">
        <f>IF($D1148="","",IF(OR($F1148="",$F1148=0),"Pending",IF(ROUND($F1148-$D1148,2)&gt;0,"Overpaid",IF(ROUND($F1148-$D1148,2)=0,"Paid","Partial"))))</f>
      </c>
      <c r="J1148" s="29"/>
      <c r="K1148">
        <f>IF($A1148="","","#"&amp;TRIM(SUBSTITUTE(SUBSTITUTE(SUBSTITUTE(SUBSTITUTE(SUBSTITUTE(SUBSTITUTE($A1148,"-",""),"(",""),")",""),".",""),"+","")," ","")))</f>
      </c>
    </row>
    <row r="1149" spans="1:11" x14ac:dyDescent="0.3">
      <c r="A1149" s="28"/>
      <c r="B1149" s="29"/>
      <c r="C1149" s="30"/>
      <c r="D1149" s="31"/>
      <c r="E1149" s="33">
        <f>IF(OR($D1149="",$K1149=""),"",IF(COUNTIFS(Payments!$G$5:$G$2500,$K1149,Payments!$C$5:$C$2500,"&lt;&gt;")=0,"",_xlfn.MAXIFS(Payments!$C$5:$C$2500,Payments!$G$5:$G$2500,$K1149)))</f>
      </c>
      <c r="F1149" s="34">
        <f>IF(OR($D1149="",$K1149=""),"",SUMIF(Payments!$G$5:$G$2500,$K1149,Payments!$D$5:$D$2500))</f>
      </c>
      <c r="G1149" s="36">
        <f>IF($D1149="","",ROUND($D1149-IF($F1149="",0,$F1149),2))</f>
      </c>
      <c r="H1149" s="35">
        <f>IF(OR($D1149="",$K1149=""),"",COUNTIF(Payments!$G$5:$G$2500,$K1149))</f>
      </c>
      <c r="I1149" s="37">
        <f>IF($D1149="","",IF(OR($F1149="",$F1149=0),"Pending",IF(ROUND($F1149-$D1149,2)&gt;0,"Overpaid",IF(ROUND($F1149-$D1149,2)=0,"Paid","Partial"))))</f>
      </c>
      <c r="J1149" s="29"/>
      <c r="K1149">
        <f>IF($A1149="","","#"&amp;TRIM(SUBSTITUTE(SUBSTITUTE(SUBSTITUTE(SUBSTITUTE(SUBSTITUTE(SUBSTITUTE($A1149,"-",""),"(",""),")",""),".",""),"+","")," ","")))</f>
      </c>
    </row>
    <row r="1150" spans="1:11" x14ac:dyDescent="0.3">
      <c r="A1150" s="28"/>
      <c r="B1150" s="29"/>
      <c r="C1150" s="30"/>
      <c r="D1150" s="31"/>
      <c r="E1150" s="33">
        <f>IF(OR($D1150="",$K1150=""),"",IF(COUNTIFS(Payments!$G$5:$G$2500,$K1150,Payments!$C$5:$C$2500,"&lt;&gt;")=0,"",_xlfn.MAXIFS(Payments!$C$5:$C$2500,Payments!$G$5:$G$2500,$K1150)))</f>
      </c>
      <c r="F1150" s="34">
        <f>IF(OR($D1150="",$K1150=""),"",SUMIF(Payments!$G$5:$G$2500,$K1150,Payments!$D$5:$D$2500))</f>
      </c>
      <c r="G1150" s="36">
        <f>IF($D1150="","",ROUND($D1150-IF($F1150="",0,$F1150),2))</f>
      </c>
      <c r="H1150" s="35">
        <f>IF(OR($D1150="",$K1150=""),"",COUNTIF(Payments!$G$5:$G$2500,$K1150))</f>
      </c>
      <c r="I1150" s="37">
        <f>IF($D1150="","",IF(OR($F1150="",$F1150=0),"Pending",IF(ROUND($F1150-$D1150,2)&gt;0,"Overpaid",IF(ROUND($F1150-$D1150,2)=0,"Paid","Partial"))))</f>
      </c>
      <c r="J1150" s="29"/>
      <c r="K1150">
        <f>IF($A1150="","","#"&amp;TRIM(SUBSTITUTE(SUBSTITUTE(SUBSTITUTE(SUBSTITUTE(SUBSTITUTE(SUBSTITUTE($A1150,"-",""),"(",""),")",""),".",""),"+","")," ","")))</f>
      </c>
    </row>
    <row r="1151" spans="1:11" x14ac:dyDescent="0.3">
      <c r="A1151" s="28"/>
      <c r="B1151" s="29"/>
      <c r="C1151" s="30"/>
      <c r="D1151" s="31"/>
      <c r="E1151" s="33">
        <f>IF(OR($D1151="",$K1151=""),"",IF(COUNTIFS(Payments!$G$5:$G$2500,$K1151,Payments!$C$5:$C$2500,"&lt;&gt;")=0,"",_xlfn.MAXIFS(Payments!$C$5:$C$2500,Payments!$G$5:$G$2500,$K1151)))</f>
      </c>
      <c r="F1151" s="34">
        <f>IF(OR($D1151="",$K1151=""),"",SUMIF(Payments!$G$5:$G$2500,$K1151,Payments!$D$5:$D$2500))</f>
      </c>
      <c r="G1151" s="36">
        <f>IF($D1151="","",ROUND($D1151-IF($F1151="",0,$F1151),2))</f>
      </c>
      <c r="H1151" s="35">
        <f>IF(OR($D1151="",$K1151=""),"",COUNTIF(Payments!$G$5:$G$2500,$K1151))</f>
      </c>
      <c r="I1151" s="37">
        <f>IF($D1151="","",IF(OR($F1151="",$F1151=0),"Pending",IF(ROUND($F1151-$D1151,2)&gt;0,"Overpaid",IF(ROUND($F1151-$D1151,2)=0,"Paid","Partial"))))</f>
      </c>
      <c r="J1151" s="29"/>
      <c r="K1151">
        <f>IF($A1151="","","#"&amp;TRIM(SUBSTITUTE(SUBSTITUTE(SUBSTITUTE(SUBSTITUTE(SUBSTITUTE(SUBSTITUTE($A1151,"-",""),"(",""),")",""),".",""),"+","")," ","")))</f>
      </c>
    </row>
    <row r="1152" spans="1:11" x14ac:dyDescent="0.3">
      <c r="A1152" s="28"/>
      <c r="B1152" s="29"/>
      <c r="C1152" s="30"/>
      <c r="D1152" s="31"/>
      <c r="E1152" s="33">
        <f>IF(OR($D1152="",$K1152=""),"",IF(COUNTIFS(Payments!$G$5:$G$2500,$K1152,Payments!$C$5:$C$2500,"&lt;&gt;")=0,"",_xlfn.MAXIFS(Payments!$C$5:$C$2500,Payments!$G$5:$G$2500,$K1152)))</f>
      </c>
      <c r="F1152" s="34">
        <f>IF(OR($D1152="",$K1152=""),"",SUMIF(Payments!$G$5:$G$2500,$K1152,Payments!$D$5:$D$2500))</f>
      </c>
      <c r="G1152" s="36">
        <f>IF($D1152="","",ROUND($D1152-IF($F1152="",0,$F1152),2))</f>
      </c>
      <c r="H1152" s="35">
        <f>IF(OR($D1152="",$K1152=""),"",COUNTIF(Payments!$G$5:$G$2500,$K1152))</f>
      </c>
      <c r="I1152" s="37">
        <f>IF($D1152="","",IF(OR($F1152="",$F1152=0),"Pending",IF(ROUND($F1152-$D1152,2)&gt;0,"Overpaid",IF(ROUND($F1152-$D1152,2)=0,"Paid","Partial"))))</f>
      </c>
      <c r="J1152" s="29"/>
      <c r="K1152">
        <f>IF($A1152="","","#"&amp;TRIM(SUBSTITUTE(SUBSTITUTE(SUBSTITUTE(SUBSTITUTE(SUBSTITUTE(SUBSTITUTE($A1152,"-",""),"(",""),")",""),".",""),"+","")," ","")))</f>
      </c>
    </row>
    <row r="1153" spans="1:11" x14ac:dyDescent="0.3">
      <c r="A1153" s="28"/>
      <c r="B1153" s="29"/>
      <c r="C1153" s="30"/>
      <c r="D1153" s="31"/>
      <c r="E1153" s="33">
        <f>IF(OR($D1153="",$K1153=""),"",IF(COUNTIFS(Payments!$G$5:$G$2500,$K1153,Payments!$C$5:$C$2500,"&lt;&gt;")=0,"",_xlfn.MAXIFS(Payments!$C$5:$C$2500,Payments!$G$5:$G$2500,$K1153)))</f>
      </c>
      <c r="F1153" s="34">
        <f>IF(OR($D1153="",$K1153=""),"",SUMIF(Payments!$G$5:$G$2500,$K1153,Payments!$D$5:$D$2500))</f>
      </c>
      <c r="G1153" s="36">
        <f>IF($D1153="","",ROUND($D1153-IF($F1153="",0,$F1153),2))</f>
      </c>
      <c r="H1153" s="35">
        <f>IF(OR($D1153="",$K1153=""),"",COUNTIF(Payments!$G$5:$G$2500,$K1153))</f>
      </c>
      <c r="I1153" s="37">
        <f>IF($D1153="","",IF(OR($F1153="",$F1153=0),"Pending",IF(ROUND($F1153-$D1153,2)&gt;0,"Overpaid",IF(ROUND($F1153-$D1153,2)=0,"Paid","Partial"))))</f>
      </c>
      <c r="J1153" s="29"/>
      <c r="K1153">
        <f>IF($A1153="","","#"&amp;TRIM(SUBSTITUTE(SUBSTITUTE(SUBSTITUTE(SUBSTITUTE(SUBSTITUTE(SUBSTITUTE($A1153,"-",""),"(",""),")",""),".",""),"+","")," ","")))</f>
      </c>
    </row>
    <row r="1154" spans="1:11" x14ac:dyDescent="0.3">
      <c r="A1154" s="28"/>
      <c r="B1154" s="29"/>
      <c r="C1154" s="30"/>
      <c r="D1154" s="31"/>
      <c r="E1154" s="33">
        <f>IF(OR($D1154="",$K1154=""),"",IF(COUNTIFS(Payments!$G$5:$G$2500,$K1154,Payments!$C$5:$C$2500,"&lt;&gt;")=0,"",_xlfn.MAXIFS(Payments!$C$5:$C$2500,Payments!$G$5:$G$2500,$K1154)))</f>
      </c>
      <c r="F1154" s="34">
        <f>IF(OR($D1154="",$K1154=""),"",SUMIF(Payments!$G$5:$G$2500,$K1154,Payments!$D$5:$D$2500))</f>
      </c>
      <c r="G1154" s="36">
        <f>IF($D1154="","",ROUND($D1154-IF($F1154="",0,$F1154),2))</f>
      </c>
      <c r="H1154" s="35">
        <f>IF(OR($D1154="",$K1154=""),"",COUNTIF(Payments!$G$5:$G$2500,$K1154))</f>
      </c>
      <c r="I1154" s="37">
        <f>IF($D1154="","",IF(OR($F1154="",$F1154=0),"Pending",IF(ROUND($F1154-$D1154,2)&gt;0,"Overpaid",IF(ROUND($F1154-$D1154,2)=0,"Paid","Partial"))))</f>
      </c>
      <c r="J1154" s="29"/>
      <c r="K1154">
        <f>IF($A1154="","","#"&amp;TRIM(SUBSTITUTE(SUBSTITUTE(SUBSTITUTE(SUBSTITUTE(SUBSTITUTE(SUBSTITUTE($A1154,"-",""),"(",""),")",""),".",""),"+","")," ","")))</f>
      </c>
    </row>
    <row r="1155" spans="1:11" x14ac:dyDescent="0.3">
      <c r="A1155" s="28"/>
      <c r="B1155" s="29"/>
      <c r="C1155" s="30"/>
      <c r="D1155" s="31"/>
      <c r="E1155" s="33">
        <f>IF(OR($D1155="",$K1155=""),"",IF(COUNTIFS(Payments!$G$5:$G$2500,$K1155,Payments!$C$5:$C$2500,"&lt;&gt;")=0,"",_xlfn.MAXIFS(Payments!$C$5:$C$2500,Payments!$G$5:$G$2500,$K1155)))</f>
      </c>
      <c r="F1155" s="34">
        <f>IF(OR($D1155="",$K1155=""),"",SUMIF(Payments!$G$5:$G$2500,$K1155,Payments!$D$5:$D$2500))</f>
      </c>
      <c r="G1155" s="36">
        <f>IF($D1155="","",ROUND($D1155-IF($F1155="",0,$F1155),2))</f>
      </c>
      <c r="H1155" s="35">
        <f>IF(OR($D1155="",$K1155=""),"",COUNTIF(Payments!$G$5:$G$2500,$K1155))</f>
      </c>
      <c r="I1155" s="37">
        <f>IF($D1155="","",IF(OR($F1155="",$F1155=0),"Pending",IF(ROUND($F1155-$D1155,2)&gt;0,"Overpaid",IF(ROUND($F1155-$D1155,2)=0,"Paid","Partial"))))</f>
      </c>
      <c r="J1155" s="29"/>
      <c r="K1155">
        <f>IF($A1155="","","#"&amp;TRIM(SUBSTITUTE(SUBSTITUTE(SUBSTITUTE(SUBSTITUTE(SUBSTITUTE(SUBSTITUTE($A1155,"-",""),"(",""),")",""),".",""),"+","")," ","")))</f>
      </c>
    </row>
    <row r="1156" spans="1:11" x14ac:dyDescent="0.3">
      <c r="A1156" s="28"/>
      <c r="B1156" s="29"/>
      <c r="C1156" s="30"/>
      <c r="D1156" s="31"/>
      <c r="E1156" s="33">
        <f>IF(OR($D1156="",$K1156=""),"",IF(COUNTIFS(Payments!$G$5:$G$2500,$K1156,Payments!$C$5:$C$2500,"&lt;&gt;")=0,"",_xlfn.MAXIFS(Payments!$C$5:$C$2500,Payments!$G$5:$G$2500,$K1156)))</f>
      </c>
      <c r="F1156" s="34">
        <f>IF(OR($D1156="",$K1156=""),"",SUMIF(Payments!$G$5:$G$2500,$K1156,Payments!$D$5:$D$2500))</f>
      </c>
      <c r="G1156" s="36">
        <f>IF($D1156="","",ROUND($D1156-IF($F1156="",0,$F1156),2))</f>
      </c>
      <c r="H1156" s="35">
        <f>IF(OR($D1156="",$K1156=""),"",COUNTIF(Payments!$G$5:$G$2500,$K1156))</f>
      </c>
      <c r="I1156" s="37">
        <f>IF($D1156="","",IF(OR($F1156="",$F1156=0),"Pending",IF(ROUND($F1156-$D1156,2)&gt;0,"Overpaid",IF(ROUND($F1156-$D1156,2)=0,"Paid","Partial"))))</f>
      </c>
      <c r="J1156" s="29"/>
      <c r="K1156">
        <f>IF($A1156="","","#"&amp;TRIM(SUBSTITUTE(SUBSTITUTE(SUBSTITUTE(SUBSTITUTE(SUBSTITUTE(SUBSTITUTE($A1156,"-",""),"(",""),")",""),".",""),"+","")," ","")))</f>
      </c>
    </row>
    <row r="1157" spans="1:11" x14ac:dyDescent="0.3">
      <c r="A1157" s="28"/>
      <c r="B1157" s="29"/>
      <c r="C1157" s="30"/>
      <c r="D1157" s="31"/>
      <c r="E1157" s="33">
        <f>IF(OR($D1157="",$K1157=""),"",IF(COUNTIFS(Payments!$G$5:$G$2500,$K1157,Payments!$C$5:$C$2500,"&lt;&gt;")=0,"",_xlfn.MAXIFS(Payments!$C$5:$C$2500,Payments!$G$5:$G$2500,$K1157)))</f>
      </c>
      <c r="F1157" s="34">
        <f>IF(OR($D1157="",$K1157=""),"",SUMIF(Payments!$G$5:$G$2500,$K1157,Payments!$D$5:$D$2500))</f>
      </c>
      <c r="G1157" s="36">
        <f>IF($D1157="","",ROUND($D1157-IF($F1157="",0,$F1157),2))</f>
      </c>
      <c r="H1157" s="35">
        <f>IF(OR($D1157="",$K1157=""),"",COUNTIF(Payments!$G$5:$G$2500,$K1157))</f>
      </c>
      <c r="I1157" s="37">
        <f>IF($D1157="","",IF(OR($F1157="",$F1157=0),"Pending",IF(ROUND($F1157-$D1157,2)&gt;0,"Overpaid",IF(ROUND($F1157-$D1157,2)=0,"Paid","Partial"))))</f>
      </c>
      <c r="J1157" s="29"/>
      <c r="K1157">
        <f>IF($A1157="","","#"&amp;TRIM(SUBSTITUTE(SUBSTITUTE(SUBSTITUTE(SUBSTITUTE(SUBSTITUTE(SUBSTITUTE($A1157,"-",""),"(",""),")",""),".",""),"+","")," ","")))</f>
      </c>
    </row>
    <row r="1158" spans="1:11" x14ac:dyDescent="0.3">
      <c r="A1158" s="28"/>
      <c r="B1158" s="29"/>
      <c r="C1158" s="30"/>
      <c r="D1158" s="31"/>
      <c r="E1158" s="33">
        <f>IF(OR($D1158="",$K1158=""),"",IF(COUNTIFS(Payments!$G$5:$G$2500,$K1158,Payments!$C$5:$C$2500,"&lt;&gt;")=0,"",_xlfn.MAXIFS(Payments!$C$5:$C$2500,Payments!$G$5:$G$2500,$K1158)))</f>
      </c>
      <c r="F1158" s="34">
        <f>IF(OR($D1158="",$K1158=""),"",SUMIF(Payments!$G$5:$G$2500,$K1158,Payments!$D$5:$D$2500))</f>
      </c>
      <c r="G1158" s="36">
        <f>IF($D1158="","",ROUND($D1158-IF($F1158="",0,$F1158),2))</f>
      </c>
      <c r="H1158" s="35">
        <f>IF(OR($D1158="",$K1158=""),"",COUNTIF(Payments!$G$5:$G$2500,$K1158))</f>
      </c>
      <c r="I1158" s="37">
        <f>IF($D1158="","",IF(OR($F1158="",$F1158=0),"Pending",IF(ROUND($F1158-$D1158,2)&gt;0,"Overpaid",IF(ROUND($F1158-$D1158,2)=0,"Paid","Partial"))))</f>
      </c>
      <c r="J1158" s="29"/>
      <c r="K1158">
        <f>IF($A1158="","","#"&amp;TRIM(SUBSTITUTE(SUBSTITUTE(SUBSTITUTE(SUBSTITUTE(SUBSTITUTE(SUBSTITUTE($A1158,"-",""),"(",""),")",""),".",""),"+","")," ","")))</f>
      </c>
    </row>
    <row r="1159" spans="1:11" x14ac:dyDescent="0.3">
      <c r="A1159" s="28"/>
      <c r="B1159" s="29"/>
      <c r="C1159" s="30"/>
      <c r="D1159" s="31"/>
      <c r="E1159" s="33">
        <f>IF(OR($D1159="",$K1159=""),"",IF(COUNTIFS(Payments!$G$5:$G$2500,$K1159,Payments!$C$5:$C$2500,"&lt;&gt;")=0,"",_xlfn.MAXIFS(Payments!$C$5:$C$2500,Payments!$G$5:$G$2500,$K1159)))</f>
      </c>
      <c r="F1159" s="34">
        <f>IF(OR($D1159="",$K1159=""),"",SUMIF(Payments!$G$5:$G$2500,$K1159,Payments!$D$5:$D$2500))</f>
      </c>
      <c r="G1159" s="36">
        <f>IF($D1159="","",ROUND($D1159-IF($F1159="",0,$F1159),2))</f>
      </c>
      <c r="H1159" s="35">
        <f>IF(OR($D1159="",$K1159=""),"",COUNTIF(Payments!$G$5:$G$2500,$K1159))</f>
      </c>
      <c r="I1159" s="37">
        <f>IF($D1159="","",IF(OR($F1159="",$F1159=0),"Pending",IF(ROUND($F1159-$D1159,2)&gt;0,"Overpaid",IF(ROUND($F1159-$D1159,2)=0,"Paid","Partial"))))</f>
      </c>
      <c r="J1159" s="29"/>
      <c r="K1159">
        <f>IF($A1159="","","#"&amp;TRIM(SUBSTITUTE(SUBSTITUTE(SUBSTITUTE(SUBSTITUTE(SUBSTITUTE(SUBSTITUTE($A1159,"-",""),"(",""),")",""),".",""),"+","")," ","")))</f>
      </c>
    </row>
    <row r="1160" spans="1:11" x14ac:dyDescent="0.3">
      <c r="A1160" s="28"/>
      <c r="B1160" s="29"/>
      <c r="C1160" s="30"/>
      <c r="D1160" s="31"/>
      <c r="E1160" s="33">
        <f>IF(OR($D1160="",$K1160=""),"",IF(COUNTIFS(Payments!$G$5:$G$2500,$K1160,Payments!$C$5:$C$2500,"&lt;&gt;")=0,"",_xlfn.MAXIFS(Payments!$C$5:$C$2500,Payments!$G$5:$G$2500,$K1160)))</f>
      </c>
      <c r="F1160" s="34">
        <f>IF(OR($D1160="",$K1160=""),"",SUMIF(Payments!$G$5:$G$2500,$K1160,Payments!$D$5:$D$2500))</f>
      </c>
      <c r="G1160" s="36">
        <f>IF($D1160="","",ROUND($D1160-IF($F1160="",0,$F1160),2))</f>
      </c>
      <c r="H1160" s="35">
        <f>IF(OR($D1160="",$K1160=""),"",COUNTIF(Payments!$G$5:$G$2500,$K1160))</f>
      </c>
      <c r="I1160" s="37">
        <f>IF($D1160="","",IF(OR($F1160="",$F1160=0),"Pending",IF(ROUND($F1160-$D1160,2)&gt;0,"Overpaid",IF(ROUND($F1160-$D1160,2)=0,"Paid","Partial"))))</f>
      </c>
      <c r="J1160" s="29"/>
      <c r="K1160">
        <f>IF($A1160="","","#"&amp;TRIM(SUBSTITUTE(SUBSTITUTE(SUBSTITUTE(SUBSTITUTE(SUBSTITUTE(SUBSTITUTE($A1160,"-",""),"(",""),")",""),".",""),"+","")," ","")))</f>
      </c>
    </row>
    <row r="1161" spans="1:11" x14ac:dyDescent="0.3">
      <c r="A1161" s="28"/>
      <c r="B1161" s="29"/>
      <c r="C1161" s="30"/>
      <c r="D1161" s="31"/>
      <c r="E1161" s="33">
        <f>IF(OR($D1161="",$K1161=""),"",IF(COUNTIFS(Payments!$G$5:$G$2500,$K1161,Payments!$C$5:$C$2500,"&lt;&gt;")=0,"",_xlfn.MAXIFS(Payments!$C$5:$C$2500,Payments!$G$5:$G$2500,$K1161)))</f>
      </c>
      <c r="F1161" s="34">
        <f>IF(OR($D1161="",$K1161=""),"",SUMIF(Payments!$G$5:$G$2500,$K1161,Payments!$D$5:$D$2500))</f>
      </c>
      <c r="G1161" s="36">
        <f>IF($D1161="","",ROUND($D1161-IF($F1161="",0,$F1161),2))</f>
      </c>
      <c r="H1161" s="35">
        <f>IF(OR($D1161="",$K1161=""),"",COUNTIF(Payments!$G$5:$G$2500,$K1161))</f>
      </c>
      <c r="I1161" s="37">
        <f>IF($D1161="","",IF(OR($F1161="",$F1161=0),"Pending",IF(ROUND($F1161-$D1161,2)&gt;0,"Overpaid",IF(ROUND($F1161-$D1161,2)=0,"Paid","Partial"))))</f>
      </c>
      <c r="J1161" s="29"/>
      <c r="K1161">
        <f>IF($A1161="","","#"&amp;TRIM(SUBSTITUTE(SUBSTITUTE(SUBSTITUTE(SUBSTITUTE(SUBSTITUTE(SUBSTITUTE($A1161,"-",""),"(",""),")",""),".",""),"+","")," ","")))</f>
      </c>
    </row>
    <row r="1162" spans="1:11" x14ac:dyDescent="0.3">
      <c r="A1162" s="28"/>
      <c r="B1162" s="29"/>
      <c r="C1162" s="30"/>
      <c r="D1162" s="31"/>
      <c r="E1162" s="33">
        <f>IF(OR($D1162="",$K1162=""),"",IF(COUNTIFS(Payments!$G$5:$G$2500,$K1162,Payments!$C$5:$C$2500,"&lt;&gt;")=0,"",_xlfn.MAXIFS(Payments!$C$5:$C$2500,Payments!$G$5:$G$2500,$K1162)))</f>
      </c>
      <c r="F1162" s="34">
        <f>IF(OR($D1162="",$K1162=""),"",SUMIF(Payments!$G$5:$G$2500,$K1162,Payments!$D$5:$D$2500))</f>
      </c>
      <c r="G1162" s="36">
        <f>IF($D1162="","",ROUND($D1162-IF($F1162="",0,$F1162),2))</f>
      </c>
      <c r="H1162" s="35">
        <f>IF(OR($D1162="",$K1162=""),"",COUNTIF(Payments!$G$5:$G$2500,$K1162))</f>
      </c>
      <c r="I1162" s="37">
        <f>IF($D1162="","",IF(OR($F1162="",$F1162=0),"Pending",IF(ROUND($F1162-$D1162,2)&gt;0,"Overpaid",IF(ROUND($F1162-$D1162,2)=0,"Paid","Partial"))))</f>
      </c>
      <c r="J1162" s="29"/>
      <c r="K1162">
        <f>IF($A1162="","","#"&amp;TRIM(SUBSTITUTE(SUBSTITUTE(SUBSTITUTE(SUBSTITUTE(SUBSTITUTE(SUBSTITUTE($A1162,"-",""),"(",""),")",""),".",""),"+","")," ","")))</f>
      </c>
    </row>
    <row r="1163" spans="1:11" x14ac:dyDescent="0.3">
      <c r="A1163" s="28"/>
      <c r="B1163" s="29"/>
      <c r="C1163" s="30"/>
      <c r="D1163" s="31"/>
      <c r="E1163" s="33">
        <f>IF(OR($D1163="",$K1163=""),"",IF(COUNTIFS(Payments!$G$5:$G$2500,$K1163,Payments!$C$5:$C$2500,"&lt;&gt;")=0,"",_xlfn.MAXIFS(Payments!$C$5:$C$2500,Payments!$G$5:$G$2500,$K1163)))</f>
      </c>
      <c r="F1163" s="34">
        <f>IF(OR($D1163="",$K1163=""),"",SUMIF(Payments!$G$5:$G$2500,$K1163,Payments!$D$5:$D$2500))</f>
      </c>
      <c r="G1163" s="36">
        <f>IF($D1163="","",ROUND($D1163-IF($F1163="",0,$F1163),2))</f>
      </c>
      <c r="H1163" s="35">
        <f>IF(OR($D1163="",$K1163=""),"",COUNTIF(Payments!$G$5:$G$2500,$K1163))</f>
      </c>
      <c r="I1163" s="37">
        <f>IF($D1163="","",IF(OR($F1163="",$F1163=0),"Pending",IF(ROUND($F1163-$D1163,2)&gt;0,"Overpaid",IF(ROUND($F1163-$D1163,2)=0,"Paid","Partial"))))</f>
      </c>
      <c r="J1163" s="29"/>
      <c r="K1163">
        <f>IF($A1163="","","#"&amp;TRIM(SUBSTITUTE(SUBSTITUTE(SUBSTITUTE(SUBSTITUTE(SUBSTITUTE(SUBSTITUTE($A1163,"-",""),"(",""),")",""),".",""),"+","")," ","")))</f>
      </c>
    </row>
    <row r="1164" spans="1:11" x14ac:dyDescent="0.3">
      <c r="A1164" s="28"/>
      <c r="B1164" s="29"/>
      <c r="C1164" s="30"/>
      <c r="D1164" s="31"/>
      <c r="E1164" s="33">
        <f>IF(OR($D1164="",$K1164=""),"",IF(COUNTIFS(Payments!$G$5:$G$2500,$K1164,Payments!$C$5:$C$2500,"&lt;&gt;")=0,"",_xlfn.MAXIFS(Payments!$C$5:$C$2500,Payments!$G$5:$G$2500,$K1164)))</f>
      </c>
      <c r="F1164" s="34">
        <f>IF(OR($D1164="",$K1164=""),"",SUMIF(Payments!$G$5:$G$2500,$K1164,Payments!$D$5:$D$2500))</f>
      </c>
      <c r="G1164" s="36">
        <f>IF($D1164="","",ROUND($D1164-IF($F1164="",0,$F1164),2))</f>
      </c>
      <c r="H1164" s="35">
        <f>IF(OR($D1164="",$K1164=""),"",COUNTIF(Payments!$G$5:$G$2500,$K1164))</f>
      </c>
      <c r="I1164" s="37">
        <f>IF($D1164="","",IF(OR($F1164="",$F1164=0),"Pending",IF(ROUND($F1164-$D1164,2)&gt;0,"Overpaid",IF(ROUND($F1164-$D1164,2)=0,"Paid","Partial"))))</f>
      </c>
      <c r="J1164" s="29"/>
      <c r="K1164">
        <f>IF($A1164="","","#"&amp;TRIM(SUBSTITUTE(SUBSTITUTE(SUBSTITUTE(SUBSTITUTE(SUBSTITUTE(SUBSTITUTE($A1164,"-",""),"(",""),")",""),".",""),"+","")," ","")))</f>
      </c>
    </row>
    <row r="1165" spans="1:11" x14ac:dyDescent="0.3">
      <c r="A1165" s="28"/>
      <c r="B1165" s="29"/>
      <c r="C1165" s="30"/>
      <c r="D1165" s="31"/>
      <c r="E1165" s="33">
        <f>IF(OR($D1165="",$K1165=""),"",IF(COUNTIFS(Payments!$G$5:$G$2500,$K1165,Payments!$C$5:$C$2500,"&lt;&gt;")=0,"",_xlfn.MAXIFS(Payments!$C$5:$C$2500,Payments!$G$5:$G$2500,$K1165)))</f>
      </c>
      <c r="F1165" s="34">
        <f>IF(OR($D1165="",$K1165=""),"",SUMIF(Payments!$G$5:$G$2500,$K1165,Payments!$D$5:$D$2500))</f>
      </c>
      <c r="G1165" s="36">
        <f>IF($D1165="","",ROUND($D1165-IF($F1165="",0,$F1165),2))</f>
      </c>
      <c r="H1165" s="35">
        <f>IF(OR($D1165="",$K1165=""),"",COUNTIF(Payments!$G$5:$G$2500,$K1165))</f>
      </c>
      <c r="I1165" s="37">
        <f>IF($D1165="","",IF(OR($F1165="",$F1165=0),"Pending",IF(ROUND($F1165-$D1165,2)&gt;0,"Overpaid",IF(ROUND($F1165-$D1165,2)=0,"Paid","Partial"))))</f>
      </c>
      <c r="J1165" s="29"/>
      <c r="K1165">
        <f>IF($A1165="","","#"&amp;TRIM(SUBSTITUTE(SUBSTITUTE(SUBSTITUTE(SUBSTITUTE(SUBSTITUTE(SUBSTITUTE($A1165,"-",""),"(",""),")",""),".",""),"+","")," ","")))</f>
      </c>
    </row>
    <row r="1166" spans="1:11" x14ac:dyDescent="0.3">
      <c r="A1166" s="28"/>
      <c r="B1166" s="29"/>
      <c r="C1166" s="30"/>
      <c r="D1166" s="31"/>
      <c r="E1166" s="33">
        <f>IF(OR($D1166="",$K1166=""),"",IF(COUNTIFS(Payments!$G$5:$G$2500,$K1166,Payments!$C$5:$C$2500,"&lt;&gt;")=0,"",_xlfn.MAXIFS(Payments!$C$5:$C$2500,Payments!$G$5:$G$2500,$K1166)))</f>
      </c>
      <c r="F1166" s="34">
        <f>IF(OR($D1166="",$K1166=""),"",SUMIF(Payments!$G$5:$G$2500,$K1166,Payments!$D$5:$D$2500))</f>
      </c>
      <c r="G1166" s="36">
        <f>IF($D1166="","",ROUND($D1166-IF($F1166="",0,$F1166),2))</f>
      </c>
      <c r="H1166" s="35">
        <f>IF(OR($D1166="",$K1166=""),"",COUNTIF(Payments!$G$5:$G$2500,$K1166))</f>
      </c>
      <c r="I1166" s="37">
        <f>IF($D1166="","",IF(OR($F1166="",$F1166=0),"Pending",IF(ROUND($F1166-$D1166,2)&gt;0,"Overpaid",IF(ROUND($F1166-$D1166,2)=0,"Paid","Partial"))))</f>
      </c>
      <c r="J1166" s="29"/>
      <c r="K1166">
        <f>IF($A1166="","","#"&amp;TRIM(SUBSTITUTE(SUBSTITUTE(SUBSTITUTE(SUBSTITUTE(SUBSTITUTE(SUBSTITUTE($A1166,"-",""),"(",""),")",""),".",""),"+","")," ","")))</f>
      </c>
    </row>
    <row r="1167" spans="1:11" x14ac:dyDescent="0.3">
      <c r="A1167" s="28"/>
      <c r="B1167" s="29"/>
      <c r="C1167" s="30"/>
      <c r="D1167" s="31"/>
      <c r="E1167" s="33">
        <f>IF(OR($D1167="",$K1167=""),"",IF(COUNTIFS(Payments!$G$5:$G$2500,$K1167,Payments!$C$5:$C$2500,"&lt;&gt;")=0,"",_xlfn.MAXIFS(Payments!$C$5:$C$2500,Payments!$G$5:$G$2500,$K1167)))</f>
      </c>
      <c r="F1167" s="34">
        <f>IF(OR($D1167="",$K1167=""),"",SUMIF(Payments!$G$5:$G$2500,$K1167,Payments!$D$5:$D$2500))</f>
      </c>
      <c r="G1167" s="36">
        <f>IF($D1167="","",ROUND($D1167-IF($F1167="",0,$F1167),2))</f>
      </c>
      <c r="H1167" s="35">
        <f>IF(OR($D1167="",$K1167=""),"",COUNTIF(Payments!$G$5:$G$2500,$K1167))</f>
      </c>
      <c r="I1167" s="37">
        <f>IF($D1167="","",IF(OR($F1167="",$F1167=0),"Pending",IF(ROUND($F1167-$D1167,2)&gt;0,"Overpaid",IF(ROUND($F1167-$D1167,2)=0,"Paid","Partial"))))</f>
      </c>
      <c r="J1167" s="29"/>
      <c r="K1167">
        <f>IF($A1167="","","#"&amp;TRIM(SUBSTITUTE(SUBSTITUTE(SUBSTITUTE(SUBSTITUTE(SUBSTITUTE(SUBSTITUTE($A1167,"-",""),"(",""),")",""),".",""),"+","")," ","")))</f>
      </c>
    </row>
    <row r="1168" spans="1:11" x14ac:dyDescent="0.3">
      <c r="A1168" s="28"/>
      <c r="B1168" s="29"/>
      <c r="C1168" s="30"/>
      <c r="D1168" s="31"/>
      <c r="E1168" s="33">
        <f>IF(OR($D1168="",$K1168=""),"",IF(COUNTIFS(Payments!$G$5:$G$2500,$K1168,Payments!$C$5:$C$2500,"&lt;&gt;")=0,"",_xlfn.MAXIFS(Payments!$C$5:$C$2500,Payments!$G$5:$G$2500,$K1168)))</f>
      </c>
      <c r="F1168" s="34">
        <f>IF(OR($D1168="",$K1168=""),"",SUMIF(Payments!$G$5:$G$2500,$K1168,Payments!$D$5:$D$2500))</f>
      </c>
      <c r="G1168" s="36">
        <f>IF($D1168="","",ROUND($D1168-IF($F1168="",0,$F1168),2))</f>
      </c>
      <c r="H1168" s="35">
        <f>IF(OR($D1168="",$K1168=""),"",COUNTIF(Payments!$G$5:$G$2500,$K1168))</f>
      </c>
      <c r="I1168" s="37">
        <f>IF($D1168="","",IF(OR($F1168="",$F1168=0),"Pending",IF(ROUND($F1168-$D1168,2)&gt;0,"Overpaid",IF(ROUND($F1168-$D1168,2)=0,"Paid","Partial"))))</f>
      </c>
      <c r="J1168" s="29"/>
      <c r="K1168">
        <f>IF($A1168="","","#"&amp;TRIM(SUBSTITUTE(SUBSTITUTE(SUBSTITUTE(SUBSTITUTE(SUBSTITUTE(SUBSTITUTE($A1168,"-",""),"(",""),")",""),".",""),"+","")," ","")))</f>
      </c>
    </row>
    <row r="1169" spans="1:11" x14ac:dyDescent="0.3">
      <c r="A1169" s="28"/>
      <c r="B1169" s="29"/>
      <c r="C1169" s="30"/>
      <c r="D1169" s="31"/>
      <c r="E1169" s="33">
        <f>IF(OR($D1169="",$K1169=""),"",IF(COUNTIFS(Payments!$G$5:$G$2500,$K1169,Payments!$C$5:$C$2500,"&lt;&gt;")=0,"",_xlfn.MAXIFS(Payments!$C$5:$C$2500,Payments!$G$5:$G$2500,$K1169)))</f>
      </c>
      <c r="F1169" s="34">
        <f>IF(OR($D1169="",$K1169=""),"",SUMIF(Payments!$G$5:$G$2500,$K1169,Payments!$D$5:$D$2500))</f>
      </c>
      <c r="G1169" s="36">
        <f>IF($D1169="","",ROUND($D1169-IF($F1169="",0,$F1169),2))</f>
      </c>
      <c r="H1169" s="35">
        <f>IF(OR($D1169="",$K1169=""),"",COUNTIF(Payments!$G$5:$G$2500,$K1169))</f>
      </c>
      <c r="I1169" s="37">
        <f>IF($D1169="","",IF(OR($F1169="",$F1169=0),"Pending",IF(ROUND($F1169-$D1169,2)&gt;0,"Overpaid",IF(ROUND($F1169-$D1169,2)=0,"Paid","Partial"))))</f>
      </c>
      <c r="J1169" s="29"/>
      <c r="K1169">
        <f>IF($A1169="","","#"&amp;TRIM(SUBSTITUTE(SUBSTITUTE(SUBSTITUTE(SUBSTITUTE(SUBSTITUTE(SUBSTITUTE($A1169,"-",""),"(",""),")",""),".",""),"+","")," ","")))</f>
      </c>
    </row>
    <row r="1170" spans="1:11" x14ac:dyDescent="0.3">
      <c r="A1170" s="28"/>
      <c r="B1170" s="29"/>
      <c r="C1170" s="30"/>
      <c r="D1170" s="31"/>
      <c r="E1170" s="33">
        <f>IF(OR($D1170="",$K1170=""),"",IF(COUNTIFS(Payments!$G$5:$G$2500,$K1170,Payments!$C$5:$C$2500,"&lt;&gt;")=0,"",_xlfn.MAXIFS(Payments!$C$5:$C$2500,Payments!$G$5:$G$2500,$K1170)))</f>
      </c>
      <c r="F1170" s="34">
        <f>IF(OR($D1170="",$K1170=""),"",SUMIF(Payments!$G$5:$G$2500,$K1170,Payments!$D$5:$D$2500))</f>
      </c>
      <c r="G1170" s="36">
        <f>IF($D1170="","",ROUND($D1170-IF($F1170="",0,$F1170),2))</f>
      </c>
      <c r="H1170" s="35">
        <f>IF(OR($D1170="",$K1170=""),"",COUNTIF(Payments!$G$5:$G$2500,$K1170))</f>
      </c>
      <c r="I1170" s="37">
        <f>IF($D1170="","",IF(OR($F1170="",$F1170=0),"Pending",IF(ROUND($F1170-$D1170,2)&gt;0,"Overpaid",IF(ROUND($F1170-$D1170,2)=0,"Paid","Partial"))))</f>
      </c>
      <c r="J1170" s="29"/>
      <c r="K1170">
        <f>IF($A1170="","","#"&amp;TRIM(SUBSTITUTE(SUBSTITUTE(SUBSTITUTE(SUBSTITUTE(SUBSTITUTE(SUBSTITUTE($A1170,"-",""),"(",""),")",""),".",""),"+","")," ","")))</f>
      </c>
    </row>
    <row r="1171" spans="1:11" x14ac:dyDescent="0.3">
      <c r="A1171" s="28"/>
      <c r="B1171" s="29"/>
      <c r="C1171" s="30"/>
      <c r="D1171" s="31"/>
      <c r="E1171" s="33">
        <f>IF(OR($D1171="",$K1171=""),"",IF(COUNTIFS(Payments!$G$5:$G$2500,$K1171,Payments!$C$5:$C$2500,"&lt;&gt;")=0,"",_xlfn.MAXIFS(Payments!$C$5:$C$2500,Payments!$G$5:$G$2500,$K1171)))</f>
      </c>
      <c r="F1171" s="34">
        <f>IF(OR($D1171="",$K1171=""),"",SUMIF(Payments!$G$5:$G$2500,$K1171,Payments!$D$5:$D$2500))</f>
      </c>
      <c r="G1171" s="36">
        <f>IF($D1171="","",ROUND($D1171-IF($F1171="",0,$F1171),2))</f>
      </c>
      <c r="H1171" s="35">
        <f>IF(OR($D1171="",$K1171=""),"",COUNTIF(Payments!$G$5:$G$2500,$K1171))</f>
      </c>
      <c r="I1171" s="37">
        <f>IF($D1171="","",IF(OR($F1171="",$F1171=0),"Pending",IF(ROUND($F1171-$D1171,2)&gt;0,"Overpaid",IF(ROUND($F1171-$D1171,2)=0,"Paid","Partial"))))</f>
      </c>
      <c r="J1171" s="29"/>
      <c r="K1171">
        <f>IF($A1171="","","#"&amp;TRIM(SUBSTITUTE(SUBSTITUTE(SUBSTITUTE(SUBSTITUTE(SUBSTITUTE(SUBSTITUTE($A1171,"-",""),"(",""),")",""),".",""),"+","")," ","")))</f>
      </c>
    </row>
    <row r="1172" spans="1:11" x14ac:dyDescent="0.3">
      <c r="A1172" s="28"/>
      <c r="B1172" s="29"/>
      <c r="C1172" s="30"/>
      <c r="D1172" s="31"/>
      <c r="E1172" s="33">
        <f>IF(OR($D1172="",$K1172=""),"",IF(COUNTIFS(Payments!$G$5:$G$2500,$K1172,Payments!$C$5:$C$2500,"&lt;&gt;")=0,"",_xlfn.MAXIFS(Payments!$C$5:$C$2500,Payments!$G$5:$G$2500,$K1172)))</f>
      </c>
      <c r="F1172" s="34">
        <f>IF(OR($D1172="",$K1172=""),"",SUMIF(Payments!$G$5:$G$2500,$K1172,Payments!$D$5:$D$2500))</f>
      </c>
      <c r="G1172" s="36">
        <f>IF($D1172="","",ROUND($D1172-IF($F1172="",0,$F1172),2))</f>
      </c>
      <c r="H1172" s="35">
        <f>IF(OR($D1172="",$K1172=""),"",COUNTIF(Payments!$G$5:$G$2500,$K1172))</f>
      </c>
      <c r="I1172" s="37">
        <f>IF($D1172="","",IF(OR($F1172="",$F1172=0),"Pending",IF(ROUND($F1172-$D1172,2)&gt;0,"Overpaid",IF(ROUND($F1172-$D1172,2)=0,"Paid","Partial"))))</f>
      </c>
      <c r="J1172" s="29"/>
      <c r="K1172">
        <f>IF($A1172="","","#"&amp;TRIM(SUBSTITUTE(SUBSTITUTE(SUBSTITUTE(SUBSTITUTE(SUBSTITUTE(SUBSTITUTE($A1172,"-",""),"(",""),")",""),".",""),"+","")," ","")))</f>
      </c>
    </row>
    <row r="1173" spans="1:11" x14ac:dyDescent="0.3">
      <c r="A1173" s="28"/>
      <c r="B1173" s="29"/>
      <c r="C1173" s="30"/>
      <c r="D1173" s="31"/>
      <c r="E1173" s="33">
        <f>IF(OR($D1173="",$K1173=""),"",IF(COUNTIFS(Payments!$G$5:$G$2500,$K1173,Payments!$C$5:$C$2500,"&lt;&gt;")=0,"",_xlfn.MAXIFS(Payments!$C$5:$C$2500,Payments!$G$5:$G$2500,$K1173)))</f>
      </c>
      <c r="F1173" s="34">
        <f>IF(OR($D1173="",$K1173=""),"",SUMIF(Payments!$G$5:$G$2500,$K1173,Payments!$D$5:$D$2500))</f>
      </c>
      <c r="G1173" s="36">
        <f>IF($D1173="","",ROUND($D1173-IF($F1173="",0,$F1173),2))</f>
      </c>
      <c r="H1173" s="35">
        <f>IF(OR($D1173="",$K1173=""),"",COUNTIF(Payments!$G$5:$G$2500,$K1173))</f>
      </c>
      <c r="I1173" s="37">
        <f>IF($D1173="","",IF(OR($F1173="",$F1173=0),"Pending",IF(ROUND($F1173-$D1173,2)&gt;0,"Overpaid",IF(ROUND($F1173-$D1173,2)=0,"Paid","Partial"))))</f>
      </c>
      <c r="J1173" s="29"/>
      <c r="K1173">
        <f>IF($A1173="","","#"&amp;TRIM(SUBSTITUTE(SUBSTITUTE(SUBSTITUTE(SUBSTITUTE(SUBSTITUTE(SUBSTITUTE($A1173,"-",""),"(",""),")",""),".",""),"+","")," ","")))</f>
      </c>
    </row>
    <row r="1174" spans="1:11" x14ac:dyDescent="0.3">
      <c r="A1174" s="28"/>
      <c r="B1174" s="29"/>
      <c r="C1174" s="30"/>
      <c r="D1174" s="31"/>
      <c r="E1174" s="33">
        <f>IF(OR($D1174="",$K1174=""),"",IF(COUNTIFS(Payments!$G$5:$G$2500,$K1174,Payments!$C$5:$C$2500,"&lt;&gt;")=0,"",_xlfn.MAXIFS(Payments!$C$5:$C$2500,Payments!$G$5:$G$2500,$K1174)))</f>
      </c>
      <c r="F1174" s="34">
        <f>IF(OR($D1174="",$K1174=""),"",SUMIF(Payments!$G$5:$G$2500,$K1174,Payments!$D$5:$D$2500))</f>
      </c>
      <c r="G1174" s="36">
        <f>IF($D1174="","",ROUND($D1174-IF($F1174="",0,$F1174),2))</f>
      </c>
      <c r="H1174" s="35">
        <f>IF(OR($D1174="",$K1174=""),"",COUNTIF(Payments!$G$5:$G$2500,$K1174))</f>
      </c>
      <c r="I1174" s="37">
        <f>IF($D1174="","",IF(OR($F1174="",$F1174=0),"Pending",IF(ROUND($F1174-$D1174,2)&gt;0,"Overpaid",IF(ROUND($F1174-$D1174,2)=0,"Paid","Partial"))))</f>
      </c>
      <c r="J1174" s="29"/>
      <c r="K1174">
        <f>IF($A1174="","","#"&amp;TRIM(SUBSTITUTE(SUBSTITUTE(SUBSTITUTE(SUBSTITUTE(SUBSTITUTE(SUBSTITUTE($A1174,"-",""),"(",""),")",""),".",""),"+","")," ","")))</f>
      </c>
    </row>
    <row r="1175" spans="1:11" x14ac:dyDescent="0.3">
      <c r="A1175" s="28"/>
      <c r="B1175" s="29"/>
      <c r="C1175" s="30"/>
      <c r="D1175" s="31"/>
      <c r="E1175" s="33">
        <f>IF(OR($D1175="",$K1175=""),"",IF(COUNTIFS(Payments!$G$5:$G$2500,$K1175,Payments!$C$5:$C$2500,"&lt;&gt;")=0,"",_xlfn.MAXIFS(Payments!$C$5:$C$2500,Payments!$G$5:$G$2500,$K1175)))</f>
      </c>
      <c r="F1175" s="34">
        <f>IF(OR($D1175="",$K1175=""),"",SUMIF(Payments!$G$5:$G$2500,$K1175,Payments!$D$5:$D$2500))</f>
      </c>
      <c r="G1175" s="36">
        <f>IF($D1175="","",ROUND($D1175-IF($F1175="",0,$F1175),2))</f>
      </c>
      <c r="H1175" s="35">
        <f>IF(OR($D1175="",$K1175=""),"",COUNTIF(Payments!$G$5:$G$2500,$K1175))</f>
      </c>
      <c r="I1175" s="37">
        <f>IF($D1175="","",IF(OR($F1175="",$F1175=0),"Pending",IF(ROUND($F1175-$D1175,2)&gt;0,"Overpaid",IF(ROUND($F1175-$D1175,2)=0,"Paid","Partial"))))</f>
      </c>
      <c r="J1175" s="29"/>
      <c r="K1175">
        <f>IF($A1175="","","#"&amp;TRIM(SUBSTITUTE(SUBSTITUTE(SUBSTITUTE(SUBSTITUTE(SUBSTITUTE(SUBSTITUTE($A1175,"-",""),"(",""),")",""),".",""),"+","")," ","")))</f>
      </c>
    </row>
    <row r="1176" spans="1:11" x14ac:dyDescent="0.3">
      <c r="A1176" s="28"/>
      <c r="B1176" s="29"/>
      <c r="C1176" s="30"/>
      <c r="D1176" s="31"/>
      <c r="E1176" s="33">
        <f>IF(OR($D1176="",$K1176=""),"",IF(COUNTIFS(Payments!$G$5:$G$2500,$K1176,Payments!$C$5:$C$2500,"&lt;&gt;")=0,"",_xlfn.MAXIFS(Payments!$C$5:$C$2500,Payments!$G$5:$G$2500,$K1176)))</f>
      </c>
      <c r="F1176" s="34">
        <f>IF(OR($D1176="",$K1176=""),"",SUMIF(Payments!$G$5:$G$2500,$K1176,Payments!$D$5:$D$2500))</f>
      </c>
      <c r="G1176" s="36">
        <f>IF($D1176="","",ROUND($D1176-IF($F1176="",0,$F1176),2))</f>
      </c>
      <c r="H1176" s="35">
        <f>IF(OR($D1176="",$K1176=""),"",COUNTIF(Payments!$G$5:$G$2500,$K1176))</f>
      </c>
      <c r="I1176" s="37">
        <f>IF($D1176="","",IF(OR($F1176="",$F1176=0),"Pending",IF(ROUND($F1176-$D1176,2)&gt;0,"Overpaid",IF(ROUND($F1176-$D1176,2)=0,"Paid","Partial"))))</f>
      </c>
      <c r="J1176" s="29"/>
      <c r="K1176">
        <f>IF($A1176="","","#"&amp;TRIM(SUBSTITUTE(SUBSTITUTE(SUBSTITUTE(SUBSTITUTE(SUBSTITUTE(SUBSTITUTE($A1176,"-",""),"(",""),")",""),".",""),"+","")," ","")))</f>
      </c>
    </row>
    <row r="1177" spans="1:11" x14ac:dyDescent="0.3">
      <c r="A1177" s="28"/>
      <c r="B1177" s="29"/>
      <c r="C1177" s="30"/>
      <c r="D1177" s="31"/>
      <c r="E1177" s="33">
        <f>IF(OR($D1177="",$K1177=""),"",IF(COUNTIFS(Payments!$G$5:$G$2500,$K1177,Payments!$C$5:$C$2500,"&lt;&gt;")=0,"",_xlfn.MAXIFS(Payments!$C$5:$C$2500,Payments!$G$5:$G$2500,$K1177)))</f>
      </c>
      <c r="F1177" s="34">
        <f>IF(OR($D1177="",$K1177=""),"",SUMIF(Payments!$G$5:$G$2500,$K1177,Payments!$D$5:$D$2500))</f>
      </c>
      <c r="G1177" s="36">
        <f>IF($D1177="","",ROUND($D1177-IF($F1177="",0,$F1177),2))</f>
      </c>
      <c r="H1177" s="35">
        <f>IF(OR($D1177="",$K1177=""),"",COUNTIF(Payments!$G$5:$G$2500,$K1177))</f>
      </c>
      <c r="I1177" s="37">
        <f>IF($D1177="","",IF(OR($F1177="",$F1177=0),"Pending",IF(ROUND($F1177-$D1177,2)&gt;0,"Overpaid",IF(ROUND($F1177-$D1177,2)=0,"Paid","Partial"))))</f>
      </c>
      <c r="J1177" s="29"/>
      <c r="K1177">
        <f>IF($A1177="","","#"&amp;TRIM(SUBSTITUTE(SUBSTITUTE(SUBSTITUTE(SUBSTITUTE(SUBSTITUTE(SUBSTITUTE($A1177,"-",""),"(",""),")",""),".",""),"+","")," ","")))</f>
      </c>
    </row>
    <row r="1178" spans="1:11" x14ac:dyDescent="0.3">
      <c r="A1178" s="28"/>
      <c r="B1178" s="29"/>
      <c r="C1178" s="30"/>
      <c r="D1178" s="31"/>
      <c r="E1178" s="33">
        <f>IF(OR($D1178="",$K1178=""),"",IF(COUNTIFS(Payments!$G$5:$G$2500,$K1178,Payments!$C$5:$C$2500,"&lt;&gt;")=0,"",_xlfn.MAXIFS(Payments!$C$5:$C$2500,Payments!$G$5:$G$2500,$K1178)))</f>
      </c>
      <c r="F1178" s="34">
        <f>IF(OR($D1178="",$K1178=""),"",SUMIF(Payments!$G$5:$G$2500,$K1178,Payments!$D$5:$D$2500))</f>
      </c>
      <c r="G1178" s="36">
        <f>IF($D1178="","",ROUND($D1178-IF($F1178="",0,$F1178),2))</f>
      </c>
      <c r="H1178" s="35">
        <f>IF(OR($D1178="",$K1178=""),"",COUNTIF(Payments!$G$5:$G$2500,$K1178))</f>
      </c>
      <c r="I1178" s="37">
        <f>IF($D1178="","",IF(OR($F1178="",$F1178=0),"Pending",IF(ROUND($F1178-$D1178,2)&gt;0,"Overpaid",IF(ROUND($F1178-$D1178,2)=0,"Paid","Partial"))))</f>
      </c>
      <c r="J1178" s="29"/>
      <c r="K1178">
        <f>IF($A1178="","","#"&amp;TRIM(SUBSTITUTE(SUBSTITUTE(SUBSTITUTE(SUBSTITUTE(SUBSTITUTE(SUBSTITUTE($A1178,"-",""),"(",""),")",""),".",""),"+","")," ","")))</f>
      </c>
    </row>
    <row r="1179" spans="1:11" x14ac:dyDescent="0.3">
      <c r="A1179" s="28"/>
      <c r="B1179" s="29"/>
      <c r="C1179" s="30"/>
      <c r="D1179" s="31"/>
      <c r="E1179" s="33">
        <f>IF(OR($D1179="",$K1179=""),"",IF(COUNTIFS(Payments!$G$5:$G$2500,$K1179,Payments!$C$5:$C$2500,"&lt;&gt;")=0,"",_xlfn.MAXIFS(Payments!$C$5:$C$2500,Payments!$G$5:$G$2500,$K1179)))</f>
      </c>
      <c r="F1179" s="34">
        <f>IF(OR($D1179="",$K1179=""),"",SUMIF(Payments!$G$5:$G$2500,$K1179,Payments!$D$5:$D$2500))</f>
      </c>
      <c r="G1179" s="36">
        <f>IF($D1179="","",ROUND($D1179-IF($F1179="",0,$F1179),2))</f>
      </c>
      <c r="H1179" s="35">
        <f>IF(OR($D1179="",$K1179=""),"",COUNTIF(Payments!$G$5:$G$2500,$K1179))</f>
      </c>
      <c r="I1179" s="37">
        <f>IF($D1179="","",IF(OR($F1179="",$F1179=0),"Pending",IF(ROUND($F1179-$D1179,2)&gt;0,"Overpaid",IF(ROUND($F1179-$D1179,2)=0,"Paid","Partial"))))</f>
      </c>
      <c r="J1179" s="29"/>
      <c r="K1179">
        <f>IF($A1179="","","#"&amp;TRIM(SUBSTITUTE(SUBSTITUTE(SUBSTITUTE(SUBSTITUTE(SUBSTITUTE(SUBSTITUTE($A1179,"-",""),"(",""),")",""),".",""),"+","")," ","")))</f>
      </c>
    </row>
    <row r="1180" spans="1:11" x14ac:dyDescent="0.3">
      <c r="A1180" s="28"/>
      <c r="B1180" s="29"/>
      <c r="C1180" s="30"/>
      <c r="D1180" s="31"/>
      <c r="E1180" s="33">
        <f>IF(OR($D1180="",$K1180=""),"",IF(COUNTIFS(Payments!$G$5:$G$2500,$K1180,Payments!$C$5:$C$2500,"&lt;&gt;")=0,"",_xlfn.MAXIFS(Payments!$C$5:$C$2500,Payments!$G$5:$G$2500,$K1180)))</f>
      </c>
      <c r="F1180" s="34">
        <f>IF(OR($D1180="",$K1180=""),"",SUMIF(Payments!$G$5:$G$2500,$K1180,Payments!$D$5:$D$2500))</f>
      </c>
      <c r="G1180" s="36">
        <f>IF($D1180="","",ROUND($D1180-IF($F1180="",0,$F1180),2))</f>
      </c>
      <c r="H1180" s="35">
        <f>IF(OR($D1180="",$K1180=""),"",COUNTIF(Payments!$G$5:$G$2500,$K1180))</f>
      </c>
      <c r="I1180" s="37">
        <f>IF($D1180="","",IF(OR($F1180="",$F1180=0),"Pending",IF(ROUND($F1180-$D1180,2)&gt;0,"Overpaid",IF(ROUND($F1180-$D1180,2)=0,"Paid","Partial"))))</f>
      </c>
      <c r="J1180" s="29"/>
      <c r="K1180">
        <f>IF($A1180="","","#"&amp;TRIM(SUBSTITUTE(SUBSTITUTE(SUBSTITUTE(SUBSTITUTE(SUBSTITUTE(SUBSTITUTE($A1180,"-",""),"(",""),")",""),".",""),"+","")," ","")))</f>
      </c>
    </row>
    <row r="1181" spans="1:11" x14ac:dyDescent="0.3">
      <c r="A1181" s="28"/>
      <c r="B1181" s="29"/>
      <c r="C1181" s="30"/>
      <c r="D1181" s="31"/>
      <c r="E1181" s="33">
        <f>IF(OR($D1181="",$K1181=""),"",IF(COUNTIFS(Payments!$G$5:$G$2500,$K1181,Payments!$C$5:$C$2500,"&lt;&gt;")=0,"",_xlfn.MAXIFS(Payments!$C$5:$C$2500,Payments!$G$5:$G$2500,$K1181)))</f>
      </c>
      <c r="F1181" s="34">
        <f>IF(OR($D1181="",$K1181=""),"",SUMIF(Payments!$G$5:$G$2500,$K1181,Payments!$D$5:$D$2500))</f>
      </c>
      <c r="G1181" s="36">
        <f>IF($D1181="","",ROUND($D1181-IF($F1181="",0,$F1181),2))</f>
      </c>
      <c r="H1181" s="35">
        <f>IF(OR($D1181="",$K1181=""),"",COUNTIF(Payments!$G$5:$G$2500,$K1181))</f>
      </c>
      <c r="I1181" s="37">
        <f>IF($D1181="","",IF(OR($F1181="",$F1181=0),"Pending",IF(ROUND($F1181-$D1181,2)&gt;0,"Overpaid",IF(ROUND($F1181-$D1181,2)=0,"Paid","Partial"))))</f>
      </c>
      <c r="J1181" s="29"/>
      <c r="K1181">
        <f>IF($A1181="","","#"&amp;TRIM(SUBSTITUTE(SUBSTITUTE(SUBSTITUTE(SUBSTITUTE(SUBSTITUTE(SUBSTITUTE($A1181,"-",""),"(",""),")",""),".",""),"+","")," ","")))</f>
      </c>
    </row>
    <row r="1182" spans="1:11" x14ac:dyDescent="0.3">
      <c r="A1182" s="28"/>
      <c r="B1182" s="29"/>
      <c r="C1182" s="30"/>
      <c r="D1182" s="31"/>
      <c r="E1182" s="33">
        <f>IF(OR($D1182="",$K1182=""),"",IF(COUNTIFS(Payments!$G$5:$G$2500,$K1182,Payments!$C$5:$C$2500,"&lt;&gt;")=0,"",_xlfn.MAXIFS(Payments!$C$5:$C$2500,Payments!$G$5:$G$2500,$K1182)))</f>
      </c>
      <c r="F1182" s="34">
        <f>IF(OR($D1182="",$K1182=""),"",SUMIF(Payments!$G$5:$G$2500,$K1182,Payments!$D$5:$D$2500))</f>
      </c>
      <c r="G1182" s="36">
        <f>IF($D1182="","",ROUND($D1182-IF($F1182="",0,$F1182),2))</f>
      </c>
      <c r="H1182" s="35">
        <f>IF(OR($D1182="",$K1182=""),"",COUNTIF(Payments!$G$5:$G$2500,$K1182))</f>
      </c>
      <c r="I1182" s="37">
        <f>IF($D1182="","",IF(OR($F1182="",$F1182=0),"Pending",IF(ROUND($F1182-$D1182,2)&gt;0,"Overpaid",IF(ROUND($F1182-$D1182,2)=0,"Paid","Partial"))))</f>
      </c>
      <c r="J1182" s="29"/>
      <c r="K1182">
        <f>IF($A1182="","","#"&amp;TRIM(SUBSTITUTE(SUBSTITUTE(SUBSTITUTE(SUBSTITUTE(SUBSTITUTE(SUBSTITUTE($A1182,"-",""),"(",""),")",""),".",""),"+","")," ","")))</f>
      </c>
    </row>
    <row r="1183" spans="1:11" x14ac:dyDescent="0.3">
      <c r="A1183" s="28"/>
      <c r="B1183" s="29"/>
      <c r="C1183" s="30"/>
      <c r="D1183" s="31"/>
      <c r="E1183" s="33">
        <f>IF(OR($D1183="",$K1183=""),"",IF(COUNTIFS(Payments!$G$5:$G$2500,$K1183,Payments!$C$5:$C$2500,"&lt;&gt;")=0,"",_xlfn.MAXIFS(Payments!$C$5:$C$2500,Payments!$G$5:$G$2500,$K1183)))</f>
      </c>
      <c r="F1183" s="34">
        <f>IF(OR($D1183="",$K1183=""),"",SUMIF(Payments!$G$5:$G$2500,$K1183,Payments!$D$5:$D$2500))</f>
      </c>
      <c r="G1183" s="36">
        <f>IF($D1183="","",ROUND($D1183-IF($F1183="",0,$F1183),2))</f>
      </c>
      <c r="H1183" s="35">
        <f>IF(OR($D1183="",$K1183=""),"",COUNTIF(Payments!$G$5:$G$2500,$K1183))</f>
      </c>
      <c r="I1183" s="37">
        <f>IF($D1183="","",IF(OR($F1183="",$F1183=0),"Pending",IF(ROUND($F1183-$D1183,2)&gt;0,"Overpaid",IF(ROUND($F1183-$D1183,2)=0,"Paid","Partial"))))</f>
      </c>
      <c r="J1183" s="29"/>
      <c r="K1183">
        <f>IF($A1183="","","#"&amp;TRIM(SUBSTITUTE(SUBSTITUTE(SUBSTITUTE(SUBSTITUTE(SUBSTITUTE(SUBSTITUTE($A1183,"-",""),"(",""),")",""),".",""),"+","")," ","")))</f>
      </c>
    </row>
    <row r="1184" spans="1:11" x14ac:dyDescent="0.3">
      <c r="A1184" s="28"/>
      <c r="B1184" s="29"/>
      <c r="C1184" s="30"/>
      <c r="D1184" s="31"/>
      <c r="E1184" s="33">
        <f>IF(OR($D1184="",$K1184=""),"",IF(COUNTIFS(Payments!$G$5:$G$2500,$K1184,Payments!$C$5:$C$2500,"&lt;&gt;")=0,"",_xlfn.MAXIFS(Payments!$C$5:$C$2500,Payments!$G$5:$G$2500,$K1184)))</f>
      </c>
      <c r="F1184" s="34">
        <f>IF(OR($D1184="",$K1184=""),"",SUMIF(Payments!$G$5:$G$2500,$K1184,Payments!$D$5:$D$2500))</f>
      </c>
      <c r="G1184" s="36">
        <f>IF($D1184="","",ROUND($D1184-IF($F1184="",0,$F1184),2))</f>
      </c>
      <c r="H1184" s="35">
        <f>IF(OR($D1184="",$K1184=""),"",COUNTIF(Payments!$G$5:$G$2500,$K1184))</f>
      </c>
      <c r="I1184" s="37">
        <f>IF($D1184="","",IF(OR($F1184="",$F1184=0),"Pending",IF(ROUND($F1184-$D1184,2)&gt;0,"Overpaid",IF(ROUND($F1184-$D1184,2)=0,"Paid","Partial"))))</f>
      </c>
      <c r="J1184" s="29"/>
      <c r="K1184">
        <f>IF($A1184="","","#"&amp;TRIM(SUBSTITUTE(SUBSTITUTE(SUBSTITUTE(SUBSTITUTE(SUBSTITUTE(SUBSTITUTE($A1184,"-",""),"(",""),")",""),".",""),"+","")," ","")))</f>
      </c>
    </row>
    <row r="1185" spans="1:11" x14ac:dyDescent="0.3">
      <c r="A1185" s="28"/>
      <c r="B1185" s="29"/>
      <c r="C1185" s="30"/>
      <c r="D1185" s="31"/>
      <c r="E1185" s="33">
        <f>IF(OR($D1185="",$K1185=""),"",IF(COUNTIFS(Payments!$G$5:$G$2500,$K1185,Payments!$C$5:$C$2500,"&lt;&gt;")=0,"",_xlfn.MAXIFS(Payments!$C$5:$C$2500,Payments!$G$5:$G$2500,$K1185)))</f>
      </c>
      <c r="F1185" s="34">
        <f>IF(OR($D1185="",$K1185=""),"",SUMIF(Payments!$G$5:$G$2500,$K1185,Payments!$D$5:$D$2500))</f>
      </c>
      <c r="G1185" s="36">
        <f>IF($D1185="","",ROUND($D1185-IF($F1185="",0,$F1185),2))</f>
      </c>
      <c r="H1185" s="35">
        <f>IF(OR($D1185="",$K1185=""),"",COUNTIF(Payments!$G$5:$G$2500,$K1185))</f>
      </c>
      <c r="I1185" s="37">
        <f>IF($D1185="","",IF(OR($F1185="",$F1185=0),"Pending",IF(ROUND($F1185-$D1185,2)&gt;0,"Overpaid",IF(ROUND($F1185-$D1185,2)=0,"Paid","Partial"))))</f>
      </c>
      <c r="J1185" s="29"/>
      <c r="K1185">
        <f>IF($A1185="","","#"&amp;TRIM(SUBSTITUTE(SUBSTITUTE(SUBSTITUTE(SUBSTITUTE(SUBSTITUTE(SUBSTITUTE($A1185,"-",""),"(",""),")",""),".",""),"+","")," ","")))</f>
      </c>
    </row>
    <row r="1186" spans="1:11" x14ac:dyDescent="0.3">
      <c r="A1186" s="28"/>
      <c r="B1186" s="29"/>
      <c r="C1186" s="30"/>
      <c r="D1186" s="31"/>
      <c r="E1186" s="33">
        <f>IF(OR($D1186="",$K1186=""),"",IF(COUNTIFS(Payments!$G$5:$G$2500,$K1186,Payments!$C$5:$C$2500,"&lt;&gt;")=0,"",_xlfn.MAXIFS(Payments!$C$5:$C$2500,Payments!$G$5:$G$2500,$K1186)))</f>
      </c>
      <c r="F1186" s="34">
        <f>IF(OR($D1186="",$K1186=""),"",SUMIF(Payments!$G$5:$G$2500,$K1186,Payments!$D$5:$D$2500))</f>
      </c>
      <c r="G1186" s="36">
        <f>IF($D1186="","",ROUND($D1186-IF($F1186="",0,$F1186),2))</f>
      </c>
      <c r="H1186" s="35">
        <f>IF(OR($D1186="",$K1186=""),"",COUNTIF(Payments!$G$5:$G$2500,$K1186))</f>
      </c>
      <c r="I1186" s="37">
        <f>IF($D1186="","",IF(OR($F1186="",$F1186=0),"Pending",IF(ROUND($F1186-$D1186,2)&gt;0,"Overpaid",IF(ROUND($F1186-$D1186,2)=0,"Paid","Partial"))))</f>
      </c>
      <c r="J1186" s="29"/>
      <c r="K1186">
        <f>IF($A1186="","","#"&amp;TRIM(SUBSTITUTE(SUBSTITUTE(SUBSTITUTE(SUBSTITUTE(SUBSTITUTE(SUBSTITUTE($A1186,"-",""),"(",""),")",""),".",""),"+","")," ","")))</f>
      </c>
    </row>
    <row r="1187" spans="1:11" x14ac:dyDescent="0.3">
      <c r="A1187" s="28"/>
      <c r="B1187" s="29"/>
      <c r="C1187" s="30"/>
      <c r="D1187" s="31"/>
      <c r="E1187" s="33">
        <f>IF(OR($D1187="",$K1187=""),"",IF(COUNTIFS(Payments!$G$5:$G$2500,$K1187,Payments!$C$5:$C$2500,"&lt;&gt;")=0,"",_xlfn.MAXIFS(Payments!$C$5:$C$2500,Payments!$G$5:$G$2500,$K1187)))</f>
      </c>
      <c r="F1187" s="34">
        <f>IF(OR($D1187="",$K1187=""),"",SUMIF(Payments!$G$5:$G$2500,$K1187,Payments!$D$5:$D$2500))</f>
      </c>
      <c r="G1187" s="36">
        <f>IF($D1187="","",ROUND($D1187-IF($F1187="",0,$F1187),2))</f>
      </c>
      <c r="H1187" s="35">
        <f>IF(OR($D1187="",$K1187=""),"",COUNTIF(Payments!$G$5:$G$2500,$K1187))</f>
      </c>
      <c r="I1187" s="37">
        <f>IF($D1187="","",IF(OR($F1187="",$F1187=0),"Pending",IF(ROUND($F1187-$D1187,2)&gt;0,"Overpaid",IF(ROUND($F1187-$D1187,2)=0,"Paid","Partial"))))</f>
      </c>
      <c r="J1187" s="29"/>
      <c r="K1187">
        <f>IF($A1187="","","#"&amp;TRIM(SUBSTITUTE(SUBSTITUTE(SUBSTITUTE(SUBSTITUTE(SUBSTITUTE(SUBSTITUTE($A1187,"-",""),"(",""),")",""),".",""),"+","")," ","")))</f>
      </c>
    </row>
    <row r="1188" spans="1:11" x14ac:dyDescent="0.3">
      <c r="A1188" s="28"/>
      <c r="B1188" s="29"/>
      <c r="C1188" s="30"/>
      <c r="D1188" s="31"/>
      <c r="E1188" s="33">
        <f>IF(OR($D1188="",$K1188=""),"",IF(COUNTIFS(Payments!$G$5:$G$2500,$K1188,Payments!$C$5:$C$2500,"&lt;&gt;")=0,"",_xlfn.MAXIFS(Payments!$C$5:$C$2500,Payments!$G$5:$G$2500,$K1188)))</f>
      </c>
      <c r="F1188" s="34">
        <f>IF(OR($D1188="",$K1188=""),"",SUMIF(Payments!$G$5:$G$2500,$K1188,Payments!$D$5:$D$2500))</f>
      </c>
      <c r="G1188" s="36">
        <f>IF($D1188="","",ROUND($D1188-IF($F1188="",0,$F1188),2))</f>
      </c>
      <c r="H1188" s="35">
        <f>IF(OR($D1188="",$K1188=""),"",COUNTIF(Payments!$G$5:$G$2500,$K1188))</f>
      </c>
      <c r="I1188" s="37">
        <f>IF($D1188="","",IF(OR($F1188="",$F1188=0),"Pending",IF(ROUND($F1188-$D1188,2)&gt;0,"Overpaid",IF(ROUND($F1188-$D1188,2)=0,"Paid","Partial"))))</f>
      </c>
      <c r="J1188" s="29"/>
      <c r="K1188">
        <f>IF($A1188="","","#"&amp;TRIM(SUBSTITUTE(SUBSTITUTE(SUBSTITUTE(SUBSTITUTE(SUBSTITUTE(SUBSTITUTE($A1188,"-",""),"(",""),")",""),".",""),"+","")," ","")))</f>
      </c>
    </row>
    <row r="1189" spans="1:11" x14ac:dyDescent="0.3">
      <c r="A1189" s="28"/>
      <c r="B1189" s="29"/>
      <c r="C1189" s="30"/>
      <c r="D1189" s="31"/>
      <c r="E1189" s="33">
        <f>IF(OR($D1189="",$K1189=""),"",IF(COUNTIFS(Payments!$G$5:$G$2500,$K1189,Payments!$C$5:$C$2500,"&lt;&gt;")=0,"",_xlfn.MAXIFS(Payments!$C$5:$C$2500,Payments!$G$5:$G$2500,$K1189)))</f>
      </c>
      <c r="F1189" s="34">
        <f>IF(OR($D1189="",$K1189=""),"",SUMIF(Payments!$G$5:$G$2500,$K1189,Payments!$D$5:$D$2500))</f>
      </c>
      <c r="G1189" s="36">
        <f>IF($D1189="","",ROUND($D1189-IF($F1189="",0,$F1189),2))</f>
      </c>
      <c r="H1189" s="35">
        <f>IF(OR($D1189="",$K1189=""),"",COUNTIF(Payments!$G$5:$G$2500,$K1189))</f>
      </c>
      <c r="I1189" s="37">
        <f>IF($D1189="","",IF(OR($F1189="",$F1189=0),"Pending",IF(ROUND($F1189-$D1189,2)&gt;0,"Overpaid",IF(ROUND($F1189-$D1189,2)=0,"Paid","Partial"))))</f>
      </c>
      <c r="J1189" s="29"/>
      <c r="K1189">
        <f>IF($A1189="","","#"&amp;TRIM(SUBSTITUTE(SUBSTITUTE(SUBSTITUTE(SUBSTITUTE(SUBSTITUTE(SUBSTITUTE($A1189,"-",""),"(",""),")",""),".",""),"+","")," ","")))</f>
      </c>
    </row>
    <row r="1190" spans="1:11" x14ac:dyDescent="0.3">
      <c r="A1190" s="28"/>
      <c r="B1190" s="29"/>
      <c r="C1190" s="30"/>
      <c r="D1190" s="31"/>
      <c r="E1190" s="33">
        <f>IF(OR($D1190="",$K1190=""),"",IF(COUNTIFS(Payments!$G$5:$G$2500,$K1190,Payments!$C$5:$C$2500,"&lt;&gt;")=0,"",_xlfn.MAXIFS(Payments!$C$5:$C$2500,Payments!$G$5:$G$2500,$K1190)))</f>
      </c>
      <c r="F1190" s="34">
        <f>IF(OR($D1190="",$K1190=""),"",SUMIF(Payments!$G$5:$G$2500,$K1190,Payments!$D$5:$D$2500))</f>
      </c>
      <c r="G1190" s="36">
        <f>IF($D1190="","",ROUND($D1190-IF($F1190="",0,$F1190),2))</f>
      </c>
      <c r="H1190" s="35">
        <f>IF(OR($D1190="",$K1190=""),"",COUNTIF(Payments!$G$5:$G$2500,$K1190))</f>
      </c>
      <c r="I1190" s="37">
        <f>IF($D1190="","",IF(OR($F1190="",$F1190=0),"Pending",IF(ROUND($F1190-$D1190,2)&gt;0,"Overpaid",IF(ROUND($F1190-$D1190,2)=0,"Paid","Partial"))))</f>
      </c>
      <c r="J1190" s="29"/>
      <c r="K1190">
        <f>IF($A1190="","","#"&amp;TRIM(SUBSTITUTE(SUBSTITUTE(SUBSTITUTE(SUBSTITUTE(SUBSTITUTE(SUBSTITUTE($A1190,"-",""),"(",""),")",""),".",""),"+","")," ","")))</f>
      </c>
    </row>
    <row r="1191" spans="1:11" x14ac:dyDescent="0.3">
      <c r="A1191" s="28"/>
      <c r="B1191" s="29"/>
      <c r="C1191" s="30"/>
      <c r="D1191" s="31"/>
      <c r="E1191" s="33">
        <f>IF(OR($D1191="",$K1191=""),"",IF(COUNTIFS(Payments!$G$5:$G$2500,$K1191,Payments!$C$5:$C$2500,"&lt;&gt;")=0,"",_xlfn.MAXIFS(Payments!$C$5:$C$2500,Payments!$G$5:$G$2500,$K1191)))</f>
      </c>
      <c r="F1191" s="34">
        <f>IF(OR($D1191="",$K1191=""),"",SUMIF(Payments!$G$5:$G$2500,$K1191,Payments!$D$5:$D$2500))</f>
      </c>
      <c r="G1191" s="36">
        <f>IF($D1191="","",ROUND($D1191-IF($F1191="",0,$F1191),2))</f>
      </c>
      <c r="H1191" s="35">
        <f>IF(OR($D1191="",$K1191=""),"",COUNTIF(Payments!$G$5:$G$2500,$K1191))</f>
      </c>
      <c r="I1191" s="37">
        <f>IF($D1191="","",IF(OR($F1191="",$F1191=0),"Pending",IF(ROUND($F1191-$D1191,2)&gt;0,"Overpaid",IF(ROUND($F1191-$D1191,2)=0,"Paid","Partial"))))</f>
      </c>
      <c r="J1191" s="29"/>
      <c r="K1191">
        <f>IF($A1191="","","#"&amp;TRIM(SUBSTITUTE(SUBSTITUTE(SUBSTITUTE(SUBSTITUTE(SUBSTITUTE(SUBSTITUTE($A1191,"-",""),"(",""),")",""),".",""),"+","")," ","")))</f>
      </c>
    </row>
    <row r="1192" spans="1:11" x14ac:dyDescent="0.3">
      <c r="A1192" s="28"/>
      <c r="B1192" s="29"/>
      <c r="C1192" s="30"/>
      <c r="D1192" s="31"/>
      <c r="E1192" s="33">
        <f>IF(OR($D1192="",$K1192=""),"",IF(COUNTIFS(Payments!$G$5:$G$2500,$K1192,Payments!$C$5:$C$2500,"&lt;&gt;")=0,"",_xlfn.MAXIFS(Payments!$C$5:$C$2500,Payments!$G$5:$G$2500,$K1192)))</f>
      </c>
      <c r="F1192" s="34">
        <f>IF(OR($D1192="",$K1192=""),"",SUMIF(Payments!$G$5:$G$2500,$K1192,Payments!$D$5:$D$2500))</f>
      </c>
      <c r="G1192" s="36">
        <f>IF($D1192="","",ROUND($D1192-IF($F1192="",0,$F1192),2))</f>
      </c>
      <c r="H1192" s="35">
        <f>IF(OR($D1192="",$K1192=""),"",COUNTIF(Payments!$G$5:$G$2500,$K1192))</f>
      </c>
      <c r="I1192" s="37">
        <f>IF($D1192="","",IF(OR($F1192="",$F1192=0),"Pending",IF(ROUND($F1192-$D1192,2)&gt;0,"Overpaid",IF(ROUND($F1192-$D1192,2)=0,"Paid","Partial"))))</f>
      </c>
      <c r="J1192" s="29"/>
      <c r="K1192">
        <f>IF($A1192="","","#"&amp;TRIM(SUBSTITUTE(SUBSTITUTE(SUBSTITUTE(SUBSTITUTE(SUBSTITUTE(SUBSTITUTE($A1192,"-",""),"(",""),")",""),".",""),"+","")," ","")))</f>
      </c>
    </row>
    <row r="1193" spans="1:11" x14ac:dyDescent="0.3">
      <c r="A1193" s="28"/>
      <c r="B1193" s="29"/>
      <c r="C1193" s="30"/>
      <c r="D1193" s="31"/>
      <c r="E1193" s="33">
        <f>IF(OR($D1193="",$K1193=""),"",IF(COUNTIFS(Payments!$G$5:$G$2500,$K1193,Payments!$C$5:$C$2500,"&lt;&gt;")=0,"",_xlfn.MAXIFS(Payments!$C$5:$C$2500,Payments!$G$5:$G$2500,$K1193)))</f>
      </c>
      <c r="F1193" s="34">
        <f>IF(OR($D1193="",$K1193=""),"",SUMIF(Payments!$G$5:$G$2500,$K1193,Payments!$D$5:$D$2500))</f>
      </c>
      <c r="G1193" s="36">
        <f>IF($D1193="","",ROUND($D1193-IF($F1193="",0,$F1193),2))</f>
      </c>
      <c r="H1193" s="35">
        <f>IF(OR($D1193="",$K1193=""),"",COUNTIF(Payments!$G$5:$G$2500,$K1193))</f>
      </c>
      <c r="I1193" s="37">
        <f>IF($D1193="","",IF(OR($F1193="",$F1193=0),"Pending",IF(ROUND($F1193-$D1193,2)&gt;0,"Overpaid",IF(ROUND($F1193-$D1193,2)=0,"Paid","Partial"))))</f>
      </c>
      <c r="J1193" s="29"/>
      <c r="K1193">
        <f>IF($A1193="","","#"&amp;TRIM(SUBSTITUTE(SUBSTITUTE(SUBSTITUTE(SUBSTITUTE(SUBSTITUTE(SUBSTITUTE($A1193,"-",""),"(",""),")",""),".",""),"+","")," ","")))</f>
      </c>
    </row>
    <row r="1194" spans="1:11" x14ac:dyDescent="0.3">
      <c r="A1194" s="28"/>
      <c r="B1194" s="29"/>
      <c r="C1194" s="30"/>
      <c r="D1194" s="31"/>
      <c r="E1194" s="33">
        <f>IF(OR($D1194="",$K1194=""),"",IF(COUNTIFS(Payments!$G$5:$G$2500,$K1194,Payments!$C$5:$C$2500,"&lt;&gt;")=0,"",_xlfn.MAXIFS(Payments!$C$5:$C$2500,Payments!$G$5:$G$2500,$K1194)))</f>
      </c>
      <c r="F1194" s="34">
        <f>IF(OR($D1194="",$K1194=""),"",SUMIF(Payments!$G$5:$G$2500,$K1194,Payments!$D$5:$D$2500))</f>
      </c>
      <c r="G1194" s="36">
        <f>IF($D1194="","",ROUND($D1194-IF($F1194="",0,$F1194),2))</f>
      </c>
      <c r="H1194" s="35">
        <f>IF(OR($D1194="",$K1194=""),"",COUNTIF(Payments!$G$5:$G$2500,$K1194))</f>
      </c>
      <c r="I1194" s="37">
        <f>IF($D1194="","",IF(OR($F1194="",$F1194=0),"Pending",IF(ROUND($F1194-$D1194,2)&gt;0,"Overpaid",IF(ROUND($F1194-$D1194,2)=0,"Paid","Partial"))))</f>
      </c>
      <c r="J1194" s="29"/>
      <c r="K1194">
        <f>IF($A1194="","","#"&amp;TRIM(SUBSTITUTE(SUBSTITUTE(SUBSTITUTE(SUBSTITUTE(SUBSTITUTE(SUBSTITUTE($A1194,"-",""),"(",""),")",""),".",""),"+","")," ","")))</f>
      </c>
    </row>
    <row r="1195" spans="1:11" x14ac:dyDescent="0.3">
      <c r="A1195" s="28"/>
      <c r="B1195" s="29"/>
      <c r="C1195" s="30"/>
      <c r="D1195" s="31"/>
      <c r="E1195" s="33">
        <f>IF(OR($D1195="",$K1195=""),"",IF(COUNTIFS(Payments!$G$5:$G$2500,$K1195,Payments!$C$5:$C$2500,"&lt;&gt;")=0,"",_xlfn.MAXIFS(Payments!$C$5:$C$2500,Payments!$G$5:$G$2500,$K1195)))</f>
      </c>
      <c r="F1195" s="34">
        <f>IF(OR($D1195="",$K1195=""),"",SUMIF(Payments!$G$5:$G$2500,$K1195,Payments!$D$5:$D$2500))</f>
      </c>
      <c r="G1195" s="36">
        <f>IF($D1195="","",ROUND($D1195-IF($F1195="",0,$F1195),2))</f>
      </c>
      <c r="H1195" s="35">
        <f>IF(OR($D1195="",$K1195=""),"",COUNTIF(Payments!$G$5:$G$2500,$K1195))</f>
      </c>
      <c r="I1195" s="37">
        <f>IF($D1195="","",IF(OR($F1195="",$F1195=0),"Pending",IF(ROUND($F1195-$D1195,2)&gt;0,"Overpaid",IF(ROUND($F1195-$D1195,2)=0,"Paid","Partial"))))</f>
      </c>
      <c r="J1195" s="29"/>
      <c r="K1195">
        <f>IF($A1195="","","#"&amp;TRIM(SUBSTITUTE(SUBSTITUTE(SUBSTITUTE(SUBSTITUTE(SUBSTITUTE(SUBSTITUTE($A1195,"-",""),"(",""),")",""),".",""),"+","")," ","")))</f>
      </c>
    </row>
    <row r="1196" spans="1:11" x14ac:dyDescent="0.3">
      <c r="A1196" s="28"/>
      <c r="B1196" s="29"/>
      <c r="C1196" s="30"/>
      <c r="D1196" s="31"/>
      <c r="E1196" s="33">
        <f>IF(OR($D1196="",$K1196=""),"",IF(COUNTIFS(Payments!$G$5:$G$2500,$K1196,Payments!$C$5:$C$2500,"&lt;&gt;")=0,"",_xlfn.MAXIFS(Payments!$C$5:$C$2500,Payments!$G$5:$G$2500,$K1196)))</f>
      </c>
      <c r="F1196" s="34">
        <f>IF(OR($D1196="",$K1196=""),"",SUMIF(Payments!$G$5:$G$2500,$K1196,Payments!$D$5:$D$2500))</f>
      </c>
      <c r="G1196" s="36">
        <f>IF($D1196="","",ROUND($D1196-IF($F1196="",0,$F1196),2))</f>
      </c>
      <c r="H1196" s="35">
        <f>IF(OR($D1196="",$K1196=""),"",COUNTIF(Payments!$G$5:$G$2500,$K1196))</f>
      </c>
      <c r="I1196" s="37">
        <f>IF($D1196="","",IF(OR($F1196="",$F1196=0),"Pending",IF(ROUND($F1196-$D1196,2)&gt;0,"Overpaid",IF(ROUND($F1196-$D1196,2)=0,"Paid","Partial"))))</f>
      </c>
      <c r="J1196" s="29"/>
      <c r="K1196">
        <f>IF($A1196="","","#"&amp;TRIM(SUBSTITUTE(SUBSTITUTE(SUBSTITUTE(SUBSTITUTE(SUBSTITUTE(SUBSTITUTE($A1196,"-",""),"(",""),")",""),".",""),"+","")," ","")))</f>
      </c>
    </row>
    <row r="1197" spans="1:11" x14ac:dyDescent="0.3">
      <c r="A1197" s="28"/>
      <c r="B1197" s="29"/>
      <c r="C1197" s="30"/>
      <c r="D1197" s="31"/>
      <c r="E1197" s="33">
        <f>IF(OR($D1197="",$K1197=""),"",IF(COUNTIFS(Payments!$G$5:$G$2500,$K1197,Payments!$C$5:$C$2500,"&lt;&gt;")=0,"",_xlfn.MAXIFS(Payments!$C$5:$C$2500,Payments!$G$5:$G$2500,$K1197)))</f>
      </c>
      <c r="F1197" s="34">
        <f>IF(OR($D1197="",$K1197=""),"",SUMIF(Payments!$G$5:$G$2500,$K1197,Payments!$D$5:$D$2500))</f>
      </c>
      <c r="G1197" s="36">
        <f>IF($D1197="","",ROUND($D1197-IF($F1197="",0,$F1197),2))</f>
      </c>
      <c r="H1197" s="35">
        <f>IF(OR($D1197="",$K1197=""),"",COUNTIF(Payments!$G$5:$G$2500,$K1197))</f>
      </c>
      <c r="I1197" s="37">
        <f>IF($D1197="","",IF(OR($F1197="",$F1197=0),"Pending",IF(ROUND($F1197-$D1197,2)&gt;0,"Overpaid",IF(ROUND($F1197-$D1197,2)=0,"Paid","Partial"))))</f>
      </c>
      <c r="J1197" s="29"/>
      <c r="K1197">
        <f>IF($A1197="","","#"&amp;TRIM(SUBSTITUTE(SUBSTITUTE(SUBSTITUTE(SUBSTITUTE(SUBSTITUTE(SUBSTITUTE($A1197,"-",""),"(",""),")",""),".",""),"+","")," ","")))</f>
      </c>
    </row>
    <row r="1198" spans="1:11" x14ac:dyDescent="0.3">
      <c r="A1198" s="28"/>
      <c r="B1198" s="29"/>
      <c r="C1198" s="30"/>
      <c r="D1198" s="31"/>
      <c r="E1198" s="33">
        <f>IF(OR($D1198="",$K1198=""),"",IF(COUNTIFS(Payments!$G$5:$G$2500,$K1198,Payments!$C$5:$C$2500,"&lt;&gt;")=0,"",_xlfn.MAXIFS(Payments!$C$5:$C$2500,Payments!$G$5:$G$2500,$K1198)))</f>
      </c>
      <c r="F1198" s="34">
        <f>IF(OR($D1198="",$K1198=""),"",SUMIF(Payments!$G$5:$G$2500,$K1198,Payments!$D$5:$D$2500))</f>
      </c>
      <c r="G1198" s="36">
        <f>IF($D1198="","",ROUND($D1198-IF($F1198="",0,$F1198),2))</f>
      </c>
      <c r="H1198" s="35">
        <f>IF(OR($D1198="",$K1198=""),"",COUNTIF(Payments!$G$5:$G$2500,$K1198))</f>
      </c>
      <c r="I1198" s="37">
        <f>IF($D1198="","",IF(OR($F1198="",$F1198=0),"Pending",IF(ROUND($F1198-$D1198,2)&gt;0,"Overpaid",IF(ROUND($F1198-$D1198,2)=0,"Paid","Partial"))))</f>
      </c>
      <c r="J1198" s="29"/>
      <c r="K1198">
        <f>IF($A1198="","","#"&amp;TRIM(SUBSTITUTE(SUBSTITUTE(SUBSTITUTE(SUBSTITUTE(SUBSTITUTE(SUBSTITUTE($A1198,"-",""),"(",""),")",""),".",""),"+","")," ","")))</f>
      </c>
    </row>
    <row r="1199" spans="1:11" x14ac:dyDescent="0.3">
      <c r="A1199" s="28"/>
      <c r="B1199" s="29"/>
      <c r="C1199" s="30"/>
      <c r="D1199" s="31"/>
      <c r="E1199" s="33">
        <f>IF(OR($D1199="",$K1199=""),"",IF(COUNTIFS(Payments!$G$5:$G$2500,$K1199,Payments!$C$5:$C$2500,"&lt;&gt;")=0,"",_xlfn.MAXIFS(Payments!$C$5:$C$2500,Payments!$G$5:$G$2500,$K1199)))</f>
      </c>
      <c r="F1199" s="34">
        <f>IF(OR($D1199="",$K1199=""),"",SUMIF(Payments!$G$5:$G$2500,$K1199,Payments!$D$5:$D$2500))</f>
      </c>
      <c r="G1199" s="36">
        <f>IF($D1199="","",ROUND($D1199-IF($F1199="",0,$F1199),2))</f>
      </c>
      <c r="H1199" s="35">
        <f>IF(OR($D1199="",$K1199=""),"",COUNTIF(Payments!$G$5:$G$2500,$K1199))</f>
      </c>
      <c r="I1199" s="37">
        <f>IF($D1199="","",IF(OR($F1199="",$F1199=0),"Pending",IF(ROUND($F1199-$D1199,2)&gt;0,"Overpaid",IF(ROUND($F1199-$D1199,2)=0,"Paid","Partial"))))</f>
      </c>
      <c r="J1199" s="29"/>
      <c r="K1199">
        <f>IF($A1199="","","#"&amp;TRIM(SUBSTITUTE(SUBSTITUTE(SUBSTITUTE(SUBSTITUTE(SUBSTITUTE(SUBSTITUTE($A1199,"-",""),"(",""),")",""),".",""),"+","")," ","")))</f>
      </c>
    </row>
    <row r="1200" spans="1:11" x14ac:dyDescent="0.3">
      <c r="A1200" s="28"/>
      <c r="B1200" s="29"/>
      <c r="C1200" s="30"/>
      <c r="D1200" s="31"/>
      <c r="E1200" s="33">
        <f>IF(OR($D1200="",$K1200=""),"",IF(COUNTIFS(Payments!$G$5:$G$2500,$K1200,Payments!$C$5:$C$2500,"&lt;&gt;")=0,"",_xlfn.MAXIFS(Payments!$C$5:$C$2500,Payments!$G$5:$G$2500,$K1200)))</f>
      </c>
      <c r="F1200" s="34">
        <f>IF(OR($D1200="",$K1200=""),"",SUMIF(Payments!$G$5:$G$2500,$K1200,Payments!$D$5:$D$2500))</f>
      </c>
      <c r="G1200" s="36">
        <f>IF($D1200="","",ROUND($D1200-IF($F1200="",0,$F1200),2))</f>
      </c>
      <c r="H1200" s="35">
        <f>IF(OR($D1200="",$K1200=""),"",COUNTIF(Payments!$G$5:$G$2500,$K1200))</f>
      </c>
      <c r="I1200" s="37">
        <f>IF($D1200="","",IF(OR($F1200="",$F1200=0),"Pending",IF(ROUND($F1200-$D1200,2)&gt;0,"Overpaid",IF(ROUND($F1200-$D1200,2)=0,"Paid","Partial"))))</f>
      </c>
      <c r="J1200" s="29"/>
      <c r="K1200">
        <f>IF($A1200="","","#"&amp;TRIM(SUBSTITUTE(SUBSTITUTE(SUBSTITUTE(SUBSTITUTE(SUBSTITUTE(SUBSTITUTE($A1200,"-",""),"(",""),")",""),".",""),"+","")," ","")))</f>
      </c>
    </row>
    <row r="1201" spans="1:11" x14ac:dyDescent="0.3">
      <c r="A1201" s="28"/>
      <c r="B1201" s="29"/>
      <c r="C1201" s="30"/>
      <c r="D1201" s="31"/>
      <c r="E1201" s="33">
        <f>IF(OR($D1201="",$K1201=""),"",IF(COUNTIFS(Payments!$G$5:$G$2500,$K1201,Payments!$C$5:$C$2500,"&lt;&gt;")=0,"",_xlfn.MAXIFS(Payments!$C$5:$C$2500,Payments!$G$5:$G$2500,$K1201)))</f>
      </c>
      <c r="F1201" s="34">
        <f>IF(OR($D1201="",$K1201=""),"",SUMIF(Payments!$G$5:$G$2500,$K1201,Payments!$D$5:$D$2500))</f>
      </c>
      <c r="G1201" s="36">
        <f>IF($D1201="","",ROUND($D1201-IF($F1201="",0,$F1201),2))</f>
      </c>
      <c r="H1201" s="35">
        <f>IF(OR($D1201="",$K1201=""),"",COUNTIF(Payments!$G$5:$G$2500,$K1201))</f>
      </c>
      <c r="I1201" s="37">
        <f>IF($D1201="","",IF(OR($F1201="",$F1201=0),"Pending",IF(ROUND($F1201-$D1201,2)&gt;0,"Overpaid",IF(ROUND($F1201-$D1201,2)=0,"Paid","Partial"))))</f>
      </c>
      <c r="J1201" s="29"/>
      <c r="K1201">
        <f>IF($A1201="","","#"&amp;TRIM(SUBSTITUTE(SUBSTITUTE(SUBSTITUTE(SUBSTITUTE(SUBSTITUTE(SUBSTITUTE($A1201,"-",""),"(",""),")",""),".",""),"+","")," ","")))</f>
      </c>
    </row>
    <row r="1202" spans="1:11" x14ac:dyDescent="0.3">
      <c r="A1202" s="28"/>
      <c r="B1202" s="29"/>
      <c r="C1202" s="30"/>
      <c r="D1202" s="31"/>
      <c r="E1202" s="33">
        <f>IF(OR($D1202="",$K1202=""),"",IF(COUNTIFS(Payments!$G$5:$G$2500,$K1202,Payments!$C$5:$C$2500,"&lt;&gt;")=0,"",_xlfn.MAXIFS(Payments!$C$5:$C$2500,Payments!$G$5:$G$2500,$K1202)))</f>
      </c>
      <c r="F1202" s="34">
        <f>IF(OR($D1202="",$K1202=""),"",SUMIF(Payments!$G$5:$G$2500,$K1202,Payments!$D$5:$D$2500))</f>
      </c>
      <c r="G1202" s="36">
        <f>IF($D1202="","",ROUND($D1202-IF($F1202="",0,$F1202),2))</f>
      </c>
      <c r="H1202" s="35">
        <f>IF(OR($D1202="",$K1202=""),"",COUNTIF(Payments!$G$5:$G$2500,$K1202))</f>
      </c>
      <c r="I1202" s="37">
        <f>IF($D1202="","",IF(OR($F1202="",$F1202=0),"Pending",IF(ROUND($F1202-$D1202,2)&gt;0,"Overpaid",IF(ROUND($F1202-$D1202,2)=0,"Paid","Partial"))))</f>
      </c>
      <c r="J1202" s="29"/>
      <c r="K1202">
        <f>IF($A1202="","","#"&amp;TRIM(SUBSTITUTE(SUBSTITUTE(SUBSTITUTE(SUBSTITUTE(SUBSTITUTE(SUBSTITUTE($A1202,"-",""),"(",""),")",""),".",""),"+","")," ","")))</f>
      </c>
    </row>
    <row r="1203" spans="1:11" x14ac:dyDescent="0.3">
      <c r="A1203" s="28"/>
      <c r="B1203" s="29"/>
      <c r="C1203" s="30"/>
      <c r="D1203" s="31"/>
      <c r="E1203" s="33">
        <f>IF(OR($D1203="",$K1203=""),"",IF(COUNTIFS(Payments!$G$5:$G$2500,$K1203,Payments!$C$5:$C$2500,"&lt;&gt;")=0,"",_xlfn.MAXIFS(Payments!$C$5:$C$2500,Payments!$G$5:$G$2500,$K1203)))</f>
      </c>
      <c r="F1203" s="34">
        <f>IF(OR($D1203="",$K1203=""),"",SUMIF(Payments!$G$5:$G$2500,$K1203,Payments!$D$5:$D$2500))</f>
      </c>
      <c r="G1203" s="36">
        <f>IF($D1203="","",ROUND($D1203-IF($F1203="",0,$F1203),2))</f>
      </c>
      <c r="H1203" s="35">
        <f>IF(OR($D1203="",$K1203=""),"",COUNTIF(Payments!$G$5:$G$2500,$K1203))</f>
      </c>
      <c r="I1203" s="37">
        <f>IF($D1203="","",IF(OR($F1203="",$F1203=0),"Pending",IF(ROUND($F1203-$D1203,2)&gt;0,"Overpaid",IF(ROUND($F1203-$D1203,2)=0,"Paid","Partial"))))</f>
      </c>
      <c r="J1203" s="29"/>
      <c r="K1203">
        <f>IF($A1203="","","#"&amp;TRIM(SUBSTITUTE(SUBSTITUTE(SUBSTITUTE(SUBSTITUTE(SUBSTITUTE(SUBSTITUTE($A1203,"-",""),"(",""),")",""),".",""),"+","")," ","")))</f>
      </c>
    </row>
    <row r="1204" spans="1:11" x14ac:dyDescent="0.3">
      <c r="A1204" s="28"/>
      <c r="B1204" s="29"/>
      <c r="C1204" s="30"/>
      <c r="D1204" s="31"/>
      <c r="E1204" s="33">
        <f>IF(OR($D1204="",$K1204=""),"",IF(COUNTIFS(Payments!$G$5:$G$2500,$K1204,Payments!$C$5:$C$2500,"&lt;&gt;")=0,"",_xlfn.MAXIFS(Payments!$C$5:$C$2500,Payments!$G$5:$G$2500,$K1204)))</f>
      </c>
      <c r="F1204" s="34">
        <f>IF(OR($D1204="",$K1204=""),"",SUMIF(Payments!$G$5:$G$2500,$K1204,Payments!$D$5:$D$2500))</f>
      </c>
      <c r="G1204" s="36">
        <f>IF($D1204="","",ROUND($D1204-IF($F1204="",0,$F1204),2))</f>
      </c>
      <c r="H1204" s="35">
        <f>IF(OR($D1204="",$K1204=""),"",COUNTIF(Payments!$G$5:$G$2500,$K1204))</f>
      </c>
      <c r="I1204" s="37">
        <f>IF($D1204="","",IF(OR($F1204="",$F1204=0),"Pending",IF(ROUND($F1204-$D1204,2)&gt;0,"Overpaid",IF(ROUND($F1204-$D1204,2)=0,"Paid","Partial"))))</f>
      </c>
      <c r="J1204" s="29"/>
      <c r="K1204">
        <f>IF($A1204="","","#"&amp;TRIM(SUBSTITUTE(SUBSTITUTE(SUBSTITUTE(SUBSTITUTE(SUBSTITUTE(SUBSTITUTE($A1204,"-",""),"(",""),")",""),".",""),"+","")," ","")))</f>
      </c>
    </row>
    <row r="1205" spans="1:11" x14ac:dyDescent="0.3">
      <c r="A1205" s="28"/>
      <c r="B1205" s="29"/>
      <c r="C1205" s="30"/>
      <c r="D1205" s="31"/>
      <c r="E1205" s="33">
        <f>IF(OR($D1205="",$K1205=""),"",IF(COUNTIFS(Payments!$G$5:$G$2500,$K1205,Payments!$C$5:$C$2500,"&lt;&gt;")=0,"",_xlfn.MAXIFS(Payments!$C$5:$C$2500,Payments!$G$5:$G$2500,$K1205)))</f>
      </c>
      <c r="F1205" s="34">
        <f>IF(OR($D1205="",$K1205=""),"",SUMIF(Payments!$G$5:$G$2500,$K1205,Payments!$D$5:$D$2500))</f>
      </c>
      <c r="G1205" s="36">
        <f>IF($D1205="","",ROUND($D1205-IF($F1205="",0,$F1205),2))</f>
      </c>
      <c r="H1205" s="35">
        <f>IF(OR($D1205="",$K1205=""),"",COUNTIF(Payments!$G$5:$G$2500,$K1205))</f>
      </c>
      <c r="I1205" s="37">
        <f>IF($D1205="","",IF(OR($F1205="",$F1205=0),"Pending",IF(ROUND($F1205-$D1205,2)&gt;0,"Overpaid",IF(ROUND($F1205-$D1205,2)=0,"Paid","Partial"))))</f>
      </c>
      <c r="J1205" s="29"/>
      <c r="K1205">
        <f>IF($A1205="","","#"&amp;TRIM(SUBSTITUTE(SUBSTITUTE(SUBSTITUTE(SUBSTITUTE(SUBSTITUTE(SUBSTITUTE($A1205,"-",""),"(",""),")",""),".",""),"+","")," ","")))</f>
      </c>
    </row>
    <row r="1206" spans="1:11" x14ac:dyDescent="0.3">
      <c r="A1206" s="28"/>
      <c r="B1206" s="29"/>
      <c r="C1206" s="30"/>
      <c r="D1206" s="31"/>
      <c r="E1206" s="33">
        <f>IF(OR($D1206="",$K1206=""),"",IF(COUNTIFS(Payments!$G$5:$G$2500,$K1206,Payments!$C$5:$C$2500,"&lt;&gt;")=0,"",_xlfn.MAXIFS(Payments!$C$5:$C$2500,Payments!$G$5:$G$2500,$K1206)))</f>
      </c>
      <c r="F1206" s="34">
        <f>IF(OR($D1206="",$K1206=""),"",SUMIF(Payments!$G$5:$G$2500,$K1206,Payments!$D$5:$D$2500))</f>
      </c>
      <c r="G1206" s="36">
        <f>IF($D1206="","",ROUND($D1206-IF($F1206="",0,$F1206),2))</f>
      </c>
      <c r="H1206" s="35">
        <f>IF(OR($D1206="",$K1206=""),"",COUNTIF(Payments!$G$5:$G$2500,$K1206))</f>
      </c>
      <c r="I1206" s="37">
        <f>IF($D1206="","",IF(OR($F1206="",$F1206=0),"Pending",IF(ROUND($F1206-$D1206,2)&gt;0,"Overpaid",IF(ROUND($F1206-$D1206,2)=0,"Paid","Partial"))))</f>
      </c>
      <c r="J1206" s="29"/>
      <c r="K1206">
        <f>IF($A1206="","","#"&amp;TRIM(SUBSTITUTE(SUBSTITUTE(SUBSTITUTE(SUBSTITUTE(SUBSTITUTE(SUBSTITUTE($A1206,"-",""),"(",""),")",""),".",""),"+","")," ","")))</f>
      </c>
    </row>
    <row r="1207" spans="1:11" x14ac:dyDescent="0.3">
      <c r="A1207" s="28"/>
      <c r="B1207" s="29"/>
      <c r="C1207" s="30"/>
      <c r="D1207" s="31"/>
      <c r="E1207" s="33">
        <f>IF(OR($D1207="",$K1207=""),"",IF(COUNTIFS(Payments!$G$5:$G$2500,$K1207,Payments!$C$5:$C$2500,"&lt;&gt;")=0,"",_xlfn.MAXIFS(Payments!$C$5:$C$2500,Payments!$G$5:$G$2500,$K1207)))</f>
      </c>
      <c r="F1207" s="34">
        <f>IF(OR($D1207="",$K1207=""),"",SUMIF(Payments!$G$5:$G$2500,$K1207,Payments!$D$5:$D$2500))</f>
      </c>
      <c r="G1207" s="36">
        <f>IF($D1207="","",ROUND($D1207-IF($F1207="",0,$F1207),2))</f>
      </c>
      <c r="H1207" s="35">
        <f>IF(OR($D1207="",$K1207=""),"",COUNTIF(Payments!$G$5:$G$2500,$K1207))</f>
      </c>
      <c r="I1207" s="37">
        <f>IF($D1207="","",IF(OR($F1207="",$F1207=0),"Pending",IF(ROUND($F1207-$D1207,2)&gt;0,"Overpaid",IF(ROUND($F1207-$D1207,2)=0,"Paid","Partial"))))</f>
      </c>
      <c r="J1207" s="29"/>
      <c r="K1207">
        <f>IF($A1207="","","#"&amp;TRIM(SUBSTITUTE(SUBSTITUTE(SUBSTITUTE(SUBSTITUTE(SUBSTITUTE(SUBSTITUTE($A1207,"-",""),"(",""),")",""),".",""),"+","")," ","")))</f>
      </c>
    </row>
    <row r="1208" spans="1:11" x14ac:dyDescent="0.3">
      <c r="A1208" s="28"/>
      <c r="B1208" s="29"/>
      <c r="C1208" s="30"/>
      <c r="D1208" s="31"/>
      <c r="E1208" s="33">
        <f>IF(OR($D1208="",$K1208=""),"",IF(COUNTIFS(Payments!$G$5:$G$2500,$K1208,Payments!$C$5:$C$2500,"&lt;&gt;")=0,"",_xlfn.MAXIFS(Payments!$C$5:$C$2500,Payments!$G$5:$G$2500,$K1208)))</f>
      </c>
      <c r="F1208" s="34">
        <f>IF(OR($D1208="",$K1208=""),"",SUMIF(Payments!$G$5:$G$2500,$K1208,Payments!$D$5:$D$2500))</f>
      </c>
      <c r="G1208" s="36">
        <f>IF($D1208="","",ROUND($D1208-IF($F1208="",0,$F1208),2))</f>
      </c>
      <c r="H1208" s="35">
        <f>IF(OR($D1208="",$K1208=""),"",COUNTIF(Payments!$G$5:$G$2500,$K1208))</f>
      </c>
      <c r="I1208" s="37">
        <f>IF($D1208="","",IF(OR($F1208="",$F1208=0),"Pending",IF(ROUND($F1208-$D1208,2)&gt;0,"Overpaid",IF(ROUND($F1208-$D1208,2)=0,"Paid","Partial"))))</f>
      </c>
      <c r="J1208" s="29"/>
      <c r="K1208">
        <f>IF($A1208="","","#"&amp;TRIM(SUBSTITUTE(SUBSTITUTE(SUBSTITUTE(SUBSTITUTE(SUBSTITUTE(SUBSTITUTE($A1208,"-",""),"(",""),")",""),".",""),"+","")," ","")))</f>
      </c>
    </row>
    <row r="1209" spans="1:11" x14ac:dyDescent="0.3">
      <c r="A1209" s="28"/>
      <c r="B1209" s="29"/>
      <c r="C1209" s="30"/>
      <c r="D1209" s="31"/>
      <c r="E1209" s="33">
        <f>IF(OR($D1209="",$K1209=""),"",IF(COUNTIFS(Payments!$G$5:$G$2500,$K1209,Payments!$C$5:$C$2500,"&lt;&gt;")=0,"",_xlfn.MAXIFS(Payments!$C$5:$C$2500,Payments!$G$5:$G$2500,$K1209)))</f>
      </c>
      <c r="F1209" s="34">
        <f>IF(OR($D1209="",$K1209=""),"",SUMIF(Payments!$G$5:$G$2500,$K1209,Payments!$D$5:$D$2500))</f>
      </c>
      <c r="G1209" s="36">
        <f>IF($D1209="","",ROUND($D1209-IF($F1209="",0,$F1209),2))</f>
      </c>
      <c r="H1209" s="35">
        <f>IF(OR($D1209="",$K1209=""),"",COUNTIF(Payments!$G$5:$G$2500,$K1209))</f>
      </c>
      <c r="I1209" s="37">
        <f>IF($D1209="","",IF(OR($F1209="",$F1209=0),"Pending",IF(ROUND($F1209-$D1209,2)&gt;0,"Overpaid",IF(ROUND($F1209-$D1209,2)=0,"Paid","Partial"))))</f>
      </c>
      <c r="J1209" s="29"/>
      <c r="K1209">
        <f>IF($A1209="","","#"&amp;TRIM(SUBSTITUTE(SUBSTITUTE(SUBSTITUTE(SUBSTITUTE(SUBSTITUTE(SUBSTITUTE($A1209,"-",""),"(",""),")",""),".",""),"+","")," ","")))</f>
      </c>
    </row>
    <row r="1210" spans="1:11" x14ac:dyDescent="0.3">
      <c r="A1210" s="28"/>
      <c r="B1210" s="29"/>
      <c r="C1210" s="30"/>
      <c r="D1210" s="31"/>
      <c r="E1210" s="33">
        <f>IF(OR($D1210="",$K1210=""),"",IF(COUNTIFS(Payments!$G$5:$G$2500,$K1210,Payments!$C$5:$C$2500,"&lt;&gt;")=0,"",_xlfn.MAXIFS(Payments!$C$5:$C$2500,Payments!$G$5:$G$2500,$K1210)))</f>
      </c>
      <c r="F1210" s="34">
        <f>IF(OR($D1210="",$K1210=""),"",SUMIF(Payments!$G$5:$G$2500,$K1210,Payments!$D$5:$D$2500))</f>
      </c>
      <c r="G1210" s="36">
        <f>IF($D1210="","",ROUND($D1210-IF($F1210="",0,$F1210),2))</f>
      </c>
      <c r="H1210" s="35">
        <f>IF(OR($D1210="",$K1210=""),"",COUNTIF(Payments!$G$5:$G$2500,$K1210))</f>
      </c>
      <c r="I1210" s="37">
        <f>IF($D1210="","",IF(OR($F1210="",$F1210=0),"Pending",IF(ROUND($F1210-$D1210,2)&gt;0,"Overpaid",IF(ROUND($F1210-$D1210,2)=0,"Paid","Partial"))))</f>
      </c>
      <c r="J1210" s="29"/>
      <c r="K1210">
        <f>IF($A1210="","","#"&amp;TRIM(SUBSTITUTE(SUBSTITUTE(SUBSTITUTE(SUBSTITUTE(SUBSTITUTE(SUBSTITUTE($A1210,"-",""),"(",""),")",""),".",""),"+","")," ","")))</f>
      </c>
    </row>
    <row r="1211" spans="1:11" x14ac:dyDescent="0.3">
      <c r="A1211" s="28"/>
      <c r="B1211" s="29"/>
      <c r="C1211" s="30"/>
      <c r="D1211" s="31"/>
      <c r="E1211" s="33">
        <f>IF(OR($D1211="",$K1211=""),"",IF(COUNTIFS(Payments!$G$5:$G$2500,$K1211,Payments!$C$5:$C$2500,"&lt;&gt;")=0,"",_xlfn.MAXIFS(Payments!$C$5:$C$2500,Payments!$G$5:$G$2500,$K1211)))</f>
      </c>
      <c r="F1211" s="34">
        <f>IF(OR($D1211="",$K1211=""),"",SUMIF(Payments!$G$5:$G$2500,$K1211,Payments!$D$5:$D$2500))</f>
      </c>
      <c r="G1211" s="36">
        <f>IF($D1211="","",ROUND($D1211-IF($F1211="",0,$F1211),2))</f>
      </c>
      <c r="H1211" s="35">
        <f>IF(OR($D1211="",$K1211=""),"",COUNTIF(Payments!$G$5:$G$2500,$K1211))</f>
      </c>
      <c r="I1211" s="37">
        <f>IF($D1211="","",IF(OR($F1211="",$F1211=0),"Pending",IF(ROUND($F1211-$D1211,2)&gt;0,"Overpaid",IF(ROUND($F1211-$D1211,2)=0,"Paid","Partial"))))</f>
      </c>
      <c r="J1211" s="29"/>
      <c r="K1211">
        <f>IF($A1211="","","#"&amp;TRIM(SUBSTITUTE(SUBSTITUTE(SUBSTITUTE(SUBSTITUTE(SUBSTITUTE(SUBSTITUTE($A1211,"-",""),"(",""),")",""),".",""),"+","")," ","")))</f>
      </c>
    </row>
    <row r="1212" spans="1:11" x14ac:dyDescent="0.3">
      <c r="A1212" s="28"/>
      <c r="B1212" s="29"/>
      <c r="C1212" s="30"/>
      <c r="D1212" s="31"/>
      <c r="E1212" s="33">
        <f>IF(OR($D1212="",$K1212=""),"",IF(COUNTIFS(Payments!$G$5:$G$2500,$K1212,Payments!$C$5:$C$2500,"&lt;&gt;")=0,"",_xlfn.MAXIFS(Payments!$C$5:$C$2500,Payments!$G$5:$G$2500,$K1212)))</f>
      </c>
      <c r="F1212" s="34">
        <f>IF(OR($D1212="",$K1212=""),"",SUMIF(Payments!$G$5:$G$2500,$K1212,Payments!$D$5:$D$2500))</f>
      </c>
      <c r="G1212" s="36">
        <f>IF($D1212="","",ROUND($D1212-IF($F1212="",0,$F1212),2))</f>
      </c>
      <c r="H1212" s="35">
        <f>IF(OR($D1212="",$K1212=""),"",COUNTIF(Payments!$G$5:$G$2500,$K1212))</f>
      </c>
      <c r="I1212" s="37">
        <f>IF($D1212="","",IF(OR($F1212="",$F1212=0),"Pending",IF(ROUND($F1212-$D1212,2)&gt;0,"Overpaid",IF(ROUND($F1212-$D1212,2)=0,"Paid","Partial"))))</f>
      </c>
      <c r="J1212" s="29"/>
      <c r="K1212">
        <f>IF($A1212="","","#"&amp;TRIM(SUBSTITUTE(SUBSTITUTE(SUBSTITUTE(SUBSTITUTE(SUBSTITUTE(SUBSTITUTE($A1212,"-",""),"(",""),")",""),".",""),"+","")," ","")))</f>
      </c>
    </row>
    <row r="1213" spans="1:11" x14ac:dyDescent="0.3">
      <c r="A1213" s="28"/>
      <c r="B1213" s="29"/>
      <c r="C1213" s="30"/>
      <c r="D1213" s="31"/>
      <c r="E1213" s="33">
        <f>IF(OR($D1213="",$K1213=""),"",IF(COUNTIFS(Payments!$G$5:$G$2500,$K1213,Payments!$C$5:$C$2500,"&lt;&gt;")=0,"",_xlfn.MAXIFS(Payments!$C$5:$C$2500,Payments!$G$5:$G$2500,$K1213)))</f>
      </c>
      <c r="F1213" s="34">
        <f>IF(OR($D1213="",$K1213=""),"",SUMIF(Payments!$G$5:$G$2500,$K1213,Payments!$D$5:$D$2500))</f>
      </c>
      <c r="G1213" s="36">
        <f>IF($D1213="","",ROUND($D1213-IF($F1213="",0,$F1213),2))</f>
      </c>
      <c r="H1213" s="35">
        <f>IF(OR($D1213="",$K1213=""),"",COUNTIF(Payments!$G$5:$G$2500,$K1213))</f>
      </c>
      <c r="I1213" s="37">
        <f>IF($D1213="","",IF(OR($F1213="",$F1213=0),"Pending",IF(ROUND($F1213-$D1213,2)&gt;0,"Overpaid",IF(ROUND($F1213-$D1213,2)=0,"Paid","Partial"))))</f>
      </c>
      <c r="J1213" s="29"/>
      <c r="K1213">
        <f>IF($A1213="","","#"&amp;TRIM(SUBSTITUTE(SUBSTITUTE(SUBSTITUTE(SUBSTITUTE(SUBSTITUTE(SUBSTITUTE($A1213,"-",""),"(",""),")",""),".",""),"+","")," ","")))</f>
      </c>
    </row>
    <row r="1214" spans="1:11" x14ac:dyDescent="0.3">
      <c r="A1214" s="28"/>
      <c r="B1214" s="29"/>
      <c r="C1214" s="30"/>
      <c r="D1214" s="31"/>
      <c r="E1214" s="33">
        <f>IF(OR($D1214="",$K1214=""),"",IF(COUNTIFS(Payments!$G$5:$G$2500,$K1214,Payments!$C$5:$C$2500,"&lt;&gt;")=0,"",_xlfn.MAXIFS(Payments!$C$5:$C$2500,Payments!$G$5:$G$2500,$K1214)))</f>
      </c>
      <c r="F1214" s="34">
        <f>IF(OR($D1214="",$K1214=""),"",SUMIF(Payments!$G$5:$G$2500,$K1214,Payments!$D$5:$D$2500))</f>
      </c>
      <c r="G1214" s="36">
        <f>IF($D1214="","",ROUND($D1214-IF($F1214="",0,$F1214),2))</f>
      </c>
      <c r="H1214" s="35">
        <f>IF(OR($D1214="",$K1214=""),"",COUNTIF(Payments!$G$5:$G$2500,$K1214))</f>
      </c>
      <c r="I1214" s="37">
        <f>IF($D1214="","",IF(OR($F1214="",$F1214=0),"Pending",IF(ROUND($F1214-$D1214,2)&gt;0,"Overpaid",IF(ROUND($F1214-$D1214,2)=0,"Paid","Partial"))))</f>
      </c>
      <c r="J1214" s="29"/>
      <c r="K1214">
        <f>IF($A1214="","","#"&amp;TRIM(SUBSTITUTE(SUBSTITUTE(SUBSTITUTE(SUBSTITUTE(SUBSTITUTE(SUBSTITUTE($A1214,"-",""),"(",""),")",""),".",""),"+","")," ","")))</f>
      </c>
    </row>
    <row r="1215" spans="1:11" x14ac:dyDescent="0.3">
      <c r="A1215" s="28"/>
      <c r="B1215" s="29"/>
      <c r="C1215" s="30"/>
      <c r="D1215" s="31"/>
      <c r="E1215" s="33">
        <f>IF(OR($D1215="",$K1215=""),"",IF(COUNTIFS(Payments!$G$5:$G$2500,$K1215,Payments!$C$5:$C$2500,"&lt;&gt;")=0,"",_xlfn.MAXIFS(Payments!$C$5:$C$2500,Payments!$G$5:$G$2500,$K1215)))</f>
      </c>
      <c r="F1215" s="34">
        <f>IF(OR($D1215="",$K1215=""),"",SUMIF(Payments!$G$5:$G$2500,$K1215,Payments!$D$5:$D$2500))</f>
      </c>
      <c r="G1215" s="36">
        <f>IF($D1215="","",ROUND($D1215-IF($F1215="",0,$F1215),2))</f>
      </c>
      <c r="H1215" s="35">
        <f>IF(OR($D1215="",$K1215=""),"",COUNTIF(Payments!$G$5:$G$2500,$K1215))</f>
      </c>
      <c r="I1215" s="37">
        <f>IF($D1215="","",IF(OR($F1215="",$F1215=0),"Pending",IF(ROUND($F1215-$D1215,2)&gt;0,"Overpaid",IF(ROUND($F1215-$D1215,2)=0,"Paid","Partial"))))</f>
      </c>
      <c r="J1215" s="29"/>
      <c r="K1215">
        <f>IF($A1215="","","#"&amp;TRIM(SUBSTITUTE(SUBSTITUTE(SUBSTITUTE(SUBSTITUTE(SUBSTITUTE(SUBSTITUTE($A1215,"-",""),"(",""),")",""),".",""),"+","")," ","")))</f>
      </c>
    </row>
    <row r="1216" spans="1:11" x14ac:dyDescent="0.3">
      <c r="A1216" s="28"/>
      <c r="B1216" s="29"/>
      <c r="C1216" s="30"/>
      <c r="D1216" s="31"/>
      <c r="E1216" s="33">
        <f>IF(OR($D1216="",$K1216=""),"",IF(COUNTIFS(Payments!$G$5:$G$2500,$K1216,Payments!$C$5:$C$2500,"&lt;&gt;")=0,"",_xlfn.MAXIFS(Payments!$C$5:$C$2500,Payments!$G$5:$G$2500,$K1216)))</f>
      </c>
      <c r="F1216" s="34">
        <f>IF(OR($D1216="",$K1216=""),"",SUMIF(Payments!$G$5:$G$2500,$K1216,Payments!$D$5:$D$2500))</f>
      </c>
      <c r="G1216" s="36">
        <f>IF($D1216="","",ROUND($D1216-IF($F1216="",0,$F1216),2))</f>
      </c>
      <c r="H1216" s="35">
        <f>IF(OR($D1216="",$K1216=""),"",COUNTIF(Payments!$G$5:$G$2500,$K1216))</f>
      </c>
      <c r="I1216" s="37">
        <f>IF($D1216="","",IF(OR($F1216="",$F1216=0),"Pending",IF(ROUND($F1216-$D1216,2)&gt;0,"Overpaid",IF(ROUND($F1216-$D1216,2)=0,"Paid","Partial"))))</f>
      </c>
      <c r="J1216" s="29"/>
      <c r="K1216">
        <f>IF($A1216="","","#"&amp;TRIM(SUBSTITUTE(SUBSTITUTE(SUBSTITUTE(SUBSTITUTE(SUBSTITUTE(SUBSTITUTE($A1216,"-",""),"(",""),")",""),".",""),"+","")," ","")))</f>
      </c>
    </row>
    <row r="1217" spans="1:11" x14ac:dyDescent="0.3">
      <c r="A1217" s="28"/>
      <c r="B1217" s="29"/>
      <c r="C1217" s="30"/>
      <c r="D1217" s="31"/>
      <c r="E1217" s="33">
        <f>IF(OR($D1217="",$K1217=""),"",IF(COUNTIFS(Payments!$G$5:$G$2500,$K1217,Payments!$C$5:$C$2500,"&lt;&gt;")=0,"",_xlfn.MAXIFS(Payments!$C$5:$C$2500,Payments!$G$5:$G$2500,$K1217)))</f>
      </c>
      <c r="F1217" s="34">
        <f>IF(OR($D1217="",$K1217=""),"",SUMIF(Payments!$G$5:$G$2500,$K1217,Payments!$D$5:$D$2500))</f>
      </c>
      <c r="G1217" s="36">
        <f>IF($D1217="","",ROUND($D1217-IF($F1217="",0,$F1217),2))</f>
      </c>
      <c r="H1217" s="35">
        <f>IF(OR($D1217="",$K1217=""),"",COUNTIF(Payments!$G$5:$G$2500,$K1217))</f>
      </c>
      <c r="I1217" s="37">
        <f>IF($D1217="","",IF(OR($F1217="",$F1217=0),"Pending",IF(ROUND($F1217-$D1217,2)&gt;0,"Overpaid",IF(ROUND($F1217-$D1217,2)=0,"Paid","Partial"))))</f>
      </c>
      <c r="J1217" s="29"/>
      <c r="K1217">
        <f>IF($A1217="","","#"&amp;TRIM(SUBSTITUTE(SUBSTITUTE(SUBSTITUTE(SUBSTITUTE(SUBSTITUTE(SUBSTITUTE($A1217,"-",""),"(",""),")",""),".",""),"+","")," ","")))</f>
      </c>
    </row>
    <row r="1218" spans="1:11" x14ac:dyDescent="0.3">
      <c r="A1218" s="28"/>
      <c r="B1218" s="29"/>
      <c r="C1218" s="30"/>
      <c r="D1218" s="31"/>
      <c r="E1218" s="33">
        <f>IF(OR($D1218="",$K1218=""),"",IF(COUNTIFS(Payments!$G$5:$G$2500,$K1218,Payments!$C$5:$C$2500,"&lt;&gt;")=0,"",_xlfn.MAXIFS(Payments!$C$5:$C$2500,Payments!$G$5:$G$2500,$K1218)))</f>
      </c>
      <c r="F1218" s="34">
        <f>IF(OR($D1218="",$K1218=""),"",SUMIF(Payments!$G$5:$G$2500,$K1218,Payments!$D$5:$D$2500))</f>
      </c>
      <c r="G1218" s="36">
        <f>IF($D1218="","",ROUND($D1218-IF($F1218="",0,$F1218),2))</f>
      </c>
      <c r="H1218" s="35">
        <f>IF(OR($D1218="",$K1218=""),"",COUNTIF(Payments!$G$5:$G$2500,$K1218))</f>
      </c>
      <c r="I1218" s="37">
        <f>IF($D1218="","",IF(OR($F1218="",$F1218=0),"Pending",IF(ROUND($F1218-$D1218,2)&gt;0,"Overpaid",IF(ROUND($F1218-$D1218,2)=0,"Paid","Partial"))))</f>
      </c>
      <c r="J1218" s="29"/>
      <c r="K1218">
        <f>IF($A1218="","","#"&amp;TRIM(SUBSTITUTE(SUBSTITUTE(SUBSTITUTE(SUBSTITUTE(SUBSTITUTE(SUBSTITUTE($A1218,"-",""),"(",""),")",""),".",""),"+","")," ","")))</f>
      </c>
    </row>
    <row r="1219" spans="1:11" x14ac:dyDescent="0.3">
      <c r="A1219" s="28"/>
      <c r="B1219" s="29"/>
      <c r="C1219" s="30"/>
      <c r="D1219" s="31"/>
      <c r="E1219" s="33">
        <f>IF(OR($D1219="",$K1219=""),"",IF(COUNTIFS(Payments!$G$5:$G$2500,$K1219,Payments!$C$5:$C$2500,"&lt;&gt;")=0,"",_xlfn.MAXIFS(Payments!$C$5:$C$2500,Payments!$G$5:$G$2500,$K1219)))</f>
      </c>
      <c r="F1219" s="34">
        <f>IF(OR($D1219="",$K1219=""),"",SUMIF(Payments!$G$5:$G$2500,$K1219,Payments!$D$5:$D$2500))</f>
      </c>
      <c r="G1219" s="36">
        <f>IF($D1219="","",ROUND($D1219-IF($F1219="",0,$F1219),2))</f>
      </c>
      <c r="H1219" s="35">
        <f>IF(OR($D1219="",$K1219=""),"",COUNTIF(Payments!$G$5:$G$2500,$K1219))</f>
      </c>
      <c r="I1219" s="37">
        <f>IF($D1219="","",IF(OR($F1219="",$F1219=0),"Pending",IF(ROUND($F1219-$D1219,2)&gt;0,"Overpaid",IF(ROUND($F1219-$D1219,2)=0,"Paid","Partial"))))</f>
      </c>
      <c r="J1219" s="29"/>
      <c r="K1219">
        <f>IF($A1219="","","#"&amp;TRIM(SUBSTITUTE(SUBSTITUTE(SUBSTITUTE(SUBSTITUTE(SUBSTITUTE(SUBSTITUTE($A1219,"-",""),"(",""),")",""),".",""),"+","")," ","")))</f>
      </c>
    </row>
    <row r="1220" spans="1:11" x14ac:dyDescent="0.3">
      <c r="A1220" s="28"/>
      <c r="B1220" s="29"/>
      <c r="C1220" s="30"/>
      <c r="D1220" s="31"/>
      <c r="E1220" s="33">
        <f>IF(OR($D1220="",$K1220=""),"",IF(COUNTIFS(Payments!$G$5:$G$2500,$K1220,Payments!$C$5:$C$2500,"&lt;&gt;")=0,"",_xlfn.MAXIFS(Payments!$C$5:$C$2500,Payments!$G$5:$G$2500,$K1220)))</f>
      </c>
      <c r="F1220" s="34">
        <f>IF(OR($D1220="",$K1220=""),"",SUMIF(Payments!$G$5:$G$2500,$K1220,Payments!$D$5:$D$2500))</f>
      </c>
      <c r="G1220" s="36">
        <f>IF($D1220="","",ROUND($D1220-IF($F1220="",0,$F1220),2))</f>
      </c>
      <c r="H1220" s="35">
        <f>IF(OR($D1220="",$K1220=""),"",COUNTIF(Payments!$G$5:$G$2500,$K1220))</f>
      </c>
      <c r="I1220" s="37">
        <f>IF($D1220="","",IF(OR($F1220="",$F1220=0),"Pending",IF(ROUND($F1220-$D1220,2)&gt;0,"Overpaid",IF(ROUND($F1220-$D1220,2)=0,"Paid","Partial"))))</f>
      </c>
      <c r="J1220" s="29"/>
      <c r="K1220">
        <f>IF($A1220="","","#"&amp;TRIM(SUBSTITUTE(SUBSTITUTE(SUBSTITUTE(SUBSTITUTE(SUBSTITUTE(SUBSTITUTE($A1220,"-",""),"(",""),")",""),".",""),"+","")," ","")))</f>
      </c>
    </row>
    <row r="1221" spans="1:11" x14ac:dyDescent="0.3">
      <c r="A1221" s="28"/>
      <c r="B1221" s="29"/>
      <c r="C1221" s="30"/>
      <c r="D1221" s="31"/>
      <c r="E1221" s="33">
        <f>IF(OR($D1221="",$K1221=""),"",IF(COUNTIFS(Payments!$G$5:$G$2500,$K1221,Payments!$C$5:$C$2500,"&lt;&gt;")=0,"",_xlfn.MAXIFS(Payments!$C$5:$C$2500,Payments!$G$5:$G$2500,$K1221)))</f>
      </c>
      <c r="F1221" s="34">
        <f>IF(OR($D1221="",$K1221=""),"",SUMIF(Payments!$G$5:$G$2500,$K1221,Payments!$D$5:$D$2500))</f>
      </c>
      <c r="G1221" s="36">
        <f>IF($D1221="","",ROUND($D1221-IF($F1221="",0,$F1221),2))</f>
      </c>
      <c r="H1221" s="35">
        <f>IF(OR($D1221="",$K1221=""),"",COUNTIF(Payments!$G$5:$G$2500,$K1221))</f>
      </c>
      <c r="I1221" s="37">
        <f>IF($D1221="","",IF(OR($F1221="",$F1221=0),"Pending",IF(ROUND($F1221-$D1221,2)&gt;0,"Overpaid",IF(ROUND($F1221-$D1221,2)=0,"Paid","Partial"))))</f>
      </c>
      <c r="J1221" s="29"/>
      <c r="K1221">
        <f>IF($A1221="","","#"&amp;TRIM(SUBSTITUTE(SUBSTITUTE(SUBSTITUTE(SUBSTITUTE(SUBSTITUTE(SUBSTITUTE($A1221,"-",""),"(",""),")",""),".",""),"+","")," ","")))</f>
      </c>
    </row>
    <row r="1222" spans="1:11" x14ac:dyDescent="0.3">
      <c r="A1222" s="28"/>
      <c r="B1222" s="29"/>
      <c r="C1222" s="30"/>
      <c r="D1222" s="31"/>
      <c r="E1222" s="33">
        <f>IF(OR($D1222="",$K1222=""),"",IF(COUNTIFS(Payments!$G$5:$G$2500,$K1222,Payments!$C$5:$C$2500,"&lt;&gt;")=0,"",_xlfn.MAXIFS(Payments!$C$5:$C$2500,Payments!$G$5:$G$2500,$K1222)))</f>
      </c>
      <c r="F1222" s="34">
        <f>IF(OR($D1222="",$K1222=""),"",SUMIF(Payments!$G$5:$G$2500,$K1222,Payments!$D$5:$D$2500))</f>
      </c>
      <c r="G1222" s="36">
        <f>IF($D1222="","",ROUND($D1222-IF($F1222="",0,$F1222),2))</f>
      </c>
      <c r="H1222" s="35">
        <f>IF(OR($D1222="",$K1222=""),"",COUNTIF(Payments!$G$5:$G$2500,$K1222))</f>
      </c>
      <c r="I1222" s="37">
        <f>IF($D1222="","",IF(OR($F1222="",$F1222=0),"Pending",IF(ROUND($F1222-$D1222,2)&gt;0,"Overpaid",IF(ROUND($F1222-$D1222,2)=0,"Paid","Partial"))))</f>
      </c>
      <c r="J1222" s="29"/>
      <c r="K1222">
        <f>IF($A1222="","","#"&amp;TRIM(SUBSTITUTE(SUBSTITUTE(SUBSTITUTE(SUBSTITUTE(SUBSTITUTE(SUBSTITUTE($A1222,"-",""),"(",""),")",""),".",""),"+","")," ","")))</f>
      </c>
    </row>
    <row r="1223" spans="1:11" x14ac:dyDescent="0.3">
      <c r="A1223" s="28"/>
      <c r="B1223" s="29"/>
      <c r="C1223" s="30"/>
      <c r="D1223" s="31"/>
      <c r="E1223" s="33">
        <f>IF(OR($D1223="",$K1223=""),"",IF(COUNTIFS(Payments!$G$5:$G$2500,$K1223,Payments!$C$5:$C$2500,"&lt;&gt;")=0,"",_xlfn.MAXIFS(Payments!$C$5:$C$2500,Payments!$G$5:$G$2500,$K1223)))</f>
      </c>
      <c r="F1223" s="34">
        <f>IF(OR($D1223="",$K1223=""),"",SUMIF(Payments!$G$5:$G$2500,$K1223,Payments!$D$5:$D$2500))</f>
      </c>
      <c r="G1223" s="36">
        <f>IF($D1223="","",ROUND($D1223-IF($F1223="",0,$F1223),2))</f>
      </c>
      <c r="H1223" s="35">
        <f>IF(OR($D1223="",$K1223=""),"",COUNTIF(Payments!$G$5:$G$2500,$K1223))</f>
      </c>
      <c r="I1223" s="37">
        <f>IF($D1223="","",IF(OR($F1223="",$F1223=0),"Pending",IF(ROUND($F1223-$D1223,2)&gt;0,"Overpaid",IF(ROUND($F1223-$D1223,2)=0,"Paid","Partial"))))</f>
      </c>
      <c r="J1223" s="29"/>
      <c r="K1223">
        <f>IF($A1223="","","#"&amp;TRIM(SUBSTITUTE(SUBSTITUTE(SUBSTITUTE(SUBSTITUTE(SUBSTITUTE(SUBSTITUTE($A1223,"-",""),"(",""),")",""),".",""),"+","")," ","")))</f>
      </c>
    </row>
    <row r="1224" spans="1:11" x14ac:dyDescent="0.3">
      <c r="A1224" s="28"/>
      <c r="B1224" s="29"/>
      <c r="C1224" s="30"/>
      <c r="D1224" s="31"/>
      <c r="E1224" s="33">
        <f>IF(OR($D1224="",$K1224=""),"",IF(COUNTIFS(Payments!$G$5:$G$2500,$K1224,Payments!$C$5:$C$2500,"&lt;&gt;")=0,"",_xlfn.MAXIFS(Payments!$C$5:$C$2500,Payments!$G$5:$G$2500,$K1224)))</f>
      </c>
      <c r="F1224" s="34">
        <f>IF(OR($D1224="",$K1224=""),"",SUMIF(Payments!$G$5:$G$2500,$K1224,Payments!$D$5:$D$2500))</f>
      </c>
      <c r="G1224" s="36">
        <f>IF($D1224="","",ROUND($D1224-IF($F1224="",0,$F1224),2))</f>
      </c>
      <c r="H1224" s="35">
        <f>IF(OR($D1224="",$K1224=""),"",COUNTIF(Payments!$G$5:$G$2500,$K1224))</f>
      </c>
      <c r="I1224" s="37">
        <f>IF($D1224="","",IF(OR($F1224="",$F1224=0),"Pending",IF(ROUND($F1224-$D1224,2)&gt;0,"Overpaid",IF(ROUND($F1224-$D1224,2)=0,"Paid","Partial"))))</f>
      </c>
      <c r="J1224" s="29"/>
      <c r="K1224">
        <f>IF($A1224="","","#"&amp;TRIM(SUBSTITUTE(SUBSTITUTE(SUBSTITUTE(SUBSTITUTE(SUBSTITUTE(SUBSTITUTE($A1224,"-",""),"(",""),")",""),".",""),"+","")," ","")))</f>
      </c>
    </row>
    <row r="1225" spans="1:11" x14ac:dyDescent="0.3">
      <c r="A1225" s="28"/>
      <c r="B1225" s="29"/>
      <c r="C1225" s="30"/>
      <c r="D1225" s="31"/>
      <c r="E1225" s="33">
        <f>IF(OR($D1225="",$K1225=""),"",IF(COUNTIFS(Payments!$G$5:$G$2500,$K1225,Payments!$C$5:$C$2500,"&lt;&gt;")=0,"",_xlfn.MAXIFS(Payments!$C$5:$C$2500,Payments!$G$5:$G$2500,$K1225)))</f>
      </c>
      <c r="F1225" s="34">
        <f>IF(OR($D1225="",$K1225=""),"",SUMIF(Payments!$G$5:$G$2500,$K1225,Payments!$D$5:$D$2500))</f>
      </c>
      <c r="G1225" s="36">
        <f>IF($D1225="","",ROUND($D1225-IF($F1225="",0,$F1225),2))</f>
      </c>
      <c r="H1225" s="35">
        <f>IF(OR($D1225="",$K1225=""),"",COUNTIF(Payments!$G$5:$G$2500,$K1225))</f>
      </c>
      <c r="I1225" s="37">
        <f>IF($D1225="","",IF(OR($F1225="",$F1225=0),"Pending",IF(ROUND($F1225-$D1225,2)&gt;0,"Overpaid",IF(ROUND($F1225-$D1225,2)=0,"Paid","Partial"))))</f>
      </c>
      <c r="J1225" s="29"/>
      <c r="K1225">
        <f>IF($A1225="","","#"&amp;TRIM(SUBSTITUTE(SUBSTITUTE(SUBSTITUTE(SUBSTITUTE(SUBSTITUTE(SUBSTITUTE($A1225,"-",""),"(",""),")",""),".",""),"+","")," ","")))</f>
      </c>
    </row>
    <row r="1226" spans="1:11" x14ac:dyDescent="0.3">
      <c r="A1226" s="28"/>
      <c r="B1226" s="29"/>
      <c r="C1226" s="30"/>
      <c r="D1226" s="31"/>
      <c r="E1226" s="33">
        <f>IF(OR($D1226="",$K1226=""),"",IF(COUNTIFS(Payments!$G$5:$G$2500,$K1226,Payments!$C$5:$C$2500,"&lt;&gt;")=0,"",_xlfn.MAXIFS(Payments!$C$5:$C$2500,Payments!$G$5:$G$2500,$K1226)))</f>
      </c>
      <c r="F1226" s="34">
        <f>IF(OR($D1226="",$K1226=""),"",SUMIF(Payments!$G$5:$G$2500,$K1226,Payments!$D$5:$D$2500))</f>
      </c>
      <c r="G1226" s="36">
        <f>IF($D1226="","",ROUND($D1226-IF($F1226="",0,$F1226),2))</f>
      </c>
      <c r="H1226" s="35">
        <f>IF(OR($D1226="",$K1226=""),"",COUNTIF(Payments!$G$5:$G$2500,$K1226))</f>
      </c>
      <c r="I1226" s="37">
        <f>IF($D1226="","",IF(OR($F1226="",$F1226=0),"Pending",IF(ROUND($F1226-$D1226,2)&gt;0,"Overpaid",IF(ROUND($F1226-$D1226,2)=0,"Paid","Partial"))))</f>
      </c>
      <c r="J1226" s="29"/>
      <c r="K1226">
        <f>IF($A1226="","","#"&amp;TRIM(SUBSTITUTE(SUBSTITUTE(SUBSTITUTE(SUBSTITUTE(SUBSTITUTE(SUBSTITUTE($A1226,"-",""),"(",""),")",""),".",""),"+","")," ","")))</f>
      </c>
    </row>
    <row r="1227" spans="1:11" x14ac:dyDescent="0.3">
      <c r="A1227" s="28"/>
      <c r="B1227" s="29"/>
      <c r="C1227" s="30"/>
      <c r="D1227" s="31"/>
      <c r="E1227" s="33">
        <f>IF(OR($D1227="",$K1227=""),"",IF(COUNTIFS(Payments!$G$5:$G$2500,$K1227,Payments!$C$5:$C$2500,"&lt;&gt;")=0,"",_xlfn.MAXIFS(Payments!$C$5:$C$2500,Payments!$G$5:$G$2500,$K1227)))</f>
      </c>
      <c r="F1227" s="34">
        <f>IF(OR($D1227="",$K1227=""),"",SUMIF(Payments!$G$5:$G$2500,$K1227,Payments!$D$5:$D$2500))</f>
      </c>
      <c r="G1227" s="36">
        <f>IF($D1227="","",ROUND($D1227-IF($F1227="",0,$F1227),2))</f>
      </c>
      <c r="H1227" s="35">
        <f>IF(OR($D1227="",$K1227=""),"",COUNTIF(Payments!$G$5:$G$2500,$K1227))</f>
      </c>
      <c r="I1227" s="37">
        <f>IF($D1227="","",IF(OR($F1227="",$F1227=0),"Pending",IF(ROUND($F1227-$D1227,2)&gt;0,"Overpaid",IF(ROUND($F1227-$D1227,2)=0,"Paid","Partial"))))</f>
      </c>
      <c r="J1227" s="29"/>
      <c r="K1227">
        <f>IF($A1227="","","#"&amp;TRIM(SUBSTITUTE(SUBSTITUTE(SUBSTITUTE(SUBSTITUTE(SUBSTITUTE(SUBSTITUTE($A1227,"-",""),"(",""),")",""),".",""),"+","")," ","")))</f>
      </c>
    </row>
    <row r="1228" spans="1:11" x14ac:dyDescent="0.3">
      <c r="A1228" s="28"/>
      <c r="B1228" s="29"/>
      <c r="C1228" s="30"/>
      <c r="D1228" s="31"/>
      <c r="E1228" s="33">
        <f>IF(OR($D1228="",$K1228=""),"",IF(COUNTIFS(Payments!$G$5:$G$2500,$K1228,Payments!$C$5:$C$2500,"&lt;&gt;")=0,"",_xlfn.MAXIFS(Payments!$C$5:$C$2500,Payments!$G$5:$G$2500,$K1228)))</f>
      </c>
      <c r="F1228" s="34">
        <f>IF(OR($D1228="",$K1228=""),"",SUMIF(Payments!$G$5:$G$2500,$K1228,Payments!$D$5:$D$2500))</f>
      </c>
      <c r="G1228" s="36">
        <f>IF($D1228="","",ROUND($D1228-IF($F1228="",0,$F1228),2))</f>
      </c>
      <c r="H1228" s="35">
        <f>IF(OR($D1228="",$K1228=""),"",COUNTIF(Payments!$G$5:$G$2500,$K1228))</f>
      </c>
      <c r="I1228" s="37">
        <f>IF($D1228="","",IF(OR($F1228="",$F1228=0),"Pending",IF(ROUND($F1228-$D1228,2)&gt;0,"Overpaid",IF(ROUND($F1228-$D1228,2)=0,"Paid","Partial"))))</f>
      </c>
      <c r="J1228" s="29"/>
      <c r="K1228">
        <f>IF($A1228="","","#"&amp;TRIM(SUBSTITUTE(SUBSTITUTE(SUBSTITUTE(SUBSTITUTE(SUBSTITUTE(SUBSTITUTE($A1228,"-",""),"(",""),")",""),".",""),"+","")," ","")))</f>
      </c>
    </row>
    <row r="1229" spans="1:11" x14ac:dyDescent="0.3">
      <c r="A1229" s="28"/>
      <c r="B1229" s="29"/>
      <c r="C1229" s="30"/>
      <c r="D1229" s="31"/>
      <c r="E1229" s="33">
        <f>IF(OR($D1229="",$K1229=""),"",IF(COUNTIFS(Payments!$G$5:$G$2500,$K1229,Payments!$C$5:$C$2500,"&lt;&gt;")=0,"",_xlfn.MAXIFS(Payments!$C$5:$C$2500,Payments!$G$5:$G$2500,$K1229)))</f>
      </c>
      <c r="F1229" s="34">
        <f>IF(OR($D1229="",$K1229=""),"",SUMIF(Payments!$G$5:$G$2500,$K1229,Payments!$D$5:$D$2500))</f>
      </c>
      <c r="G1229" s="36">
        <f>IF($D1229="","",ROUND($D1229-IF($F1229="",0,$F1229),2))</f>
      </c>
      <c r="H1229" s="35">
        <f>IF(OR($D1229="",$K1229=""),"",COUNTIF(Payments!$G$5:$G$2500,$K1229))</f>
      </c>
      <c r="I1229" s="37">
        <f>IF($D1229="","",IF(OR($F1229="",$F1229=0),"Pending",IF(ROUND($F1229-$D1229,2)&gt;0,"Overpaid",IF(ROUND($F1229-$D1229,2)=0,"Paid","Partial"))))</f>
      </c>
      <c r="J1229" s="29"/>
      <c r="K1229">
        <f>IF($A1229="","","#"&amp;TRIM(SUBSTITUTE(SUBSTITUTE(SUBSTITUTE(SUBSTITUTE(SUBSTITUTE(SUBSTITUTE($A1229,"-",""),"(",""),")",""),".",""),"+","")," ","")))</f>
      </c>
    </row>
    <row r="1230" spans="1:11" x14ac:dyDescent="0.3">
      <c r="A1230" s="28"/>
      <c r="B1230" s="29"/>
      <c r="C1230" s="30"/>
      <c r="D1230" s="31"/>
      <c r="E1230" s="33">
        <f>IF(OR($D1230="",$K1230=""),"",IF(COUNTIFS(Payments!$G$5:$G$2500,$K1230,Payments!$C$5:$C$2500,"&lt;&gt;")=0,"",_xlfn.MAXIFS(Payments!$C$5:$C$2500,Payments!$G$5:$G$2500,$K1230)))</f>
      </c>
      <c r="F1230" s="34">
        <f>IF(OR($D1230="",$K1230=""),"",SUMIF(Payments!$G$5:$G$2500,$K1230,Payments!$D$5:$D$2500))</f>
      </c>
      <c r="G1230" s="36">
        <f>IF($D1230="","",ROUND($D1230-IF($F1230="",0,$F1230),2))</f>
      </c>
      <c r="H1230" s="35">
        <f>IF(OR($D1230="",$K1230=""),"",COUNTIF(Payments!$G$5:$G$2500,$K1230))</f>
      </c>
      <c r="I1230" s="37">
        <f>IF($D1230="","",IF(OR($F1230="",$F1230=0),"Pending",IF(ROUND($F1230-$D1230,2)&gt;0,"Overpaid",IF(ROUND($F1230-$D1230,2)=0,"Paid","Partial"))))</f>
      </c>
      <c r="J1230" s="29"/>
      <c r="K1230">
        <f>IF($A1230="","","#"&amp;TRIM(SUBSTITUTE(SUBSTITUTE(SUBSTITUTE(SUBSTITUTE(SUBSTITUTE(SUBSTITUTE($A1230,"-",""),"(",""),")",""),".",""),"+","")," ","")))</f>
      </c>
    </row>
    <row r="1231" spans="1:11" x14ac:dyDescent="0.3">
      <c r="A1231" s="28"/>
      <c r="B1231" s="29"/>
      <c r="C1231" s="30"/>
      <c r="D1231" s="31"/>
      <c r="E1231" s="33">
        <f>IF(OR($D1231="",$K1231=""),"",IF(COUNTIFS(Payments!$G$5:$G$2500,$K1231,Payments!$C$5:$C$2500,"&lt;&gt;")=0,"",_xlfn.MAXIFS(Payments!$C$5:$C$2500,Payments!$G$5:$G$2500,$K1231)))</f>
      </c>
      <c r="F1231" s="34">
        <f>IF(OR($D1231="",$K1231=""),"",SUMIF(Payments!$G$5:$G$2500,$K1231,Payments!$D$5:$D$2500))</f>
      </c>
      <c r="G1231" s="36">
        <f>IF($D1231="","",ROUND($D1231-IF($F1231="",0,$F1231),2))</f>
      </c>
      <c r="H1231" s="35">
        <f>IF(OR($D1231="",$K1231=""),"",COUNTIF(Payments!$G$5:$G$2500,$K1231))</f>
      </c>
      <c r="I1231" s="37">
        <f>IF($D1231="","",IF(OR($F1231="",$F1231=0),"Pending",IF(ROUND($F1231-$D1231,2)&gt;0,"Overpaid",IF(ROUND($F1231-$D1231,2)=0,"Paid","Partial"))))</f>
      </c>
      <c r="J1231" s="29"/>
      <c r="K1231">
        <f>IF($A1231="","","#"&amp;TRIM(SUBSTITUTE(SUBSTITUTE(SUBSTITUTE(SUBSTITUTE(SUBSTITUTE(SUBSTITUTE($A1231,"-",""),"(",""),")",""),".",""),"+","")," ","")))</f>
      </c>
    </row>
    <row r="1232" spans="1:11" x14ac:dyDescent="0.3">
      <c r="A1232" s="28"/>
      <c r="B1232" s="29"/>
      <c r="C1232" s="30"/>
      <c r="D1232" s="31"/>
      <c r="E1232" s="33">
        <f>IF(OR($D1232="",$K1232=""),"",IF(COUNTIFS(Payments!$G$5:$G$2500,$K1232,Payments!$C$5:$C$2500,"&lt;&gt;")=0,"",_xlfn.MAXIFS(Payments!$C$5:$C$2500,Payments!$G$5:$G$2500,$K1232)))</f>
      </c>
      <c r="F1232" s="34">
        <f>IF(OR($D1232="",$K1232=""),"",SUMIF(Payments!$G$5:$G$2500,$K1232,Payments!$D$5:$D$2500))</f>
      </c>
      <c r="G1232" s="36">
        <f>IF($D1232="","",ROUND($D1232-IF($F1232="",0,$F1232),2))</f>
      </c>
      <c r="H1232" s="35">
        <f>IF(OR($D1232="",$K1232=""),"",COUNTIF(Payments!$G$5:$G$2500,$K1232))</f>
      </c>
      <c r="I1232" s="37">
        <f>IF($D1232="","",IF(OR($F1232="",$F1232=0),"Pending",IF(ROUND($F1232-$D1232,2)&gt;0,"Overpaid",IF(ROUND($F1232-$D1232,2)=0,"Paid","Partial"))))</f>
      </c>
      <c r="J1232" s="29"/>
      <c r="K1232">
        <f>IF($A1232="","","#"&amp;TRIM(SUBSTITUTE(SUBSTITUTE(SUBSTITUTE(SUBSTITUTE(SUBSTITUTE(SUBSTITUTE($A1232,"-",""),"(",""),")",""),".",""),"+","")," ","")))</f>
      </c>
    </row>
    <row r="1233" spans="1:11" x14ac:dyDescent="0.3">
      <c r="A1233" s="28"/>
      <c r="B1233" s="29"/>
      <c r="C1233" s="30"/>
      <c r="D1233" s="31"/>
      <c r="E1233" s="33">
        <f>IF(OR($D1233="",$K1233=""),"",IF(COUNTIFS(Payments!$G$5:$G$2500,$K1233,Payments!$C$5:$C$2500,"&lt;&gt;")=0,"",_xlfn.MAXIFS(Payments!$C$5:$C$2500,Payments!$G$5:$G$2500,$K1233)))</f>
      </c>
      <c r="F1233" s="34">
        <f>IF(OR($D1233="",$K1233=""),"",SUMIF(Payments!$G$5:$G$2500,$K1233,Payments!$D$5:$D$2500))</f>
      </c>
      <c r="G1233" s="36">
        <f>IF($D1233="","",ROUND($D1233-IF($F1233="",0,$F1233),2))</f>
      </c>
      <c r="H1233" s="35">
        <f>IF(OR($D1233="",$K1233=""),"",COUNTIF(Payments!$G$5:$G$2500,$K1233))</f>
      </c>
      <c r="I1233" s="37">
        <f>IF($D1233="","",IF(OR($F1233="",$F1233=0),"Pending",IF(ROUND($F1233-$D1233,2)&gt;0,"Overpaid",IF(ROUND($F1233-$D1233,2)=0,"Paid","Partial"))))</f>
      </c>
      <c r="J1233" s="29"/>
      <c r="K1233">
        <f>IF($A1233="","","#"&amp;TRIM(SUBSTITUTE(SUBSTITUTE(SUBSTITUTE(SUBSTITUTE(SUBSTITUTE(SUBSTITUTE($A1233,"-",""),"(",""),")",""),".",""),"+","")," ","")))</f>
      </c>
    </row>
    <row r="1234" spans="1:11" x14ac:dyDescent="0.3">
      <c r="A1234" s="28"/>
      <c r="B1234" s="29"/>
      <c r="C1234" s="30"/>
      <c r="D1234" s="31"/>
      <c r="E1234" s="33">
        <f>IF(OR($D1234="",$K1234=""),"",IF(COUNTIFS(Payments!$G$5:$G$2500,$K1234,Payments!$C$5:$C$2500,"&lt;&gt;")=0,"",_xlfn.MAXIFS(Payments!$C$5:$C$2500,Payments!$G$5:$G$2500,$K1234)))</f>
      </c>
      <c r="F1234" s="34">
        <f>IF(OR($D1234="",$K1234=""),"",SUMIF(Payments!$G$5:$G$2500,$K1234,Payments!$D$5:$D$2500))</f>
      </c>
      <c r="G1234" s="36">
        <f>IF($D1234="","",ROUND($D1234-IF($F1234="",0,$F1234),2))</f>
      </c>
      <c r="H1234" s="35">
        <f>IF(OR($D1234="",$K1234=""),"",COUNTIF(Payments!$G$5:$G$2500,$K1234))</f>
      </c>
      <c r="I1234" s="37">
        <f>IF($D1234="","",IF(OR($F1234="",$F1234=0),"Pending",IF(ROUND($F1234-$D1234,2)&gt;0,"Overpaid",IF(ROUND($F1234-$D1234,2)=0,"Paid","Partial"))))</f>
      </c>
      <c r="J1234" s="29"/>
      <c r="K1234">
        <f>IF($A1234="","","#"&amp;TRIM(SUBSTITUTE(SUBSTITUTE(SUBSTITUTE(SUBSTITUTE(SUBSTITUTE(SUBSTITUTE($A1234,"-",""),"(",""),")",""),".",""),"+","")," ","")))</f>
      </c>
    </row>
    <row r="1235" spans="1:11" x14ac:dyDescent="0.3">
      <c r="A1235" s="28"/>
      <c r="B1235" s="29"/>
      <c r="C1235" s="30"/>
      <c r="D1235" s="31"/>
      <c r="E1235" s="33">
        <f>IF(OR($D1235="",$K1235=""),"",IF(COUNTIFS(Payments!$G$5:$G$2500,$K1235,Payments!$C$5:$C$2500,"&lt;&gt;")=0,"",_xlfn.MAXIFS(Payments!$C$5:$C$2500,Payments!$G$5:$G$2500,$K1235)))</f>
      </c>
      <c r="F1235" s="34">
        <f>IF(OR($D1235="",$K1235=""),"",SUMIF(Payments!$G$5:$G$2500,$K1235,Payments!$D$5:$D$2500))</f>
      </c>
      <c r="G1235" s="36">
        <f>IF($D1235="","",ROUND($D1235-IF($F1235="",0,$F1235),2))</f>
      </c>
      <c r="H1235" s="35">
        <f>IF(OR($D1235="",$K1235=""),"",COUNTIF(Payments!$G$5:$G$2500,$K1235))</f>
      </c>
      <c r="I1235" s="37">
        <f>IF($D1235="","",IF(OR($F1235="",$F1235=0),"Pending",IF(ROUND($F1235-$D1235,2)&gt;0,"Overpaid",IF(ROUND($F1235-$D1235,2)=0,"Paid","Partial"))))</f>
      </c>
      <c r="J1235" s="29"/>
      <c r="K1235">
        <f>IF($A1235="","","#"&amp;TRIM(SUBSTITUTE(SUBSTITUTE(SUBSTITUTE(SUBSTITUTE(SUBSTITUTE(SUBSTITUTE($A1235,"-",""),"(",""),")",""),".",""),"+","")," ","")))</f>
      </c>
    </row>
    <row r="1236" spans="1:11" x14ac:dyDescent="0.3">
      <c r="A1236" s="28"/>
      <c r="B1236" s="29"/>
      <c r="C1236" s="30"/>
      <c r="D1236" s="31"/>
      <c r="E1236" s="33">
        <f>IF(OR($D1236="",$K1236=""),"",IF(COUNTIFS(Payments!$G$5:$G$2500,$K1236,Payments!$C$5:$C$2500,"&lt;&gt;")=0,"",_xlfn.MAXIFS(Payments!$C$5:$C$2500,Payments!$G$5:$G$2500,$K1236)))</f>
      </c>
      <c r="F1236" s="34">
        <f>IF(OR($D1236="",$K1236=""),"",SUMIF(Payments!$G$5:$G$2500,$K1236,Payments!$D$5:$D$2500))</f>
      </c>
      <c r="G1236" s="36">
        <f>IF($D1236="","",ROUND($D1236-IF($F1236="",0,$F1236),2))</f>
      </c>
      <c r="H1236" s="35">
        <f>IF(OR($D1236="",$K1236=""),"",COUNTIF(Payments!$G$5:$G$2500,$K1236))</f>
      </c>
      <c r="I1236" s="37">
        <f>IF($D1236="","",IF(OR($F1236="",$F1236=0),"Pending",IF(ROUND($F1236-$D1236,2)&gt;0,"Overpaid",IF(ROUND($F1236-$D1236,2)=0,"Paid","Partial"))))</f>
      </c>
      <c r="J1236" s="29"/>
      <c r="K1236">
        <f>IF($A1236="","","#"&amp;TRIM(SUBSTITUTE(SUBSTITUTE(SUBSTITUTE(SUBSTITUTE(SUBSTITUTE(SUBSTITUTE($A1236,"-",""),"(",""),")",""),".",""),"+","")," ","")))</f>
      </c>
    </row>
    <row r="1237" spans="1:11" x14ac:dyDescent="0.3">
      <c r="A1237" s="28"/>
      <c r="B1237" s="29"/>
      <c r="C1237" s="30"/>
      <c r="D1237" s="31"/>
      <c r="E1237" s="33">
        <f>IF(OR($D1237="",$K1237=""),"",IF(COUNTIFS(Payments!$G$5:$G$2500,$K1237,Payments!$C$5:$C$2500,"&lt;&gt;")=0,"",_xlfn.MAXIFS(Payments!$C$5:$C$2500,Payments!$G$5:$G$2500,$K1237)))</f>
      </c>
      <c r="F1237" s="34">
        <f>IF(OR($D1237="",$K1237=""),"",SUMIF(Payments!$G$5:$G$2500,$K1237,Payments!$D$5:$D$2500))</f>
      </c>
      <c r="G1237" s="36">
        <f>IF($D1237="","",ROUND($D1237-IF($F1237="",0,$F1237),2))</f>
      </c>
      <c r="H1237" s="35">
        <f>IF(OR($D1237="",$K1237=""),"",COUNTIF(Payments!$G$5:$G$2500,$K1237))</f>
      </c>
      <c r="I1237" s="37">
        <f>IF($D1237="","",IF(OR($F1237="",$F1237=0),"Pending",IF(ROUND($F1237-$D1237,2)&gt;0,"Overpaid",IF(ROUND($F1237-$D1237,2)=0,"Paid","Partial"))))</f>
      </c>
      <c r="J1237" s="29"/>
      <c r="K1237">
        <f>IF($A1237="","","#"&amp;TRIM(SUBSTITUTE(SUBSTITUTE(SUBSTITUTE(SUBSTITUTE(SUBSTITUTE(SUBSTITUTE($A1237,"-",""),"(",""),")",""),".",""),"+","")," ","")))</f>
      </c>
    </row>
    <row r="1238" spans="1:11" x14ac:dyDescent="0.3">
      <c r="A1238" s="28"/>
      <c r="B1238" s="29"/>
      <c r="C1238" s="30"/>
      <c r="D1238" s="31"/>
      <c r="E1238" s="33">
        <f>IF(OR($D1238="",$K1238=""),"",IF(COUNTIFS(Payments!$G$5:$G$2500,$K1238,Payments!$C$5:$C$2500,"&lt;&gt;")=0,"",_xlfn.MAXIFS(Payments!$C$5:$C$2500,Payments!$G$5:$G$2500,$K1238)))</f>
      </c>
      <c r="F1238" s="34">
        <f>IF(OR($D1238="",$K1238=""),"",SUMIF(Payments!$G$5:$G$2500,$K1238,Payments!$D$5:$D$2500))</f>
      </c>
      <c r="G1238" s="36">
        <f>IF($D1238="","",ROUND($D1238-IF($F1238="",0,$F1238),2))</f>
      </c>
      <c r="H1238" s="35">
        <f>IF(OR($D1238="",$K1238=""),"",COUNTIF(Payments!$G$5:$G$2500,$K1238))</f>
      </c>
      <c r="I1238" s="37">
        <f>IF($D1238="","",IF(OR($F1238="",$F1238=0),"Pending",IF(ROUND($F1238-$D1238,2)&gt;0,"Overpaid",IF(ROUND($F1238-$D1238,2)=0,"Paid","Partial"))))</f>
      </c>
      <c r="J1238" s="29"/>
      <c r="K1238">
        <f>IF($A1238="","","#"&amp;TRIM(SUBSTITUTE(SUBSTITUTE(SUBSTITUTE(SUBSTITUTE(SUBSTITUTE(SUBSTITUTE($A1238,"-",""),"(",""),")",""),".",""),"+","")," ","")))</f>
      </c>
    </row>
    <row r="1239" spans="1:11" x14ac:dyDescent="0.3">
      <c r="A1239" s="28"/>
      <c r="B1239" s="29"/>
      <c r="C1239" s="30"/>
      <c r="D1239" s="31"/>
      <c r="E1239" s="33">
        <f>IF(OR($D1239="",$K1239=""),"",IF(COUNTIFS(Payments!$G$5:$G$2500,$K1239,Payments!$C$5:$C$2500,"&lt;&gt;")=0,"",_xlfn.MAXIFS(Payments!$C$5:$C$2500,Payments!$G$5:$G$2500,$K1239)))</f>
      </c>
      <c r="F1239" s="34">
        <f>IF(OR($D1239="",$K1239=""),"",SUMIF(Payments!$G$5:$G$2500,$K1239,Payments!$D$5:$D$2500))</f>
      </c>
      <c r="G1239" s="36">
        <f>IF($D1239="","",ROUND($D1239-IF($F1239="",0,$F1239),2))</f>
      </c>
      <c r="H1239" s="35">
        <f>IF(OR($D1239="",$K1239=""),"",COUNTIF(Payments!$G$5:$G$2500,$K1239))</f>
      </c>
      <c r="I1239" s="37">
        <f>IF($D1239="","",IF(OR($F1239="",$F1239=0),"Pending",IF(ROUND($F1239-$D1239,2)&gt;0,"Overpaid",IF(ROUND($F1239-$D1239,2)=0,"Paid","Partial"))))</f>
      </c>
      <c r="J1239" s="29"/>
      <c r="K1239">
        <f>IF($A1239="","","#"&amp;TRIM(SUBSTITUTE(SUBSTITUTE(SUBSTITUTE(SUBSTITUTE(SUBSTITUTE(SUBSTITUTE($A1239,"-",""),"(",""),")",""),".",""),"+","")," ","")))</f>
      </c>
    </row>
    <row r="1240" spans="1:11" x14ac:dyDescent="0.3">
      <c r="A1240" s="28"/>
      <c r="B1240" s="29"/>
      <c r="C1240" s="30"/>
      <c r="D1240" s="31"/>
      <c r="E1240" s="33">
        <f>IF(OR($D1240="",$K1240=""),"",IF(COUNTIFS(Payments!$G$5:$G$2500,$K1240,Payments!$C$5:$C$2500,"&lt;&gt;")=0,"",_xlfn.MAXIFS(Payments!$C$5:$C$2500,Payments!$G$5:$G$2500,$K1240)))</f>
      </c>
      <c r="F1240" s="34">
        <f>IF(OR($D1240="",$K1240=""),"",SUMIF(Payments!$G$5:$G$2500,$K1240,Payments!$D$5:$D$2500))</f>
      </c>
      <c r="G1240" s="36">
        <f>IF($D1240="","",ROUND($D1240-IF($F1240="",0,$F1240),2))</f>
      </c>
      <c r="H1240" s="35">
        <f>IF(OR($D1240="",$K1240=""),"",COUNTIF(Payments!$G$5:$G$2500,$K1240))</f>
      </c>
      <c r="I1240" s="37">
        <f>IF($D1240="","",IF(OR($F1240="",$F1240=0),"Pending",IF(ROUND($F1240-$D1240,2)&gt;0,"Overpaid",IF(ROUND($F1240-$D1240,2)=0,"Paid","Partial"))))</f>
      </c>
      <c r="J1240" s="29"/>
      <c r="K1240">
        <f>IF($A1240="","","#"&amp;TRIM(SUBSTITUTE(SUBSTITUTE(SUBSTITUTE(SUBSTITUTE(SUBSTITUTE(SUBSTITUTE($A1240,"-",""),"(",""),")",""),".",""),"+","")," ","")))</f>
      </c>
    </row>
    <row r="1241" spans="1:11" x14ac:dyDescent="0.3">
      <c r="A1241" s="28"/>
      <c r="B1241" s="29"/>
      <c r="C1241" s="30"/>
      <c r="D1241" s="31"/>
      <c r="E1241" s="33">
        <f>IF(OR($D1241="",$K1241=""),"",IF(COUNTIFS(Payments!$G$5:$G$2500,$K1241,Payments!$C$5:$C$2500,"&lt;&gt;")=0,"",_xlfn.MAXIFS(Payments!$C$5:$C$2500,Payments!$G$5:$G$2500,$K1241)))</f>
      </c>
      <c r="F1241" s="34">
        <f>IF(OR($D1241="",$K1241=""),"",SUMIF(Payments!$G$5:$G$2500,$K1241,Payments!$D$5:$D$2500))</f>
      </c>
      <c r="G1241" s="36">
        <f>IF($D1241="","",ROUND($D1241-IF($F1241="",0,$F1241),2))</f>
      </c>
      <c r="H1241" s="35">
        <f>IF(OR($D1241="",$K1241=""),"",COUNTIF(Payments!$G$5:$G$2500,$K1241))</f>
      </c>
      <c r="I1241" s="37">
        <f>IF($D1241="","",IF(OR($F1241="",$F1241=0),"Pending",IF(ROUND($F1241-$D1241,2)&gt;0,"Overpaid",IF(ROUND($F1241-$D1241,2)=0,"Paid","Partial"))))</f>
      </c>
      <c r="J1241" s="29"/>
      <c r="K1241">
        <f>IF($A1241="","","#"&amp;TRIM(SUBSTITUTE(SUBSTITUTE(SUBSTITUTE(SUBSTITUTE(SUBSTITUTE(SUBSTITUTE($A1241,"-",""),"(",""),")",""),".",""),"+","")," ","")))</f>
      </c>
    </row>
    <row r="1242" spans="1:11" x14ac:dyDescent="0.3">
      <c r="A1242" s="28"/>
      <c r="B1242" s="29"/>
      <c r="C1242" s="30"/>
      <c r="D1242" s="31"/>
      <c r="E1242" s="33">
        <f>IF(OR($D1242="",$K1242=""),"",IF(COUNTIFS(Payments!$G$5:$G$2500,$K1242,Payments!$C$5:$C$2500,"&lt;&gt;")=0,"",_xlfn.MAXIFS(Payments!$C$5:$C$2500,Payments!$G$5:$G$2500,$K1242)))</f>
      </c>
      <c r="F1242" s="34">
        <f>IF(OR($D1242="",$K1242=""),"",SUMIF(Payments!$G$5:$G$2500,$K1242,Payments!$D$5:$D$2500))</f>
      </c>
      <c r="G1242" s="36">
        <f>IF($D1242="","",ROUND($D1242-IF($F1242="",0,$F1242),2))</f>
      </c>
      <c r="H1242" s="35">
        <f>IF(OR($D1242="",$K1242=""),"",COUNTIF(Payments!$G$5:$G$2500,$K1242))</f>
      </c>
      <c r="I1242" s="37">
        <f>IF($D1242="","",IF(OR($F1242="",$F1242=0),"Pending",IF(ROUND($F1242-$D1242,2)&gt;0,"Overpaid",IF(ROUND($F1242-$D1242,2)=0,"Paid","Partial"))))</f>
      </c>
      <c r="J1242" s="29"/>
      <c r="K1242">
        <f>IF($A1242="","","#"&amp;TRIM(SUBSTITUTE(SUBSTITUTE(SUBSTITUTE(SUBSTITUTE(SUBSTITUTE(SUBSTITUTE($A1242,"-",""),"(",""),")",""),".",""),"+","")," ","")))</f>
      </c>
    </row>
    <row r="1243" spans="1:11" x14ac:dyDescent="0.3">
      <c r="A1243" s="28"/>
      <c r="B1243" s="29"/>
      <c r="C1243" s="30"/>
      <c r="D1243" s="31"/>
      <c r="E1243" s="33">
        <f>IF(OR($D1243="",$K1243=""),"",IF(COUNTIFS(Payments!$G$5:$G$2500,$K1243,Payments!$C$5:$C$2500,"&lt;&gt;")=0,"",_xlfn.MAXIFS(Payments!$C$5:$C$2500,Payments!$G$5:$G$2500,$K1243)))</f>
      </c>
      <c r="F1243" s="34">
        <f>IF(OR($D1243="",$K1243=""),"",SUMIF(Payments!$G$5:$G$2500,$K1243,Payments!$D$5:$D$2500))</f>
      </c>
      <c r="G1243" s="36">
        <f>IF($D1243="","",ROUND($D1243-IF($F1243="",0,$F1243),2))</f>
      </c>
      <c r="H1243" s="35">
        <f>IF(OR($D1243="",$K1243=""),"",COUNTIF(Payments!$G$5:$G$2500,$K1243))</f>
      </c>
      <c r="I1243" s="37">
        <f>IF($D1243="","",IF(OR($F1243="",$F1243=0),"Pending",IF(ROUND($F1243-$D1243,2)&gt;0,"Overpaid",IF(ROUND($F1243-$D1243,2)=0,"Paid","Partial"))))</f>
      </c>
      <c r="J1243" s="29"/>
      <c r="K1243">
        <f>IF($A1243="","","#"&amp;TRIM(SUBSTITUTE(SUBSTITUTE(SUBSTITUTE(SUBSTITUTE(SUBSTITUTE(SUBSTITUTE($A1243,"-",""),"(",""),")",""),".",""),"+","")," ","")))</f>
      </c>
    </row>
    <row r="1244" spans="1:11" x14ac:dyDescent="0.3">
      <c r="A1244" s="28"/>
      <c r="B1244" s="29"/>
      <c r="C1244" s="30"/>
      <c r="D1244" s="31"/>
      <c r="E1244" s="33">
        <f>IF(OR($D1244="",$K1244=""),"",IF(COUNTIFS(Payments!$G$5:$G$2500,$K1244,Payments!$C$5:$C$2500,"&lt;&gt;")=0,"",_xlfn.MAXIFS(Payments!$C$5:$C$2500,Payments!$G$5:$G$2500,$K1244)))</f>
      </c>
      <c r="F1244" s="34">
        <f>IF(OR($D1244="",$K1244=""),"",SUMIF(Payments!$G$5:$G$2500,$K1244,Payments!$D$5:$D$2500))</f>
      </c>
      <c r="G1244" s="36">
        <f>IF($D1244="","",ROUND($D1244-IF($F1244="",0,$F1244),2))</f>
      </c>
      <c r="H1244" s="35">
        <f>IF(OR($D1244="",$K1244=""),"",COUNTIF(Payments!$G$5:$G$2500,$K1244))</f>
      </c>
      <c r="I1244" s="37">
        <f>IF($D1244="","",IF(OR($F1244="",$F1244=0),"Pending",IF(ROUND($F1244-$D1244,2)&gt;0,"Overpaid",IF(ROUND($F1244-$D1244,2)=0,"Paid","Partial"))))</f>
      </c>
      <c r="J1244" s="29"/>
      <c r="K1244">
        <f>IF($A1244="","","#"&amp;TRIM(SUBSTITUTE(SUBSTITUTE(SUBSTITUTE(SUBSTITUTE(SUBSTITUTE(SUBSTITUTE($A1244,"-",""),"(",""),")",""),".",""),"+","")," ","")))</f>
      </c>
    </row>
    <row r="1245" spans="1:11" x14ac:dyDescent="0.3">
      <c r="A1245" s="28"/>
      <c r="B1245" s="29"/>
      <c r="C1245" s="30"/>
      <c r="D1245" s="31"/>
      <c r="E1245" s="33">
        <f>IF(OR($D1245="",$K1245=""),"",IF(COUNTIFS(Payments!$G$5:$G$2500,$K1245,Payments!$C$5:$C$2500,"&lt;&gt;")=0,"",_xlfn.MAXIFS(Payments!$C$5:$C$2500,Payments!$G$5:$G$2500,$K1245)))</f>
      </c>
      <c r="F1245" s="34">
        <f>IF(OR($D1245="",$K1245=""),"",SUMIF(Payments!$G$5:$G$2500,$K1245,Payments!$D$5:$D$2500))</f>
      </c>
      <c r="G1245" s="36">
        <f>IF($D1245="","",ROUND($D1245-IF($F1245="",0,$F1245),2))</f>
      </c>
      <c r="H1245" s="35">
        <f>IF(OR($D1245="",$K1245=""),"",COUNTIF(Payments!$G$5:$G$2500,$K1245))</f>
      </c>
      <c r="I1245" s="37">
        <f>IF($D1245="","",IF(OR($F1245="",$F1245=0),"Pending",IF(ROUND($F1245-$D1245,2)&gt;0,"Overpaid",IF(ROUND($F1245-$D1245,2)=0,"Paid","Partial"))))</f>
      </c>
      <c r="J1245" s="29"/>
      <c r="K1245">
        <f>IF($A1245="","","#"&amp;TRIM(SUBSTITUTE(SUBSTITUTE(SUBSTITUTE(SUBSTITUTE(SUBSTITUTE(SUBSTITUTE($A1245,"-",""),"(",""),")",""),".",""),"+","")," ","")))</f>
      </c>
    </row>
    <row r="1246" spans="1:11" x14ac:dyDescent="0.3">
      <c r="A1246" s="28"/>
      <c r="B1246" s="29"/>
      <c r="C1246" s="30"/>
      <c r="D1246" s="31"/>
      <c r="E1246" s="33">
        <f>IF(OR($D1246="",$K1246=""),"",IF(COUNTIFS(Payments!$G$5:$G$2500,$K1246,Payments!$C$5:$C$2500,"&lt;&gt;")=0,"",_xlfn.MAXIFS(Payments!$C$5:$C$2500,Payments!$G$5:$G$2500,$K1246)))</f>
      </c>
      <c r="F1246" s="34">
        <f>IF(OR($D1246="",$K1246=""),"",SUMIF(Payments!$G$5:$G$2500,$K1246,Payments!$D$5:$D$2500))</f>
      </c>
      <c r="G1246" s="36">
        <f>IF($D1246="","",ROUND($D1246-IF($F1246="",0,$F1246),2))</f>
      </c>
      <c r="H1246" s="35">
        <f>IF(OR($D1246="",$K1246=""),"",COUNTIF(Payments!$G$5:$G$2500,$K1246))</f>
      </c>
      <c r="I1246" s="37">
        <f>IF($D1246="","",IF(OR($F1246="",$F1246=0),"Pending",IF(ROUND($F1246-$D1246,2)&gt;0,"Overpaid",IF(ROUND($F1246-$D1246,2)=0,"Paid","Partial"))))</f>
      </c>
      <c r="J1246" s="29"/>
      <c r="K1246">
        <f>IF($A1246="","","#"&amp;TRIM(SUBSTITUTE(SUBSTITUTE(SUBSTITUTE(SUBSTITUTE(SUBSTITUTE(SUBSTITUTE($A1246,"-",""),"(",""),")",""),".",""),"+","")," ","")))</f>
      </c>
    </row>
    <row r="1247" spans="1:11" x14ac:dyDescent="0.3">
      <c r="A1247" s="28"/>
      <c r="B1247" s="29"/>
      <c r="C1247" s="30"/>
      <c r="D1247" s="31"/>
      <c r="E1247" s="33">
        <f>IF(OR($D1247="",$K1247=""),"",IF(COUNTIFS(Payments!$G$5:$G$2500,$K1247,Payments!$C$5:$C$2500,"&lt;&gt;")=0,"",_xlfn.MAXIFS(Payments!$C$5:$C$2500,Payments!$G$5:$G$2500,$K1247)))</f>
      </c>
      <c r="F1247" s="34">
        <f>IF(OR($D1247="",$K1247=""),"",SUMIF(Payments!$G$5:$G$2500,$K1247,Payments!$D$5:$D$2500))</f>
      </c>
      <c r="G1247" s="36">
        <f>IF($D1247="","",ROUND($D1247-IF($F1247="",0,$F1247),2))</f>
      </c>
      <c r="H1247" s="35">
        <f>IF(OR($D1247="",$K1247=""),"",COUNTIF(Payments!$G$5:$G$2500,$K1247))</f>
      </c>
      <c r="I1247" s="37">
        <f>IF($D1247="","",IF(OR($F1247="",$F1247=0),"Pending",IF(ROUND($F1247-$D1247,2)&gt;0,"Overpaid",IF(ROUND($F1247-$D1247,2)=0,"Paid","Partial"))))</f>
      </c>
      <c r="J1247" s="29"/>
      <c r="K1247">
        <f>IF($A1247="","","#"&amp;TRIM(SUBSTITUTE(SUBSTITUTE(SUBSTITUTE(SUBSTITUTE(SUBSTITUTE(SUBSTITUTE($A1247,"-",""),"(",""),")",""),".",""),"+","")," ","")))</f>
      </c>
    </row>
    <row r="1248" spans="1:11" x14ac:dyDescent="0.3">
      <c r="A1248" s="28"/>
      <c r="B1248" s="29"/>
      <c r="C1248" s="30"/>
      <c r="D1248" s="31"/>
      <c r="E1248" s="33">
        <f>IF(OR($D1248="",$K1248=""),"",IF(COUNTIFS(Payments!$G$5:$G$2500,$K1248,Payments!$C$5:$C$2500,"&lt;&gt;")=0,"",_xlfn.MAXIFS(Payments!$C$5:$C$2500,Payments!$G$5:$G$2500,$K1248)))</f>
      </c>
      <c r="F1248" s="34">
        <f>IF(OR($D1248="",$K1248=""),"",SUMIF(Payments!$G$5:$G$2500,$K1248,Payments!$D$5:$D$2500))</f>
      </c>
      <c r="G1248" s="36">
        <f>IF($D1248="","",ROUND($D1248-IF($F1248="",0,$F1248),2))</f>
      </c>
      <c r="H1248" s="35">
        <f>IF(OR($D1248="",$K1248=""),"",COUNTIF(Payments!$G$5:$G$2500,$K1248))</f>
      </c>
      <c r="I1248" s="37">
        <f>IF($D1248="","",IF(OR($F1248="",$F1248=0),"Pending",IF(ROUND($F1248-$D1248,2)&gt;0,"Overpaid",IF(ROUND($F1248-$D1248,2)=0,"Paid","Partial"))))</f>
      </c>
      <c r="J1248" s="29"/>
      <c r="K1248">
        <f>IF($A1248="","","#"&amp;TRIM(SUBSTITUTE(SUBSTITUTE(SUBSTITUTE(SUBSTITUTE(SUBSTITUTE(SUBSTITUTE($A1248,"-",""),"(",""),")",""),".",""),"+","")," ","")))</f>
      </c>
    </row>
    <row r="1249" spans="1:11" x14ac:dyDescent="0.3">
      <c r="A1249" s="28"/>
      <c r="B1249" s="29"/>
      <c r="C1249" s="30"/>
      <c r="D1249" s="31"/>
      <c r="E1249" s="33">
        <f>IF(OR($D1249="",$K1249=""),"",IF(COUNTIFS(Payments!$G$5:$G$2500,$K1249,Payments!$C$5:$C$2500,"&lt;&gt;")=0,"",_xlfn.MAXIFS(Payments!$C$5:$C$2500,Payments!$G$5:$G$2500,$K1249)))</f>
      </c>
      <c r="F1249" s="34">
        <f>IF(OR($D1249="",$K1249=""),"",SUMIF(Payments!$G$5:$G$2500,$K1249,Payments!$D$5:$D$2500))</f>
      </c>
      <c r="G1249" s="36">
        <f>IF($D1249="","",ROUND($D1249-IF($F1249="",0,$F1249),2))</f>
      </c>
      <c r="H1249" s="35">
        <f>IF(OR($D1249="",$K1249=""),"",COUNTIF(Payments!$G$5:$G$2500,$K1249))</f>
      </c>
      <c r="I1249" s="37">
        <f>IF($D1249="","",IF(OR($F1249="",$F1249=0),"Pending",IF(ROUND($F1249-$D1249,2)&gt;0,"Overpaid",IF(ROUND($F1249-$D1249,2)=0,"Paid","Partial"))))</f>
      </c>
      <c r="J1249" s="29"/>
      <c r="K1249">
        <f>IF($A1249="","","#"&amp;TRIM(SUBSTITUTE(SUBSTITUTE(SUBSTITUTE(SUBSTITUTE(SUBSTITUTE(SUBSTITUTE($A1249,"-",""),"(",""),")",""),".",""),"+","")," ","")))</f>
      </c>
    </row>
    <row r="1250" spans="1:11" x14ac:dyDescent="0.3">
      <c r="A1250" s="28"/>
      <c r="B1250" s="29"/>
      <c r="C1250" s="30"/>
      <c r="D1250" s="31"/>
      <c r="E1250" s="33">
        <f>IF(OR($D1250="",$K1250=""),"",IF(COUNTIFS(Payments!$G$5:$G$2500,$K1250,Payments!$C$5:$C$2500,"&lt;&gt;")=0,"",_xlfn.MAXIFS(Payments!$C$5:$C$2500,Payments!$G$5:$G$2500,$K1250)))</f>
      </c>
      <c r="F1250" s="34">
        <f>IF(OR($D1250="",$K1250=""),"",SUMIF(Payments!$G$5:$G$2500,$K1250,Payments!$D$5:$D$2500))</f>
      </c>
      <c r="G1250" s="36">
        <f>IF($D1250="","",ROUND($D1250-IF($F1250="",0,$F1250),2))</f>
      </c>
      <c r="H1250" s="35">
        <f>IF(OR($D1250="",$K1250=""),"",COUNTIF(Payments!$G$5:$G$2500,$K1250))</f>
      </c>
      <c r="I1250" s="37">
        <f>IF($D1250="","",IF(OR($F1250="",$F1250=0),"Pending",IF(ROUND($F1250-$D1250,2)&gt;0,"Overpaid",IF(ROUND($F1250-$D1250,2)=0,"Paid","Partial"))))</f>
      </c>
      <c r="J1250" s="29"/>
      <c r="K1250">
        <f>IF($A1250="","","#"&amp;TRIM(SUBSTITUTE(SUBSTITUTE(SUBSTITUTE(SUBSTITUTE(SUBSTITUTE(SUBSTITUTE($A1250,"-",""),"(",""),")",""),".",""),"+","")," ","")))</f>
      </c>
    </row>
    <row r="1251" spans="1:11" x14ac:dyDescent="0.3">
      <c r="A1251" s="28"/>
      <c r="B1251" s="29"/>
      <c r="C1251" s="30"/>
      <c r="D1251" s="31"/>
      <c r="E1251" s="33">
        <f>IF(OR($D1251="",$K1251=""),"",IF(COUNTIFS(Payments!$G$5:$G$2500,$K1251,Payments!$C$5:$C$2500,"&lt;&gt;")=0,"",_xlfn.MAXIFS(Payments!$C$5:$C$2500,Payments!$G$5:$G$2500,$K1251)))</f>
      </c>
      <c r="F1251" s="34">
        <f>IF(OR($D1251="",$K1251=""),"",SUMIF(Payments!$G$5:$G$2500,$K1251,Payments!$D$5:$D$2500))</f>
      </c>
      <c r="G1251" s="36">
        <f>IF($D1251="","",ROUND($D1251-IF($F1251="",0,$F1251),2))</f>
      </c>
      <c r="H1251" s="35">
        <f>IF(OR($D1251="",$K1251=""),"",COUNTIF(Payments!$G$5:$G$2500,$K1251))</f>
      </c>
      <c r="I1251" s="37">
        <f>IF($D1251="","",IF(OR($F1251="",$F1251=0),"Pending",IF(ROUND($F1251-$D1251,2)&gt;0,"Overpaid",IF(ROUND($F1251-$D1251,2)=0,"Paid","Partial"))))</f>
      </c>
      <c r="J1251" s="29"/>
      <c r="K1251">
        <f>IF($A1251="","","#"&amp;TRIM(SUBSTITUTE(SUBSTITUTE(SUBSTITUTE(SUBSTITUTE(SUBSTITUTE(SUBSTITUTE($A1251,"-",""),"(",""),")",""),".",""),"+","")," ","")))</f>
      </c>
    </row>
    <row r="1252" spans="1:11" x14ac:dyDescent="0.3">
      <c r="A1252" s="28"/>
      <c r="B1252" s="29"/>
      <c r="C1252" s="30"/>
      <c r="D1252" s="31"/>
      <c r="E1252" s="33">
        <f>IF(OR($D1252="",$K1252=""),"",IF(COUNTIFS(Payments!$G$5:$G$2500,$K1252,Payments!$C$5:$C$2500,"&lt;&gt;")=0,"",_xlfn.MAXIFS(Payments!$C$5:$C$2500,Payments!$G$5:$G$2500,$K1252)))</f>
      </c>
      <c r="F1252" s="34">
        <f>IF(OR($D1252="",$K1252=""),"",SUMIF(Payments!$G$5:$G$2500,$K1252,Payments!$D$5:$D$2500))</f>
      </c>
      <c r="G1252" s="36">
        <f>IF($D1252="","",ROUND($D1252-IF($F1252="",0,$F1252),2))</f>
      </c>
      <c r="H1252" s="35">
        <f>IF(OR($D1252="",$K1252=""),"",COUNTIF(Payments!$G$5:$G$2500,$K1252))</f>
      </c>
      <c r="I1252" s="37">
        <f>IF($D1252="","",IF(OR($F1252="",$F1252=0),"Pending",IF(ROUND($F1252-$D1252,2)&gt;0,"Overpaid",IF(ROUND($F1252-$D1252,2)=0,"Paid","Partial"))))</f>
      </c>
      <c r="J1252" s="29"/>
      <c r="K1252">
        <f>IF($A1252="","","#"&amp;TRIM(SUBSTITUTE(SUBSTITUTE(SUBSTITUTE(SUBSTITUTE(SUBSTITUTE(SUBSTITUTE($A1252,"-",""),"(",""),")",""),".",""),"+","")," ","")))</f>
      </c>
    </row>
    <row r="1253" spans="1:11" x14ac:dyDescent="0.3">
      <c r="A1253" s="28"/>
      <c r="B1253" s="29"/>
      <c r="C1253" s="30"/>
      <c r="D1253" s="31"/>
      <c r="E1253" s="33">
        <f>IF(OR($D1253="",$K1253=""),"",IF(COUNTIFS(Payments!$G$5:$G$2500,$K1253,Payments!$C$5:$C$2500,"&lt;&gt;")=0,"",_xlfn.MAXIFS(Payments!$C$5:$C$2500,Payments!$G$5:$G$2500,$K1253)))</f>
      </c>
      <c r="F1253" s="34">
        <f>IF(OR($D1253="",$K1253=""),"",SUMIF(Payments!$G$5:$G$2500,$K1253,Payments!$D$5:$D$2500))</f>
      </c>
      <c r="G1253" s="36">
        <f>IF($D1253="","",ROUND($D1253-IF($F1253="",0,$F1253),2))</f>
      </c>
      <c r="H1253" s="35">
        <f>IF(OR($D1253="",$K1253=""),"",COUNTIF(Payments!$G$5:$G$2500,$K1253))</f>
      </c>
      <c r="I1253" s="37">
        <f>IF($D1253="","",IF(OR($F1253="",$F1253=0),"Pending",IF(ROUND($F1253-$D1253,2)&gt;0,"Overpaid",IF(ROUND($F1253-$D1253,2)=0,"Paid","Partial"))))</f>
      </c>
      <c r="J1253" s="29"/>
      <c r="K1253">
        <f>IF($A1253="","","#"&amp;TRIM(SUBSTITUTE(SUBSTITUTE(SUBSTITUTE(SUBSTITUTE(SUBSTITUTE(SUBSTITUTE($A1253,"-",""),"(",""),")",""),".",""),"+","")," ","")))</f>
      </c>
    </row>
    <row r="1254" spans="1:11" x14ac:dyDescent="0.3">
      <c r="A1254" s="28"/>
      <c r="B1254" s="29"/>
      <c r="C1254" s="30"/>
      <c r="D1254" s="31"/>
      <c r="E1254" s="33">
        <f>IF(OR($D1254="",$K1254=""),"",IF(COUNTIFS(Payments!$G$5:$G$2500,$K1254,Payments!$C$5:$C$2500,"&lt;&gt;")=0,"",_xlfn.MAXIFS(Payments!$C$5:$C$2500,Payments!$G$5:$G$2500,$K1254)))</f>
      </c>
      <c r="F1254" s="34">
        <f>IF(OR($D1254="",$K1254=""),"",SUMIF(Payments!$G$5:$G$2500,$K1254,Payments!$D$5:$D$2500))</f>
      </c>
      <c r="G1254" s="36">
        <f>IF($D1254="","",ROUND($D1254-IF($F1254="",0,$F1254),2))</f>
      </c>
      <c r="H1254" s="35">
        <f>IF(OR($D1254="",$K1254=""),"",COUNTIF(Payments!$G$5:$G$2500,$K1254))</f>
      </c>
      <c r="I1254" s="37">
        <f>IF($D1254="","",IF(OR($F1254="",$F1254=0),"Pending",IF(ROUND($F1254-$D1254,2)&gt;0,"Overpaid",IF(ROUND($F1254-$D1254,2)=0,"Paid","Partial"))))</f>
      </c>
      <c r="J1254" s="29"/>
      <c r="K1254">
        <f>IF($A1254="","","#"&amp;TRIM(SUBSTITUTE(SUBSTITUTE(SUBSTITUTE(SUBSTITUTE(SUBSTITUTE(SUBSTITUTE($A1254,"-",""),"(",""),")",""),".",""),"+","")," ","")))</f>
      </c>
    </row>
    <row r="1255" spans="1:11" x14ac:dyDescent="0.3">
      <c r="A1255" s="28"/>
      <c r="B1255" s="29"/>
      <c r="C1255" s="30"/>
      <c r="D1255" s="31"/>
      <c r="E1255" s="33">
        <f>IF(OR($D1255="",$K1255=""),"",IF(COUNTIFS(Payments!$G$5:$G$2500,$K1255,Payments!$C$5:$C$2500,"&lt;&gt;")=0,"",_xlfn.MAXIFS(Payments!$C$5:$C$2500,Payments!$G$5:$G$2500,$K1255)))</f>
      </c>
      <c r="F1255" s="34">
        <f>IF(OR($D1255="",$K1255=""),"",SUMIF(Payments!$G$5:$G$2500,$K1255,Payments!$D$5:$D$2500))</f>
      </c>
      <c r="G1255" s="36">
        <f>IF($D1255="","",ROUND($D1255-IF($F1255="",0,$F1255),2))</f>
      </c>
      <c r="H1255" s="35">
        <f>IF(OR($D1255="",$K1255=""),"",COUNTIF(Payments!$G$5:$G$2500,$K1255))</f>
      </c>
      <c r="I1255" s="37">
        <f>IF($D1255="","",IF(OR($F1255="",$F1255=0),"Pending",IF(ROUND($F1255-$D1255,2)&gt;0,"Overpaid",IF(ROUND($F1255-$D1255,2)=0,"Paid","Partial"))))</f>
      </c>
      <c r="J1255" s="29"/>
      <c r="K1255">
        <f>IF($A1255="","","#"&amp;TRIM(SUBSTITUTE(SUBSTITUTE(SUBSTITUTE(SUBSTITUTE(SUBSTITUTE(SUBSTITUTE($A1255,"-",""),"(",""),")",""),".",""),"+","")," ","")))</f>
      </c>
    </row>
    <row r="1256" spans="1:11" x14ac:dyDescent="0.3">
      <c r="A1256" s="28"/>
      <c r="B1256" s="29"/>
      <c r="C1256" s="30"/>
      <c r="D1256" s="31"/>
      <c r="E1256" s="33">
        <f>IF(OR($D1256="",$K1256=""),"",IF(COUNTIFS(Payments!$G$5:$G$2500,$K1256,Payments!$C$5:$C$2500,"&lt;&gt;")=0,"",_xlfn.MAXIFS(Payments!$C$5:$C$2500,Payments!$G$5:$G$2500,$K1256)))</f>
      </c>
      <c r="F1256" s="34">
        <f>IF(OR($D1256="",$K1256=""),"",SUMIF(Payments!$G$5:$G$2500,$K1256,Payments!$D$5:$D$2500))</f>
      </c>
      <c r="G1256" s="36">
        <f>IF($D1256="","",ROUND($D1256-IF($F1256="",0,$F1256),2))</f>
      </c>
      <c r="H1256" s="35">
        <f>IF(OR($D1256="",$K1256=""),"",COUNTIF(Payments!$G$5:$G$2500,$K1256))</f>
      </c>
      <c r="I1256" s="37">
        <f>IF($D1256="","",IF(OR($F1256="",$F1256=0),"Pending",IF(ROUND($F1256-$D1256,2)&gt;0,"Overpaid",IF(ROUND($F1256-$D1256,2)=0,"Paid","Partial"))))</f>
      </c>
      <c r="J1256" s="29"/>
      <c r="K1256">
        <f>IF($A1256="","","#"&amp;TRIM(SUBSTITUTE(SUBSTITUTE(SUBSTITUTE(SUBSTITUTE(SUBSTITUTE(SUBSTITUTE($A1256,"-",""),"(",""),")",""),".",""),"+","")," ","")))</f>
      </c>
    </row>
    <row r="1257" spans="1:11" x14ac:dyDescent="0.3">
      <c r="A1257" s="28"/>
      <c r="B1257" s="29"/>
      <c r="C1257" s="30"/>
      <c r="D1257" s="31"/>
      <c r="E1257" s="33">
        <f>IF(OR($D1257="",$K1257=""),"",IF(COUNTIFS(Payments!$G$5:$G$2500,$K1257,Payments!$C$5:$C$2500,"&lt;&gt;")=0,"",_xlfn.MAXIFS(Payments!$C$5:$C$2500,Payments!$G$5:$G$2500,$K1257)))</f>
      </c>
      <c r="F1257" s="34">
        <f>IF(OR($D1257="",$K1257=""),"",SUMIF(Payments!$G$5:$G$2500,$K1257,Payments!$D$5:$D$2500))</f>
      </c>
      <c r="G1257" s="36">
        <f>IF($D1257="","",ROUND($D1257-IF($F1257="",0,$F1257),2))</f>
      </c>
      <c r="H1257" s="35">
        <f>IF(OR($D1257="",$K1257=""),"",COUNTIF(Payments!$G$5:$G$2500,$K1257))</f>
      </c>
      <c r="I1257" s="37">
        <f>IF($D1257="","",IF(OR($F1257="",$F1257=0),"Pending",IF(ROUND($F1257-$D1257,2)&gt;0,"Overpaid",IF(ROUND($F1257-$D1257,2)=0,"Paid","Partial"))))</f>
      </c>
      <c r="J1257" s="29"/>
      <c r="K1257">
        <f>IF($A1257="","","#"&amp;TRIM(SUBSTITUTE(SUBSTITUTE(SUBSTITUTE(SUBSTITUTE(SUBSTITUTE(SUBSTITUTE($A1257,"-",""),"(",""),")",""),".",""),"+","")," ","")))</f>
      </c>
    </row>
    <row r="1258" spans="1:11" x14ac:dyDescent="0.3">
      <c r="A1258" s="28"/>
      <c r="B1258" s="29"/>
      <c r="C1258" s="30"/>
      <c r="D1258" s="31"/>
      <c r="E1258" s="33">
        <f>IF(OR($D1258="",$K1258=""),"",IF(COUNTIFS(Payments!$G$5:$G$2500,$K1258,Payments!$C$5:$C$2500,"&lt;&gt;")=0,"",_xlfn.MAXIFS(Payments!$C$5:$C$2500,Payments!$G$5:$G$2500,$K1258)))</f>
      </c>
      <c r="F1258" s="34">
        <f>IF(OR($D1258="",$K1258=""),"",SUMIF(Payments!$G$5:$G$2500,$K1258,Payments!$D$5:$D$2500))</f>
      </c>
      <c r="G1258" s="36">
        <f>IF($D1258="","",ROUND($D1258-IF($F1258="",0,$F1258),2))</f>
      </c>
      <c r="H1258" s="35">
        <f>IF(OR($D1258="",$K1258=""),"",COUNTIF(Payments!$G$5:$G$2500,$K1258))</f>
      </c>
      <c r="I1258" s="37">
        <f>IF($D1258="","",IF(OR($F1258="",$F1258=0),"Pending",IF(ROUND($F1258-$D1258,2)&gt;0,"Overpaid",IF(ROUND($F1258-$D1258,2)=0,"Paid","Partial"))))</f>
      </c>
      <c r="J1258" s="29"/>
      <c r="K1258">
        <f>IF($A1258="","","#"&amp;TRIM(SUBSTITUTE(SUBSTITUTE(SUBSTITUTE(SUBSTITUTE(SUBSTITUTE(SUBSTITUTE($A1258,"-",""),"(",""),")",""),".",""),"+","")," ","")))</f>
      </c>
    </row>
    <row r="1259" spans="1:11" x14ac:dyDescent="0.3">
      <c r="A1259" s="28"/>
      <c r="B1259" s="29"/>
      <c r="C1259" s="30"/>
      <c r="D1259" s="31"/>
      <c r="E1259" s="33">
        <f>IF(OR($D1259="",$K1259=""),"",IF(COUNTIFS(Payments!$G$5:$G$2500,$K1259,Payments!$C$5:$C$2500,"&lt;&gt;")=0,"",_xlfn.MAXIFS(Payments!$C$5:$C$2500,Payments!$G$5:$G$2500,$K1259)))</f>
      </c>
      <c r="F1259" s="34">
        <f>IF(OR($D1259="",$K1259=""),"",SUMIF(Payments!$G$5:$G$2500,$K1259,Payments!$D$5:$D$2500))</f>
      </c>
      <c r="G1259" s="36">
        <f>IF($D1259="","",ROUND($D1259-IF($F1259="",0,$F1259),2))</f>
      </c>
      <c r="H1259" s="35">
        <f>IF(OR($D1259="",$K1259=""),"",COUNTIF(Payments!$G$5:$G$2500,$K1259))</f>
      </c>
      <c r="I1259" s="37">
        <f>IF($D1259="","",IF(OR($F1259="",$F1259=0),"Pending",IF(ROUND($F1259-$D1259,2)&gt;0,"Overpaid",IF(ROUND($F1259-$D1259,2)=0,"Paid","Partial"))))</f>
      </c>
      <c r="J1259" s="29"/>
      <c r="K1259">
        <f>IF($A1259="","","#"&amp;TRIM(SUBSTITUTE(SUBSTITUTE(SUBSTITUTE(SUBSTITUTE(SUBSTITUTE(SUBSTITUTE($A1259,"-",""),"(",""),")",""),".",""),"+","")," ","")))</f>
      </c>
    </row>
    <row r="1260" spans="1:11" x14ac:dyDescent="0.3">
      <c r="A1260" s="28"/>
      <c r="B1260" s="29"/>
      <c r="C1260" s="30"/>
      <c r="D1260" s="31"/>
      <c r="E1260" s="33">
        <f>IF(OR($D1260="",$K1260=""),"",IF(COUNTIFS(Payments!$G$5:$G$2500,$K1260,Payments!$C$5:$C$2500,"&lt;&gt;")=0,"",_xlfn.MAXIFS(Payments!$C$5:$C$2500,Payments!$G$5:$G$2500,$K1260)))</f>
      </c>
      <c r="F1260" s="34">
        <f>IF(OR($D1260="",$K1260=""),"",SUMIF(Payments!$G$5:$G$2500,$K1260,Payments!$D$5:$D$2500))</f>
      </c>
      <c r="G1260" s="36">
        <f>IF($D1260="","",ROUND($D1260-IF($F1260="",0,$F1260),2))</f>
      </c>
      <c r="H1260" s="35">
        <f>IF(OR($D1260="",$K1260=""),"",COUNTIF(Payments!$G$5:$G$2500,$K1260))</f>
      </c>
      <c r="I1260" s="37">
        <f>IF($D1260="","",IF(OR($F1260="",$F1260=0),"Pending",IF(ROUND($F1260-$D1260,2)&gt;0,"Overpaid",IF(ROUND($F1260-$D1260,2)=0,"Paid","Partial"))))</f>
      </c>
      <c r="J1260" s="29"/>
      <c r="K1260">
        <f>IF($A1260="","","#"&amp;TRIM(SUBSTITUTE(SUBSTITUTE(SUBSTITUTE(SUBSTITUTE(SUBSTITUTE(SUBSTITUTE($A1260,"-",""),"(",""),")",""),".",""),"+","")," ","")))</f>
      </c>
    </row>
    <row r="1261" spans="1:11" x14ac:dyDescent="0.3">
      <c r="A1261" s="28"/>
      <c r="B1261" s="29"/>
      <c r="C1261" s="30"/>
      <c r="D1261" s="31"/>
      <c r="E1261" s="33">
        <f>IF(OR($D1261="",$K1261=""),"",IF(COUNTIFS(Payments!$G$5:$G$2500,$K1261,Payments!$C$5:$C$2500,"&lt;&gt;")=0,"",_xlfn.MAXIFS(Payments!$C$5:$C$2500,Payments!$G$5:$G$2500,$K1261)))</f>
      </c>
      <c r="F1261" s="34">
        <f>IF(OR($D1261="",$K1261=""),"",SUMIF(Payments!$G$5:$G$2500,$K1261,Payments!$D$5:$D$2500))</f>
      </c>
      <c r="G1261" s="36">
        <f>IF($D1261="","",ROUND($D1261-IF($F1261="",0,$F1261),2))</f>
      </c>
      <c r="H1261" s="35">
        <f>IF(OR($D1261="",$K1261=""),"",COUNTIF(Payments!$G$5:$G$2500,$K1261))</f>
      </c>
      <c r="I1261" s="37">
        <f>IF($D1261="","",IF(OR($F1261="",$F1261=0),"Pending",IF(ROUND($F1261-$D1261,2)&gt;0,"Overpaid",IF(ROUND($F1261-$D1261,2)=0,"Paid","Partial"))))</f>
      </c>
      <c r="J1261" s="29"/>
      <c r="K1261">
        <f>IF($A1261="","","#"&amp;TRIM(SUBSTITUTE(SUBSTITUTE(SUBSTITUTE(SUBSTITUTE(SUBSTITUTE(SUBSTITUTE($A1261,"-",""),"(",""),")",""),".",""),"+","")," ","")))</f>
      </c>
    </row>
    <row r="1262" spans="1:11" x14ac:dyDescent="0.3">
      <c r="A1262" s="28"/>
      <c r="B1262" s="29"/>
      <c r="C1262" s="30"/>
      <c r="D1262" s="31"/>
      <c r="E1262" s="33">
        <f>IF(OR($D1262="",$K1262=""),"",IF(COUNTIFS(Payments!$G$5:$G$2500,$K1262,Payments!$C$5:$C$2500,"&lt;&gt;")=0,"",_xlfn.MAXIFS(Payments!$C$5:$C$2500,Payments!$G$5:$G$2500,$K1262)))</f>
      </c>
      <c r="F1262" s="34">
        <f>IF(OR($D1262="",$K1262=""),"",SUMIF(Payments!$G$5:$G$2500,$K1262,Payments!$D$5:$D$2500))</f>
      </c>
      <c r="G1262" s="36">
        <f>IF($D1262="","",ROUND($D1262-IF($F1262="",0,$F1262),2))</f>
      </c>
      <c r="H1262" s="35">
        <f>IF(OR($D1262="",$K1262=""),"",COUNTIF(Payments!$G$5:$G$2500,$K1262))</f>
      </c>
      <c r="I1262" s="37">
        <f>IF($D1262="","",IF(OR($F1262="",$F1262=0),"Pending",IF(ROUND($F1262-$D1262,2)&gt;0,"Overpaid",IF(ROUND($F1262-$D1262,2)=0,"Paid","Partial"))))</f>
      </c>
      <c r="J1262" s="29"/>
      <c r="K1262">
        <f>IF($A1262="","","#"&amp;TRIM(SUBSTITUTE(SUBSTITUTE(SUBSTITUTE(SUBSTITUTE(SUBSTITUTE(SUBSTITUTE($A1262,"-",""),"(",""),")",""),".",""),"+","")," ","")))</f>
      </c>
    </row>
    <row r="1263" spans="1:11" x14ac:dyDescent="0.3">
      <c r="A1263" s="28"/>
      <c r="B1263" s="29"/>
      <c r="C1263" s="30"/>
      <c r="D1263" s="31"/>
      <c r="E1263" s="33">
        <f>IF(OR($D1263="",$K1263=""),"",IF(COUNTIFS(Payments!$G$5:$G$2500,$K1263,Payments!$C$5:$C$2500,"&lt;&gt;")=0,"",_xlfn.MAXIFS(Payments!$C$5:$C$2500,Payments!$G$5:$G$2500,$K1263)))</f>
      </c>
      <c r="F1263" s="34">
        <f>IF(OR($D1263="",$K1263=""),"",SUMIF(Payments!$G$5:$G$2500,$K1263,Payments!$D$5:$D$2500))</f>
      </c>
      <c r="G1263" s="36">
        <f>IF($D1263="","",ROUND($D1263-IF($F1263="",0,$F1263),2))</f>
      </c>
      <c r="H1263" s="35">
        <f>IF(OR($D1263="",$K1263=""),"",COUNTIF(Payments!$G$5:$G$2500,$K1263))</f>
      </c>
      <c r="I1263" s="37">
        <f>IF($D1263="","",IF(OR($F1263="",$F1263=0),"Pending",IF(ROUND($F1263-$D1263,2)&gt;0,"Overpaid",IF(ROUND($F1263-$D1263,2)=0,"Paid","Partial"))))</f>
      </c>
      <c r="J1263" s="29"/>
      <c r="K1263">
        <f>IF($A1263="","","#"&amp;TRIM(SUBSTITUTE(SUBSTITUTE(SUBSTITUTE(SUBSTITUTE(SUBSTITUTE(SUBSTITUTE($A1263,"-",""),"(",""),")",""),".",""),"+","")," ","")))</f>
      </c>
    </row>
    <row r="1264" spans="1:11" x14ac:dyDescent="0.3">
      <c r="A1264" s="28"/>
      <c r="B1264" s="29"/>
      <c r="C1264" s="30"/>
      <c r="D1264" s="31"/>
      <c r="E1264" s="33">
        <f>IF(OR($D1264="",$K1264=""),"",IF(COUNTIFS(Payments!$G$5:$G$2500,$K1264,Payments!$C$5:$C$2500,"&lt;&gt;")=0,"",_xlfn.MAXIFS(Payments!$C$5:$C$2500,Payments!$G$5:$G$2500,$K1264)))</f>
      </c>
      <c r="F1264" s="34">
        <f>IF(OR($D1264="",$K1264=""),"",SUMIF(Payments!$G$5:$G$2500,$K1264,Payments!$D$5:$D$2500))</f>
      </c>
      <c r="G1264" s="36">
        <f>IF($D1264="","",ROUND($D1264-IF($F1264="",0,$F1264),2))</f>
      </c>
      <c r="H1264" s="35">
        <f>IF(OR($D1264="",$K1264=""),"",COUNTIF(Payments!$G$5:$G$2500,$K1264))</f>
      </c>
      <c r="I1264" s="37">
        <f>IF($D1264="","",IF(OR($F1264="",$F1264=0),"Pending",IF(ROUND($F1264-$D1264,2)&gt;0,"Overpaid",IF(ROUND($F1264-$D1264,2)=0,"Paid","Partial"))))</f>
      </c>
      <c r="J1264" s="29"/>
      <c r="K1264">
        <f>IF($A1264="","","#"&amp;TRIM(SUBSTITUTE(SUBSTITUTE(SUBSTITUTE(SUBSTITUTE(SUBSTITUTE(SUBSTITUTE($A1264,"-",""),"(",""),")",""),".",""),"+","")," ","")))</f>
      </c>
    </row>
    <row r="1265" spans="1:11" x14ac:dyDescent="0.3">
      <c r="A1265" s="28"/>
      <c r="B1265" s="29"/>
      <c r="C1265" s="30"/>
      <c r="D1265" s="31"/>
      <c r="E1265" s="33">
        <f>IF(OR($D1265="",$K1265=""),"",IF(COUNTIFS(Payments!$G$5:$G$2500,$K1265,Payments!$C$5:$C$2500,"&lt;&gt;")=0,"",_xlfn.MAXIFS(Payments!$C$5:$C$2500,Payments!$G$5:$G$2500,$K1265)))</f>
      </c>
      <c r="F1265" s="34">
        <f>IF(OR($D1265="",$K1265=""),"",SUMIF(Payments!$G$5:$G$2500,$K1265,Payments!$D$5:$D$2500))</f>
      </c>
      <c r="G1265" s="36">
        <f>IF($D1265="","",ROUND($D1265-IF($F1265="",0,$F1265),2))</f>
      </c>
      <c r="H1265" s="35">
        <f>IF(OR($D1265="",$K1265=""),"",COUNTIF(Payments!$G$5:$G$2500,$K1265))</f>
      </c>
      <c r="I1265" s="37">
        <f>IF($D1265="","",IF(OR($F1265="",$F1265=0),"Pending",IF(ROUND($F1265-$D1265,2)&gt;0,"Overpaid",IF(ROUND($F1265-$D1265,2)=0,"Paid","Partial"))))</f>
      </c>
      <c r="J1265" s="29"/>
      <c r="K1265">
        <f>IF($A1265="","","#"&amp;TRIM(SUBSTITUTE(SUBSTITUTE(SUBSTITUTE(SUBSTITUTE(SUBSTITUTE(SUBSTITUTE($A1265,"-",""),"(",""),")",""),".",""),"+","")," ","")))</f>
      </c>
    </row>
    <row r="1266" spans="1:11" x14ac:dyDescent="0.3">
      <c r="A1266" s="28"/>
      <c r="B1266" s="29"/>
      <c r="C1266" s="30"/>
      <c r="D1266" s="31"/>
      <c r="E1266" s="33">
        <f>IF(OR($D1266="",$K1266=""),"",IF(COUNTIFS(Payments!$G$5:$G$2500,$K1266,Payments!$C$5:$C$2500,"&lt;&gt;")=0,"",_xlfn.MAXIFS(Payments!$C$5:$C$2500,Payments!$G$5:$G$2500,$K1266)))</f>
      </c>
      <c r="F1266" s="34">
        <f>IF(OR($D1266="",$K1266=""),"",SUMIF(Payments!$G$5:$G$2500,$K1266,Payments!$D$5:$D$2500))</f>
      </c>
      <c r="G1266" s="36">
        <f>IF($D1266="","",ROUND($D1266-IF($F1266="",0,$F1266),2))</f>
      </c>
      <c r="H1266" s="35">
        <f>IF(OR($D1266="",$K1266=""),"",COUNTIF(Payments!$G$5:$G$2500,$K1266))</f>
      </c>
      <c r="I1266" s="37">
        <f>IF($D1266="","",IF(OR($F1266="",$F1266=0),"Pending",IF(ROUND($F1266-$D1266,2)&gt;0,"Overpaid",IF(ROUND($F1266-$D1266,2)=0,"Paid","Partial"))))</f>
      </c>
      <c r="J1266" s="29"/>
      <c r="K1266">
        <f>IF($A1266="","","#"&amp;TRIM(SUBSTITUTE(SUBSTITUTE(SUBSTITUTE(SUBSTITUTE(SUBSTITUTE(SUBSTITUTE($A1266,"-",""),"(",""),")",""),".",""),"+","")," ","")))</f>
      </c>
    </row>
    <row r="1267" spans="1:11" x14ac:dyDescent="0.3">
      <c r="A1267" s="28"/>
      <c r="B1267" s="29"/>
      <c r="C1267" s="30"/>
      <c r="D1267" s="31"/>
      <c r="E1267" s="33">
        <f>IF(OR($D1267="",$K1267=""),"",IF(COUNTIFS(Payments!$G$5:$G$2500,$K1267,Payments!$C$5:$C$2500,"&lt;&gt;")=0,"",_xlfn.MAXIFS(Payments!$C$5:$C$2500,Payments!$G$5:$G$2500,$K1267)))</f>
      </c>
      <c r="F1267" s="34">
        <f>IF(OR($D1267="",$K1267=""),"",SUMIF(Payments!$G$5:$G$2500,$K1267,Payments!$D$5:$D$2500))</f>
      </c>
      <c r="G1267" s="36">
        <f>IF($D1267="","",ROUND($D1267-IF($F1267="",0,$F1267),2))</f>
      </c>
      <c r="H1267" s="35">
        <f>IF(OR($D1267="",$K1267=""),"",COUNTIF(Payments!$G$5:$G$2500,$K1267))</f>
      </c>
      <c r="I1267" s="37">
        <f>IF($D1267="","",IF(OR($F1267="",$F1267=0),"Pending",IF(ROUND($F1267-$D1267,2)&gt;0,"Overpaid",IF(ROUND($F1267-$D1267,2)=0,"Paid","Partial"))))</f>
      </c>
      <c r="J1267" s="29"/>
      <c r="K1267">
        <f>IF($A1267="","","#"&amp;TRIM(SUBSTITUTE(SUBSTITUTE(SUBSTITUTE(SUBSTITUTE(SUBSTITUTE(SUBSTITUTE($A1267,"-",""),"(",""),")",""),".",""),"+","")," ","")))</f>
      </c>
    </row>
    <row r="1268" spans="1:11" x14ac:dyDescent="0.3">
      <c r="A1268" s="28"/>
      <c r="B1268" s="29"/>
      <c r="C1268" s="30"/>
      <c r="D1268" s="31"/>
      <c r="E1268" s="33">
        <f>IF(OR($D1268="",$K1268=""),"",IF(COUNTIFS(Payments!$G$5:$G$2500,$K1268,Payments!$C$5:$C$2500,"&lt;&gt;")=0,"",_xlfn.MAXIFS(Payments!$C$5:$C$2500,Payments!$G$5:$G$2500,$K1268)))</f>
      </c>
      <c r="F1268" s="34">
        <f>IF(OR($D1268="",$K1268=""),"",SUMIF(Payments!$G$5:$G$2500,$K1268,Payments!$D$5:$D$2500))</f>
      </c>
      <c r="G1268" s="36">
        <f>IF($D1268="","",ROUND($D1268-IF($F1268="",0,$F1268),2))</f>
      </c>
      <c r="H1268" s="35">
        <f>IF(OR($D1268="",$K1268=""),"",COUNTIF(Payments!$G$5:$G$2500,$K1268))</f>
      </c>
      <c r="I1268" s="37">
        <f>IF($D1268="","",IF(OR($F1268="",$F1268=0),"Pending",IF(ROUND($F1268-$D1268,2)&gt;0,"Overpaid",IF(ROUND($F1268-$D1268,2)=0,"Paid","Partial"))))</f>
      </c>
      <c r="J1268" s="29"/>
      <c r="K1268">
        <f>IF($A1268="","","#"&amp;TRIM(SUBSTITUTE(SUBSTITUTE(SUBSTITUTE(SUBSTITUTE(SUBSTITUTE(SUBSTITUTE($A1268,"-",""),"(",""),")",""),".",""),"+","")," ","")))</f>
      </c>
    </row>
    <row r="1269" spans="1:11" x14ac:dyDescent="0.3">
      <c r="A1269" s="28"/>
      <c r="B1269" s="29"/>
      <c r="C1269" s="30"/>
      <c r="D1269" s="31"/>
      <c r="E1269" s="33">
        <f>IF(OR($D1269="",$K1269=""),"",IF(COUNTIFS(Payments!$G$5:$G$2500,$K1269,Payments!$C$5:$C$2500,"&lt;&gt;")=0,"",_xlfn.MAXIFS(Payments!$C$5:$C$2500,Payments!$G$5:$G$2500,$K1269)))</f>
      </c>
      <c r="F1269" s="34">
        <f>IF(OR($D1269="",$K1269=""),"",SUMIF(Payments!$G$5:$G$2500,$K1269,Payments!$D$5:$D$2500))</f>
      </c>
      <c r="G1269" s="36">
        <f>IF($D1269="","",ROUND($D1269-IF($F1269="",0,$F1269),2))</f>
      </c>
      <c r="H1269" s="35">
        <f>IF(OR($D1269="",$K1269=""),"",COUNTIF(Payments!$G$5:$G$2500,$K1269))</f>
      </c>
      <c r="I1269" s="37">
        <f>IF($D1269="","",IF(OR($F1269="",$F1269=0),"Pending",IF(ROUND($F1269-$D1269,2)&gt;0,"Overpaid",IF(ROUND($F1269-$D1269,2)=0,"Paid","Partial"))))</f>
      </c>
      <c r="J1269" s="29"/>
      <c r="K1269">
        <f>IF($A1269="","","#"&amp;TRIM(SUBSTITUTE(SUBSTITUTE(SUBSTITUTE(SUBSTITUTE(SUBSTITUTE(SUBSTITUTE($A1269,"-",""),"(",""),")",""),".",""),"+","")," ","")))</f>
      </c>
    </row>
    <row r="1270" spans="1:11" x14ac:dyDescent="0.3">
      <c r="A1270" s="28"/>
      <c r="B1270" s="29"/>
      <c r="C1270" s="30"/>
      <c r="D1270" s="31"/>
      <c r="E1270" s="33">
        <f>IF(OR($D1270="",$K1270=""),"",IF(COUNTIFS(Payments!$G$5:$G$2500,$K1270,Payments!$C$5:$C$2500,"&lt;&gt;")=0,"",_xlfn.MAXIFS(Payments!$C$5:$C$2500,Payments!$G$5:$G$2500,$K1270)))</f>
      </c>
      <c r="F1270" s="34">
        <f>IF(OR($D1270="",$K1270=""),"",SUMIF(Payments!$G$5:$G$2500,$K1270,Payments!$D$5:$D$2500))</f>
      </c>
      <c r="G1270" s="36">
        <f>IF($D1270="","",ROUND($D1270-IF($F1270="",0,$F1270),2))</f>
      </c>
      <c r="H1270" s="35">
        <f>IF(OR($D1270="",$K1270=""),"",COUNTIF(Payments!$G$5:$G$2500,$K1270))</f>
      </c>
      <c r="I1270" s="37">
        <f>IF($D1270="","",IF(OR($F1270="",$F1270=0),"Pending",IF(ROUND($F1270-$D1270,2)&gt;0,"Overpaid",IF(ROUND($F1270-$D1270,2)=0,"Paid","Partial"))))</f>
      </c>
      <c r="J1270" s="29"/>
      <c r="K1270">
        <f>IF($A1270="","","#"&amp;TRIM(SUBSTITUTE(SUBSTITUTE(SUBSTITUTE(SUBSTITUTE(SUBSTITUTE(SUBSTITUTE($A1270,"-",""),"(",""),")",""),".",""),"+","")," ","")))</f>
      </c>
    </row>
    <row r="1271" spans="1:11" x14ac:dyDescent="0.3">
      <c r="A1271" s="28"/>
      <c r="B1271" s="29"/>
      <c r="C1271" s="30"/>
      <c r="D1271" s="31"/>
      <c r="E1271" s="33">
        <f>IF(OR($D1271="",$K1271=""),"",IF(COUNTIFS(Payments!$G$5:$G$2500,$K1271,Payments!$C$5:$C$2500,"&lt;&gt;")=0,"",_xlfn.MAXIFS(Payments!$C$5:$C$2500,Payments!$G$5:$G$2500,$K1271)))</f>
      </c>
      <c r="F1271" s="34">
        <f>IF(OR($D1271="",$K1271=""),"",SUMIF(Payments!$G$5:$G$2500,$K1271,Payments!$D$5:$D$2500))</f>
      </c>
      <c r="G1271" s="36">
        <f>IF($D1271="","",ROUND($D1271-IF($F1271="",0,$F1271),2))</f>
      </c>
      <c r="H1271" s="35">
        <f>IF(OR($D1271="",$K1271=""),"",COUNTIF(Payments!$G$5:$G$2500,$K1271))</f>
      </c>
      <c r="I1271" s="37">
        <f>IF($D1271="","",IF(OR($F1271="",$F1271=0),"Pending",IF(ROUND($F1271-$D1271,2)&gt;0,"Overpaid",IF(ROUND($F1271-$D1271,2)=0,"Paid","Partial"))))</f>
      </c>
      <c r="J1271" s="29"/>
      <c r="K1271">
        <f>IF($A1271="","","#"&amp;TRIM(SUBSTITUTE(SUBSTITUTE(SUBSTITUTE(SUBSTITUTE(SUBSTITUTE(SUBSTITUTE($A1271,"-",""),"(",""),")",""),".",""),"+","")," ","")))</f>
      </c>
    </row>
    <row r="1272" spans="1:11" x14ac:dyDescent="0.3">
      <c r="A1272" s="28"/>
      <c r="B1272" s="29"/>
      <c r="C1272" s="30"/>
      <c r="D1272" s="31"/>
      <c r="E1272" s="33">
        <f>IF(OR($D1272="",$K1272=""),"",IF(COUNTIFS(Payments!$G$5:$G$2500,$K1272,Payments!$C$5:$C$2500,"&lt;&gt;")=0,"",_xlfn.MAXIFS(Payments!$C$5:$C$2500,Payments!$G$5:$G$2500,$K1272)))</f>
      </c>
      <c r="F1272" s="34">
        <f>IF(OR($D1272="",$K1272=""),"",SUMIF(Payments!$G$5:$G$2500,$K1272,Payments!$D$5:$D$2500))</f>
      </c>
      <c r="G1272" s="36">
        <f>IF($D1272="","",ROUND($D1272-IF($F1272="",0,$F1272),2))</f>
      </c>
      <c r="H1272" s="35">
        <f>IF(OR($D1272="",$K1272=""),"",COUNTIF(Payments!$G$5:$G$2500,$K1272))</f>
      </c>
      <c r="I1272" s="37">
        <f>IF($D1272="","",IF(OR($F1272="",$F1272=0),"Pending",IF(ROUND($F1272-$D1272,2)&gt;0,"Overpaid",IF(ROUND($F1272-$D1272,2)=0,"Paid","Partial"))))</f>
      </c>
      <c r="J1272" s="29"/>
      <c r="K1272">
        <f>IF($A1272="","","#"&amp;TRIM(SUBSTITUTE(SUBSTITUTE(SUBSTITUTE(SUBSTITUTE(SUBSTITUTE(SUBSTITUTE($A1272,"-",""),"(",""),")",""),".",""),"+","")," ","")))</f>
      </c>
    </row>
    <row r="1273" spans="1:11" x14ac:dyDescent="0.3">
      <c r="A1273" s="28"/>
      <c r="B1273" s="29"/>
      <c r="C1273" s="30"/>
      <c r="D1273" s="31"/>
      <c r="E1273" s="33">
        <f>IF(OR($D1273="",$K1273=""),"",IF(COUNTIFS(Payments!$G$5:$G$2500,$K1273,Payments!$C$5:$C$2500,"&lt;&gt;")=0,"",_xlfn.MAXIFS(Payments!$C$5:$C$2500,Payments!$G$5:$G$2500,$K1273)))</f>
      </c>
      <c r="F1273" s="34">
        <f>IF(OR($D1273="",$K1273=""),"",SUMIF(Payments!$G$5:$G$2500,$K1273,Payments!$D$5:$D$2500))</f>
      </c>
      <c r="G1273" s="36">
        <f>IF($D1273="","",ROUND($D1273-IF($F1273="",0,$F1273),2))</f>
      </c>
      <c r="H1273" s="35">
        <f>IF(OR($D1273="",$K1273=""),"",COUNTIF(Payments!$G$5:$G$2500,$K1273))</f>
      </c>
      <c r="I1273" s="37">
        <f>IF($D1273="","",IF(OR($F1273="",$F1273=0),"Pending",IF(ROUND($F1273-$D1273,2)&gt;0,"Overpaid",IF(ROUND($F1273-$D1273,2)=0,"Paid","Partial"))))</f>
      </c>
      <c r="J1273" s="29"/>
      <c r="K1273">
        <f>IF($A1273="","","#"&amp;TRIM(SUBSTITUTE(SUBSTITUTE(SUBSTITUTE(SUBSTITUTE(SUBSTITUTE(SUBSTITUTE($A1273,"-",""),"(",""),")",""),".",""),"+","")," ","")))</f>
      </c>
    </row>
    <row r="1274" spans="1:11" x14ac:dyDescent="0.3">
      <c r="A1274" s="28"/>
      <c r="B1274" s="29"/>
      <c r="C1274" s="30"/>
      <c r="D1274" s="31"/>
      <c r="E1274" s="33">
        <f>IF(OR($D1274="",$K1274=""),"",IF(COUNTIFS(Payments!$G$5:$G$2500,$K1274,Payments!$C$5:$C$2500,"&lt;&gt;")=0,"",_xlfn.MAXIFS(Payments!$C$5:$C$2500,Payments!$G$5:$G$2500,$K1274)))</f>
      </c>
      <c r="F1274" s="34">
        <f>IF(OR($D1274="",$K1274=""),"",SUMIF(Payments!$G$5:$G$2500,$K1274,Payments!$D$5:$D$2500))</f>
      </c>
      <c r="G1274" s="36">
        <f>IF($D1274="","",ROUND($D1274-IF($F1274="",0,$F1274),2))</f>
      </c>
      <c r="H1274" s="35">
        <f>IF(OR($D1274="",$K1274=""),"",COUNTIF(Payments!$G$5:$G$2500,$K1274))</f>
      </c>
      <c r="I1274" s="37">
        <f>IF($D1274="","",IF(OR($F1274="",$F1274=0),"Pending",IF(ROUND($F1274-$D1274,2)&gt;0,"Overpaid",IF(ROUND($F1274-$D1274,2)=0,"Paid","Partial"))))</f>
      </c>
      <c r="J1274" s="29"/>
      <c r="K1274">
        <f>IF($A1274="","","#"&amp;TRIM(SUBSTITUTE(SUBSTITUTE(SUBSTITUTE(SUBSTITUTE(SUBSTITUTE(SUBSTITUTE($A1274,"-",""),"(",""),")",""),".",""),"+","")," ","")))</f>
      </c>
    </row>
    <row r="1275" spans="1:11" x14ac:dyDescent="0.3">
      <c r="A1275" s="28"/>
      <c r="B1275" s="29"/>
      <c r="C1275" s="30"/>
      <c r="D1275" s="31"/>
      <c r="E1275" s="33">
        <f>IF(OR($D1275="",$K1275=""),"",IF(COUNTIFS(Payments!$G$5:$G$2500,$K1275,Payments!$C$5:$C$2500,"&lt;&gt;")=0,"",_xlfn.MAXIFS(Payments!$C$5:$C$2500,Payments!$G$5:$G$2500,$K1275)))</f>
      </c>
      <c r="F1275" s="34">
        <f>IF(OR($D1275="",$K1275=""),"",SUMIF(Payments!$G$5:$G$2500,$K1275,Payments!$D$5:$D$2500))</f>
      </c>
      <c r="G1275" s="36">
        <f>IF($D1275="","",ROUND($D1275-IF($F1275="",0,$F1275),2))</f>
      </c>
      <c r="H1275" s="35">
        <f>IF(OR($D1275="",$K1275=""),"",COUNTIF(Payments!$G$5:$G$2500,$K1275))</f>
      </c>
      <c r="I1275" s="37">
        <f>IF($D1275="","",IF(OR($F1275="",$F1275=0),"Pending",IF(ROUND($F1275-$D1275,2)&gt;0,"Overpaid",IF(ROUND($F1275-$D1275,2)=0,"Paid","Partial"))))</f>
      </c>
      <c r="J1275" s="29"/>
      <c r="K1275">
        <f>IF($A1275="","","#"&amp;TRIM(SUBSTITUTE(SUBSTITUTE(SUBSTITUTE(SUBSTITUTE(SUBSTITUTE(SUBSTITUTE($A1275,"-",""),"(",""),")",""),".",""),"+","")," ","")))</f>
      </c>
    </row>
    <row r="1276" spans="1:11" x14ac:dyDescent="0.3">
      <c r="A1276" s="28"/>
      <c r="B1276" s="29"/>
      <c r="C1276" s="30"/>
      <c r="D1276" s="31"/>
      <c r="E1276" s="33">
        <f>IF(OR($D1276="",$K1276=""),"",IF(COUNTIFS(Payments!$G$5:$G$2500,$K1276,Payments!$C$5:$C$2500,"&lt;&gt;")=0,"",_xlfn.MAXIFS(Payments!$C$5:$C$2500,Payments!$G$5:$G$2500,$K1276)))</f>
      </c>
      <c r="F1276" s="34">
        <f>IF(OR($D1276="",$K1276=""),"",SUMIF(Payments!$G$5:$G$2500,$K1276,Payments!$D$5:$D$2500))</f>
      </c>
      <c r="G1276" s="36">
        <f>IF($D1276="","",ROUND($D1276-IF($F1276="",0,$F1276),2))</f>
      </c>
      <c r="H1276" s="35">
        <f>IF(OR($D1276="",$K1276=""),"",COUNTIF(Payments!$G$5:$G$2500,$K1276))</f>
      </c>
      <c r="I1276" s="37">
        <f>IF($D1276="","",IF(OR($F1276="",$F1276=0),"Pending",IF(ROUND($F1276-$D1276,2)&gt;0,"Overpaid",IF(ROUND($F1276-$D1276,2)=0,"Paid","Partial"))))</f>
      </c>
      <c r="J1276" s="29"/>
      <c r="K1276">
        <f>IF($A1276="","","#"&amp;TRIM(SUBSTITUTE(SUBSTITUTE(SUBSTITUTE(SUBSTITUTE(SUBSTITUTE(SUBSTITUTE($A1276,"-",""),"(",""),")",""),".",""),"+","")," ","")))</f>
      </c>
    </row>
    <row r="1277" spans="1:11" x14ac:dyDescent="0.3">
      <c r="A1277" s="28"/>
      <c r="B1277" s="29"/>
      <c r="C1277" s="30"/>
      <c r="D1277" s="31"/>
      <c r="E1277" s="33">
        <f>IF(OR($D1277="",$K1277=""),"",IF(COUNTIFS(Payments!$G$5:$G$2500,$K1277,Payments!$C$5:$C$2500,"&lt;&gt;")=0,"",_xlfn.MAXIFS(Payments!$C$5:$C$2500,Payments!$G$5:$G$2500,$K1277)))</f>
      </c>
      <c r="F1277" s="34">
        <f>IF(OR($D1277="",$K1277=""),"",SUMIF(Payments!$G$5:$G$2500,$K1277,Payments!$D$5:$D$2500))</f>
      </c>
      <c r="G1277" s="36">
        <f>IF($D1277="","",ROUND($D1277-IF($F1277="",0,$F1277),2))</f>
      </c>
      <c r="H1277" s="35">
        <f>IF(OR($D1277="",$K1277=""),"",COUNTIF(Payments!$G$5:$G$2500,$K1277))</f>
      </c>
      <c r="I1277" s="37">
        <f>IF($D1277="","",IF(OR($F1277="",$F1277=0),"Pending",IF(ROUND($F1277-$D1277,2)&gt;0,"Overpaid",IF(ROUND($F1277-$D1277,2)=0,"Paid","Partial"))))</f>
      </c>
      <c r="J1277" s="29"/>
      <c r="K1277">
        <f>IF($A1277="","","#"&amp;TRIM(SUBSTITUTE(SUBSTITUTE(SUBSTITUTE(SUBSTITUTE(SUBSTITUTE(SUBSTITUTE($A1277,"-",""),"(",""),")",""),".",""),"+","")," ","")))</f>
      </c>
    </row>
    <row r="1278" spans="1:11" x14ac:dyDescent="0.3">
      <c r="A1278" s="28"/>
      <c r="B1278" s="29"/>
      <c r="C1278" s="30"/>
      <c r="D1278" s="31"/>
      <c r="E1278" s="33">
        <f>IF(OR($D1278="",$K1278=""),"",IF(COUNTIFS(Payments!$G$5:$G$2500,$K1278,Payments!$C$5:$C$2500,"&lt;&gt;")=0,"",_xlfn.MAXIFS(Payments!$C$5:$C$2500,Payments!$G$5:$G$2500,$K1278)))</f>
      </c>
      <c r="F1278" s="34">
        <f>IF(OR($D1278="",$K1278=""),"",SUMIF(Payments!$G$5:$G$2500,$K1278,Payments!$D$5:$D$2500))</f>
      </c>
      <c r="G1278" s="36">
        <f>IF($D1278="","",ROUND($D1278-IF($F1278="",0,$F1278),2))</f>
      </c>
      <c r="H1278" s="35">
        <f>IF(OR($D1278="",$K1278=""),"",COUNTIF(Payments!$G$5:$G$2500,$K1278))</f>
      </c>
      <c r="I1278" s="37">
        <f>IF($D1278="","",IF(OR($F1278="",$F1278=0),"Pending",IF(ROUND($F1278-$D1278,2)&gt;0,"Overpaid",IF(ROUND($F1278-$D1278,2)=0,"Paid","Partial"))))</f>
      </c>
      <c r="J1278" s="29"/>
      <c r="K1278">
        <f>IF($A1278="","","#"&amp;TRIM(SUBSTITUTE(SUBSTITUTE(SUBSTITUTE(SUBSTITUTE(SUBSTITUTE(SUBSTITUTE($A1278,"-",""),"(",""),")",""),".",""),"+","")," ","")))</f>
      </c>
    </row>
    <row r="1279" spans="1:11" x14ac:dyDescent="0.3">
      <c r="A1279" s="28"/>
      <c r="B1279" s="29"/>
      <c r="C1279" s="30"/>
      <c r="D1279" s="31"/>
      <c r="E1279" s="33">
        <f>IF(OR($D1279="",$K1279=""),"",IF(COUNTIFS(Payments!$G$5:$G$2500,$K1279,Payments!$C$5:$C$2500,"&lt;&gt;")=0,"",_xlfn.MAXIFS(Payments!$C$5:$C$2500,Payments!$G$5:$G$2500,$K1279)))</f>
      </c>
      <c r="F1279" s="34">
        <f>IF(OR($D1279="",$K1279=""),"",SUMIF(Payments!$G$5:$G$2500,$K1279,Payments!$D$5:$D$2500))</f>
      </c>
      <c r="G1279" s="36">
        <f>IF($D1279="","",ROUND($D1279-IF($F1279="",0,$F1279),2))</f>
      </c>
      <c r="H1279" s="35">
        <f>IF(OR($D1279="",$K1279=""),"",COUNTIF(Payments!$G$5:$G$2500,$K1279))</f>
      </c>
      <c r="I1279" s="37">
        <f>IF($D1279="","",IF(OR($F1279="",$F1279=0),"Pending",IF(ROUND($F1279-$D1279,2)&gt;0,"Overpaid",IF(ROUND($F1279-$D1279,2)=0,"Paid","Partial"))))</f>
      </c>
      <c r="J1279" s="29"/>
      <c r="K1279">
        <f>IF($A1279="","","#"&amp;TRIM(SUBSTITUTE(SUBSTITUTE(SUBSTITUTE(SUBSTITUTE(SUBSTITUTE(SUBSTITUTE($A1279,"-",""),"(",""),")",""),".",""),"+","")," ","")))</f>
      </c>
    </row>
    <row r="1280" spans="1:11" x14ac:dyDescent="0.3">
      <c r="A1280" s="28"/>
      <c r="B1280" s="29"/>
      <c r="C1280" s="30"/>
      <c r="D1280" s="31"/>
      <c r="E1280" s="33">
        <f>IF(OR($D1280="",$K1280=""),"",IF(COUNTIFS(Payments!$G$5:$G$2500,$K1280,Payments!$C$5:$C$2500,"&lt;&gt;")=0,"",_xlfn.MAXIFS(Payments!$C$5:$C$2500,Payments!$G$5:$G$2500,$K1280)))</f>
      </c>
      <c r="F1280" s="34">
        <f>IF(OR($D1280="",$K1280=""),"",SUMIF(Payments!$G$5:$G$2500,$K1280,Payments!$D$5:$D$2500))</f>
      </c>
      <c r="G1280" s="36">
        <f>IF($D1280="","",ROUND($D1280-IF($F1280="",0,$F1280),2))</f>
      </c>
      <c r="H1280" s="35">
        <f>IF(OR($D1280="",$K1280=""),"",COUNTIF(Payments!$G$5:$G$2500,$K1280))</f>
      </c>
      <c r="I1280" s="37">
        <f>IF($D1280="","",IF(OR($F1280="",$F1280=0),"Pending",IF(ROUND($F1280-$D1280,2)&gt;0,"Overpaid",IF(ROUND($F1280-$D1280,2)=0,"Paid","Partial"))))</f>
      </c>
      <c r="J1280" s="29"/>
      <c r="K1280">
        <f>IF($A1280="","","#"&amp;TRIM(SUBSTITUTE(SUBSTITUTE(SUBSTITUTE(SUBSTITUTE(SUBSTITUTE(SUBSTITUTE($A1280,"-",""),"(",""),")",""),".",""),"+","")," ","")))</f>
      </c>
    </row>
    <row r="1281" spans="1:11" x14ac:dyDescent="0.3">
      <c r="A1281" s="28"/>
      <c r="B1281" s="29"/>
      <c r="C1281" s="30"/>
      <c r="D1281" s="31"/>
      <c r="E1281" s="33">
        <f>IF(OR($D1281="",$K1281=""),"",IF(COUNTIFS(Payments!$G$5:$G$2500,$K1281,Payments!$C$5:$C$2500,"&lt;&gt;")=0,"",_xlfn.MAXIFS(Payments!$C$5:$C$2500,Payments!$G$5:$G$2500,$K1281)))</f>
      </c>
      <c r="F1281" s="34">
        <f>IF(OR($D1281="",$K1281=""),"",SUMIF(Payments!$G$5:$G$2500,$K1281,Payments!$D$5:$D$2500))</f>
      </c>
      <c r="G1281" s="36">
        <f>IF($D1281="","",ROUND($D1281-IF($F1281="",0,$F1281),2))</f>
      </c>
      <c r="H1281" s="35">
        <f>IF(OR($D1281="",$K1281=""),"",COUNTIF(Payments!$G$5:$G$2500,$K1281))</f>
      </c>
      <c r="I1281" s="37">
        <f>IF($D1281="","",IF(OR($F1281="",$F1281=0),"Pending",IF(ROUND($F1281-$D1281,2)&gt;0,"Overpaid",IF(ROUND($F1281-$D1281,2)=0,"Paid","Partial"))))</f>
      </c>
      <c r="J1281" s="29"/>
      <c r="K1281">
        <f>IF($A1281="","","#"&amp;TRIM(SUBSTITUTE(SUBSTITUTE(SUBSTITUTE(SUBSTITUTE(SUBSTITUTE(SUBSTITUTE($A1281,"-",""),"(",""),")",""),".",""),"+","")," ","")))</f>
      </c>
    </row>
    <row r="1282" spans="1:11" x14ac:dyDescent="0.3">
      <c r="A1282" s="28"/>
      <c r="B1282" s="29"/>
      <c r="C1282" s="30"/>
      <c r="D1282" s="31"/>
      <c r="E1282" s="33">
        <f>IF(OR($D1282="",$K1282=""),"",IF(COUNTIFS(Payments!$G$5:$G$2500,$K1282,Payments!$C$5:$C$2500,"&lt;&gt;")=0,"",_xlfn.MAXIFS(Payments!$C$5:$C$2500,Payments!$G$5:$G$2500,$K1282)))</f>
      </c>
      <c r="F1282" s="34">
        <f>IF(OR($D1282="",$K1282=""),"",SUMIF(Payments!$G$5:$G$2500,$K1282,Payments!$D$5:$D$2500))</f>
      </c>
      <c r="G1282" s="36">
        <f>IF($D1282="","",ROUND($D1282-IF($F1282="",0,$F1282),2))</f>
      </c>
      <c r="H1282" s="35">
        <f>IF(OR($D1282="",$K1282=""),"",COUNTIF(Payments!$G$5:$G$2500,$K1282))</f>
      </c>
      <c r="I1282" s="37">
        <f>IF($D1282="","",IF(OR($F1282="",$F1282=0),"Pending",IF(ROUND($F1282-$D1282,2)&gt;0,"Overpaid",IF(ROUND($F1282-$D1282,2)=0,"Paid","Partial"))))</f>
      </c>
      <c r="J1282" s="29"/>
      <c r="K1282">
        <f>IF($A1282="","","#"&amp;TRIM(SUBSTITUTE(SUBSTITUTE(SUBSTITUTE(SUBSTITUTE(SUBSTITUTE(SUBSTITUTE($A1282,"-",""),"(",""),")",""),".",""),"+","")," ","")))</f>
      </c>
    </row>
    <row r="1283" spans="1:11" x14ac:dyDescent="0.3">
      <c r="A1283" s="28"/>
      <c r="B1283" s="29"/>
      <c r="C1283" s="30"/>
      <c r="D1283" s="31"/>
      <c r="E1283" s="33">
        <f>IF(OR($D1283="",$K1283=""),"",IF(COUNTIFS(Payments!$G$5:$G$2500,$K1283,Payments!$C$5:$C$2500,"&lt;&gt;")=0,"",_xlfn.MAXIFS(Payments!$C$5:$C$2500,Payments!$G$5:$G$2500,$K1283)))</f>
      </c>
      <c r="F1283" s="34">
        <f>IF(OR($D1283="",$K1283=""),"",SUMIF(Payments!$G$5:$G$2500,$K1283,Payments!$D$5:$D$2500))</f>
      </c>
      <c r="G1283" s="36">
        <f>IF($D1283="","",ROUND($D1283-IF($F1283="",0,$F1283),2))</f>
      </c>
      <c r="H1283" s="35">
        <f>IF(OR($D1283="",$K1283=""),"",COUNTIF(Payments!$G$5:$G$2500,$K1283))</f>
      </c>
      <c r="I1283" s="37">
        <f>IF($D1283="","",IF(OR($F1283="",$F1283=0),"Pending",IF(ROUND($F1283-$D1283,2)&gt;0,"Overpaid",IF(ROUND($F1283-$D1283,2)=0,"Paid","Partial"))))</f>
      </c>
      <c r="J1283" s="29"/>
      <c r="K1283">
        <f>IF($A1283="","","#"&amp;TRIM(SUBSTITUTE(SUBSTITUTE(SUBSTITUTE(SUBSTITUTE(SUBSTITUTE(SUBSTITUTE($A1283,"-",""),"(",""),")",""),".",""),"+","")," ","")))</f>
      </c>
    </row>
    <row r="1284" spans="1:11" x14ac:dyDescent="0.3">
      <c r="A1284" s="28"/>
      <c r="B1284" s="29"/>
      <c r="C1284" s="30"/>
      <c r="D1284" s="31"/>
      <c r="E1284" s="33">
        <f>IF(OR($D1284="",$K1284=""),"",IF(COUNTIFS(Payments!$G$5:$G$2500,$K1284,Payments!$C$5:$C$2500,"&lt;&gt;")=0,"",_xlfn.MAXIFS(Payments!$C$5:$C$2500,Payments!$G$5:$G$2500,$K1284)))</f>
      </c>
      <c r="F1284" s="34">
        <f>IF(OR($D1284="",$K1284=""),"",SUMIF(Payments!$G$5:$G$2500,$K1284,Payments!$D$5:$D$2500))</f>
      </c>
      <c r="G1284" s="36">
        <f>IF($D1284="","",ROUND($D1284-IF($F1284="",0,$F1284),2))</f>
      </c>
      <c r="H1284" s="35">
        <f>IF(OR($D1284="",$K1284=""),"",COUNTIF(Payments!$G$5:$G$2500,$K1284))</f>
      </c>
      <c r="I1284" s="37">
        <f>IF($D1284="","",IF(OR($F1284="",$F1284=0),"Pending",IF(ROUND($F1284-$D1284,2)&gt;0,"Overpaid",IF(ROUND($F1284-$D1284,2)=0,"Paid","Partial"))))</f>
      </c>
      <c r="J1284" s="29"/>
      <c r="K1284">
        <f>IF($A1284="","","#"&amp;TRIM(SUBSTITUTE(SUBSTITUTE(SUBSTITUTE(SUBSTITUTE(SUBSTITUTE(SUBSTITUTE($A1284,"-",""),"(",""),")",""),".",""),"+","")," ","")))</f>
      </c>
    </row>
    <row r="1285" spans="1:11" x14ac:dyDescent="0.3">
      <c r="A1285" s="28"/>
      <c r="B1285" s="29"/>
      <c r="C1285" s="30"/>
      <c r="D1285" s="31"/>
      <c r="E1285" s="33">
        <f>IF(OR($D1285="",$K1285=""),"",IF(COUNTIFS(Payments!$G$5:$G$2500,$K1285,Payments!$C$5:$C$2500,"&lt;&gt;")=0,"",_xlfn.MAXIFS(Payments!$C$5:$C$2500,Payments!$G$5:$G$2500,$K1285)))</f>
      </c>
      <c r="F1285" s="34">
        <f>IF(OR($D1285="",$K1285=""),"",SUMIF(Payments!$G$5:$G$2500,$K1285,Payments!$D$5:$D$2500))</f>
      </c>
      <c r="G1285" s="36">
        <f>IF($D1285="","",ROUND($D1285-IF($F1285="",0,$F1285),2))</f>
      </c>
      <c r="H1285" s="35">
        <f>IF(OR($D1285="",$K1285=""),"",COUNTIF(Payments!$G$5:$G$2500,$K1285))</f>
      </c>
      <c r="I1285" s="37">
        <f>IF($D1285="","",IF(OR($F1285="",$F1285=0),"Pending",IF(ROUND($F1285-$D1285,2)&gt;0,"Overpaid",IF(ROUND($F1285-$D1285,2)=0,"Paid","Partial"))))</f>
      </c>
      <c r="J1285" s="29"/>
      <c r="K1285">
        <f>IF($A1285="","","#"&amp;TRIM(SUBSTITUTE(SUBSTITUTE(SUBSTITUTE(SUBSTITUTE(SUBSTITUTE(SUBSTITUTE($A1285,"-",""),"(",""),")",""),".",""),"+","")," ","")))</f>
      </c>
    </row>
    <row r="1286" spans="1:11" x14ac:dyDescent="0.3">
      <c r="A1286" s="28"/>
      <c r="B1286" s="29"/>
      <c r="C1286" s="30"/>
      <c r="D1286" s="31"/>
      <c r="E1286" s="33">
        <f>IF(OR($D1286="",$K1286=""),"",IF(COUNTIFS(Payments!$G$5:$G$2500,$K1286,Payments!$C$5:$C$2500,"&lt;&gt;")=0,"",_xlfn.MAXIFS(Payments!$C$5:$C$2500,Payments!$G$5:$G$2500,$K1286)))</f>
      </c>
      <c r="F1286" s="34">
        <f>IF(OR($D1286="",$K1286=""),"",SUMIF(Payments!$G$5:$G$2500,$K1286,Payments!$D$5:$D$2500))</f>
      </c>
      <c r="G1286" s="36">
        <f>IF($D1286="","",ROUND($D1286-IF($F1286="",0,$F1286),2))</f>
      </c>
      <c r="H1286" s="35">
        <f>IF(OR($D1286="",$K1286=""),"",COUNTIF(Payments!$G$5:$G$2500,$K1286))</f>
      </c>
      <c r="I1286" s="37">
        <f>IF($D1286="","",IF(OR($F1286="",$F1286=0),"Pending",IF(ROUND($F1286-$D1286,2)&gt;0,"Overpaid",IF(ROUND($F1286-$D1286,2)=0,"Paid","Partial"))))</f>
      </c>
      <c r="J1286" s="29"/>
      <c r="K1286">
        <f>IF($A1286="","","#"&amp;TRIM(SUBSTITUTE(SUBSTITUTE(SUBSTITUTE(SUBSTITUTE(SUBSTITUTE(SUBSTITUTE($A1286,"-",""),"(",""),")",""),".",""),"+","")," ","")))</f>
      </c>
    </row>
    <row r="1287" spans="1:11" x14ac:dyDescent="0.3">
      <c r="A1287" s="28"/>
      <c r="B1287" s="29"/>
      <c r="C1287" s="30"/>
      <c r="D1287" s="31"/>
      <c r="E1287" s="33">
        <f>IF(OR($D1287="",$K1287=""),"",IF(COUNTIFS(Payments!$G$5:$G$2500,$K1287,Payments!$C$5:$C$2500,"&lt;&gt;")=0,"",_xlfn.MAXIFS(Payments!$C$5:$C$2500,Payments!$G$5:$G$2500,$K1287)))</f>
      </c>
      <c r="F1287" s="34">
        <f>IF(OR($D1287="",$K1287=""),"",SUMIF(Payments!$G$5:$G$2500,$K1287,Payments!$D$5:$D$2500))</f>
      </c>
      <c r="G1287" s="36">
        <f>IF($D1287="","",ROUND($D1287-IF($F1287="",0,$F1287),2))</f>
      </c>
      <c r="H1287" s="35">
        <f>IF(OR($D1287="",$K1287=""),"",COUNTIF(Payments!$G$5:$G$2500,$K1287))</f>
      </c>
      <c r="I1287" s="37">
        <f>IF($D1287="","",IF(OR($F1287="",$F1287=0),"Pending",IF(ROUND($F1287-$D1287,2)&gt;0,"Overpaid",IF(ROUND($F1287-$D1287,2)=0,"Paid","Partial"))))</f>
      </c>
      <c r="J1287" s="29"/>
      <c r="K1287">
        <f>IF($A1287="","","#"&amp;TRIM(SUBSTITUTE(SUBSTITUTE(SUBSTITUTE(SUBSTITUTE(SUBSTITUTE(SUBSTITUTE($A1287,"-",""),"(",""),")",""),".",""),"+","")," ","")))</f>
      </c>
    </row>
    <row r="1288" spans="1:11" x14ac:dyDescent="0.3">
      <c r="A1288" s="28"/>
      <c r="B1288" s="29"/>
      <c r="C1288" s="30"/>
      <c r="D1288" s="31"/>
      <c r="E1288" s="33">
        <f>IF(OR($D1288="",$K1288=""),"",IF(COUNTIFS(Payments!$G$5:$G$2500,$K1288,Payments!$C$5:$C$2500,"&lt;&gt;")=0,"",_xlfn.MAXIFS(Payments!$C$5:$C$2500,Payments!$G$5:$G$2500,$K1288)))</f>
      </c>
      <c r="F1288" s="34">
        <f>IF(OR($D1288="",$K1288=""),"",SUMIF(Payments!$G$5:$G$2500,$K1288,Payments!$D$5:$D$2500))</f>
      </c>
      <c r="G1288" s="36">
        <f>IF($D1288="","",ROUND($D1288-IF($F1288="",0,$F1288),2))</f>
      </c>
      <c r="H1288" s="35">
        <f>IF(OR($D1288="",$K1288=""),"",COUNTIF(Payments!$G$5:$G$2500,$K1288))</f>
      </c>
      <c r="I1288" s="37">
        <f>IF($D1288="","",IF(OR($F1288="",$F1288=0),"Pending",IF(ROUND($F1288-$D1288,2)&gt;0,"Overpaid",IF(ROUND($F1288-$D1288,2)=0,"Paid","Partial"))))</f>
      </c>
      <c r="J1288" s="29"/>
      <c r="K1288">
        <f>IF($A1288="","","#"&amp;TRIM(SUBSTITUTE(SUBSTITUTE(SUBSTITUTE(SUBSTITUTE(SUBSTITUTE(SUBSTITUTE($A1288,"-",""),"(",""),")",""),".",""),"+","")," ","")))</f>
      </c>
    </row>
    <row r="1289" spans="1:11" x14ac:dyDescent="0.3">
      <c r="A1289" s="28"/>
      <c r="B1289" s="29"/>
      <c r="C1289" s="30"/>
      <c r="D1289" s="31"/>
      <c r="E1289" s="33">
        <f>IF(OR($D1289="",$K1289=""),"",IF(COUNTIFS(Payments!$G$5:$G$2500,$K1289,Payments!$C$5:$C$2500,"&lt;&gt;")=0,"",_xlfn.MAXIFS(Payments!$C$5:$C$2500,Payments!$G$5:$G$2500,$K1289)))</f>
      </c>
      <c r="F1289" s="34">
        <f>IF(OR($D1289="",$K1289=""),"",SUMIF(Payments!$G$5:$G$2500,$K1289,Payments!$D$5:$D$2500))</f>
      </c>
      <c r="G1289" s="36">
        <f>IF($D1289="","",ROUND($D1289-IF($F1289="",0,$F1289),2))</f>
      </c>
      <c r="H1289" s="35">
        <f>IF(OR($D1289="",$K1289=""),"",COUNTIF(Payments!$G$5:$G$2500,$K1289))</f>
      </c>
      <c r="I1289" s="37">
        <f>IF($D1289="","",IF(OR($F1289="",$F1289=0),"Pending",IF(ROUND($F1289-$D1289,2)&gt;0,"Overpaid",IF(ROUND($F1289-$D1289,2)=0,"Paid","Partial"))))</f>
      </c>
      <c r="J1289" s="29"/>
      <c r="K1289">
        <f>IF($A1289="","","#"&amp;TRIM(SUBSTITUTE(SUBSTITUTE(SUBSTITUTE(SUBSTITUTE(SUBSTITUTE(SUBSTITUTE($A1289,"-",""),"(",""),")",""),".",""),"+","")," ","")))</f>
      </c>
    </row>
    <row r="1290" spans="1:11" x14ac:dyDescent="0.3">
      <c r="A1290" s="28"/>
      <c r="B1290" s="29"/>
      <c r="C1290" s="30"/>
      <c r="D1290" s="31"/>
      <c r="E1290" s="33">
        <f>IF(OR($D1290="",$K1290=""),"",IF(COUNTIFS(Payments!$G$5:$G$2500,$K1290,Payments!$C$5:$C$2500,"&lt;&gt;")=0,"",_xlfn.MAXIFS(Payments!$C$5:$C$2500,Payments!$G$5:$G$2500,$K1290)))</f>
      </c>
      <c r="F1290" s="34">
        <f>IF(OR($D1290="",$K1290=""),"",SUMIF(Payments!$G$5:$G$2500,$K1290,Payments!$D$5:$D$2500))</f>
      </c>
      <c r="G1290" s="36">
        <f>IF($D1290="","",ROUND($D1290-IF($F1290="",0,$F1290),2))</f>
      </c>
      <c r="H1290" s="35">
        <f>IF(OR($D1290="",$K1290=""),"",COUNTIF(Payments!$G$5:$G$2500,$K1290))</f>
      </c>
      <c r="I1290" s="37">
        <f>IF($D1290="","",IF(OR($F1290="",$F1290=0),"Pending",IF(ROUND($F1290-$D1290,2)&gt;0,"Overpaid",IF(ROUND($F1290-$D1290,2)=0,"Paid","Partial"))))</f>
      </c>
      <c r="J1290" s="29"/>
      <c r="K1290">
        <f>IF($A1290="","","#"&amp;TRIM(SUBSTITUTE(SUBSTITUTE(SUBSTITUTE(SUBSTITUTE(SUBSTITUTE(SUBSTITUTE($A1290,"-",""),"(",""),")",""),".",""),"+","")," ","")))</f>
      </c>
    </row>
    <row r="1291" spans="1:11" x14ac:dyDescent="0.3">
      <c r="A1291" s="28"/>
      <c r="B1291" s="29"/>
      <c r="C1291" s="30"/>
      <c r="D1291" s="31"/>
      <c r="E1291" s="33">
        <f>IF(OR($D1291="",$K1291=""),"",IF(COUNTIFS(Payments!$G$5:$G$2500,$K1291,Payments!$C$5:$C$2500,"&lt;&gt;")=0,"",_xlfn.MAXIFS(Payments!$C$5:$C$2500,Payments!$G$5:$G$2500,$K1291)))</f>
      </c>
      <c r="F1291" s="34">
        <f>IF(OR($D1291="",$K1291=""),"",SUMIF(Payments!$G$5:$G$2500,$K1291,Payments!$D$5:$D$2500))</f>
      </c>
      <c r="G1291" s="36">
        <f>IF($D1291="","",ROUND($D1291-IF($F1291="",0,$F1291),2))</f>
      </c>
      <c r="H1291" s="35">
        <f>IF(OR($D1291="",$K1291=""),"",COUNTIF(Payments!$G$5:$G$2500,$K1291))</f>
      </c>
      <c r="I1291" s="37">
        <f>IF($D1291="","",IF(OR($F1291="",$F1291=0),"Pending",IF(ROUND($F1291-$D1291,2)&gt;0,"Overpaid",IF(ROUND($F1291-$D1291,2)=0,"Paid","Partial"))))</f>
      </c>
      <c r="J1291" s="29"/>
      <c r="K1291">
        <f>IF($A1291="","","#"&amp;TRIM(SUBSTITUTE(SUBSTITUTE(SUBSTITUTE(SUBSTITUTE(SUBSTITUTE(SUBSTITUTE($A1291,"-",""),"(",""),")",""),".",""),"+","")," ","")))</f>
      </c>
    </row>
    <row r="1292" spans="1:11" x14ac:dyDescent="0.3">
      <c r="A1292" s="28"/>
      <c r="B1292" s="29"/>
      <c r="C1292" s="30"/>
      <c r="D1292" s="31"/>
      <c r="E1292" s="33">
        <f>IF(OR($D1292="",$K1292=""),"",IF(COUNTIFS(Payments!$G$5:$G$2500,$K1292,Payments!$C$5:$C$2500,"&lt;&gt;")=0,"",_xlfn.MAXIFS(Payments!$C$5:$C$2500,Payments!$G$5:$G$2500,$K1292)))</f>
      </c>
      <c r="F1292" s="34">
        <f>IF(OR($D1292="",$K1292=""),"",SUMIF(Payments!$G$5:$G$2500,$K1292,Payments!$D$5:$D$2500))</f>
      </c>
      <c r="G1292" s="36">
        <f>IF($D1292="","",ROUND($D1292-IF($F1292="",0,$F1292),2))</f>
      </c>
      <c r="H1292" s="35">
        <f>IF(OR($D1292="",$K1292=""),"",COUNTIF(Payments!$G$5:$G$2500,$K1292))</f>
      </c>
      <c r="I1292" s="37">
        <f>IF($D1292="","",IF(OR($F1292="",$F1292=0),"Pending",IF(ROUND($F1292-$D1292,2)&gt;0,"Overpaid",IF(ROUND($F1292-$D1292,2)=0,"Paid","Partial"))))</f>
      </c>
      <c r="J1292" s="29"/>
      <c r="K1292">
        <f>IF($A1292="","","#"&amp;TRIM(SUBSTITUTE(SUBSTITUTE(SUBSTITUTE(SUBSTITUTE(SUBSTITUTE(SUBSTITUTE($A1292,"-",""),"(",""),")",""),".",""),"+","")," ","")))</f>
      </c>
    </row>
    <row r="1293" spans="1:11" x14ac:dyDescent="0.3">
      <c r="A1293" s="28"/>
      <c r="B1293" s="29"/>
      <c r="C1293" s="30"/>
      <c r="D1293" s="31"/>
      <c r="E1293" s="33">
        <f>IF(OR($D1293="",$K1293=""),"",IF(COUNTIFS(Payments!$G$5:$G$2500,$K1293,Payments!$C$5:$C$2500,"&lt;&gt;")=0,"",_xlfn.MAXIFS(Payments!$C$5:$C$2500,Payments!$G$5:$G$2500,$K1293)))</f>
      </c>
      <c r="F1293" s="34">
        <f>IF(OR($D1293="",$K1293=""),"",SUMIF(Payments!$G$5:$G$2500,$K1293,Payments!$D$5:$D$2500))</f>
      </c>
      <c r="G1293" s="36">
        <f>IF($D1293="","",ROUND($D1293-IF($F1293="",0,$F1293),2))</f>
      </c>
      <c r="H1293" s="35">
        <f>IF(OR($D1293="",$K1293=""),"",COUNTIF(Payments!$G$5:$G$2500,$K1293))</f>
      </c>
      <c r="I1293" s="37">
        <f>IF($D1293="","",IF(OR($F1293="",$F1293=0),"Pending",IF(ROUND($F1293-$D1293,2)&gt;0,"Overpaid",IF(ROUND($F1293-$D1293,2)=0,"Paid","Partial"))))</f>
      </c>
      <c r="J1293" s="29"/>
      <c r="K1293">
        <f>IF($A1293="","","#"&amp;TRIM(SUBSTITUTE(SUBSTITUTE(SUBSTITUTE(SUBSTITUTE(SUBSTITUTE(SUBSTITUTE($A1293,"-",""),"(",""),")",""),".",""),"+","")," ","")))</f>
      </c>
    </row>
    <row r="1294" spans="1:11" x14ac:dyDescent="0.3">
      <c r="A1294" s="28"/>
      <c r="B1294" s="29"/>
      <c r="C1294" s="30"/>
      <c r="D1294" s="31"/>
      <c r="E1294" s="33">
        <f>IF(OR($D1294="",$K1294=""),"",IF(COUNTIFS(Payments!$G$5:$G$2500,$K1294,Payments!$C$5:$C$2500,"&lt;&gt;")=0,"",_xlfn.MAXIFS(Payments!$C$5:$C$2500,Payments!$G$5:$G$2500,$K1294)))</f>
      </c>
      <c r="F1294" s="34">
        <f>IF(OR($D1294="",$K1294=""),"",SUMIF(Payments!$G$5:$G$2500,$K1294,Payments!$D$5:$D$2500))</f>
      </c>
      <c r="G1294" s="36">
        <f>IF($D1294="","",ROUND($D1294-IF($F1294="",0,$F1294),2))</f>
      </c>
      <c r="H1294" s="35">
        <f>IF(OR($D1294="",$K1294=""),"",COUNTIF(Payments!$G$5:$G$2500,$K1294))</f>
      </c>
      <c r="I1294" s="37">
        <f>IF($D1294="","",IF(OR($F1294="",$F1294=0),"Pending",IF(ROUND($F1294-$D1294,2)&gt;0,"Overpaid",IF(ROUND($F1294-$D1294,2)=0,"Paid","Partial"))))</f>
      </c>
      <c r="J1294" s="29"/>
      <c r="K1294">
        <f>IF($A1294="","","#"&amp;TRIM(SUBSTITUTE(SUBSTITUTE(SUBSTITUTE(SUBSTITUTE(SUBSTITUTE(SUBSTITUTE($A1294,"-",""),"(",""),")",""),".",""),"+","")," ","")))</f>
      </c>
    </row>
    <row r="1295" spans="1:11" x14ac:dyDescent="0.3">
      <c r="A1295" s="28"/>
      <c r="B1295" s="29"/>
      <c r="C1295" s="30"/>
      <c r="D1295" s="31"/>
      <c r="E1295" s="33">
        <f>IF(OR($D1295="",$K1295=""),"",IF(COUNTIFS(Payments!$G$5:$G$2500,$K1295,Payments!$C$5:$C$2500,"&lt;&gt;")=0,"",_xlfn.MAXIFS(Payments!$C$5:$C$2500,Payments!$G$5:$G$2500,$K1295)))</f>
      </c>
      <c r="F1295" s="34">
        <f>IF(OR($D1295="",$K1295=""),"",SUMIF(Payments!$G$5:$G$2500,$K1295,Payments!$D$5:$D$2500))</f>
      </c>
      <c r="G1295" s="36">
        <f>IF($D1295="","",ROUND($D1295-IF($F1295="",0,$F1295),2))</f>
      </c>
      <c r="H1295" s="35">
        <f>IF(OR($D1295="",$K1295=""),"",COUNTIF(Payments!$G$5:$G$2500,$K1295))</f>
      </c>
      <c r="I1295" s="37">
        <f>IF($D1295="","",IF(OR($F1295="",$F1295=0),"Pending",IF(ROUND($F1295-$D1295,2)&gt;0,"Overpaid",IF(ROUND($F1295-$D1295,2)=0,"Paid","Partial"))))</f>
      </c>
      <c r="J1295" s="29"/>
      <c r="K1295">
        <f>IF($A1295="","","#"&amp;TRIM(SUBSTITUTE(SUBSTITUTE(SUBSTITUTE(SUBSTITUTE(SUBSTITUTE(SUBSTITUTE($A1295,"-",""),"(",""),")",""),".",""),"+","")," ","")))</f>
      </c>
    </row>
    <row r="1296" spans="1:11" x14ac:dyDescent="0.3">
      <c r="A1296" s="28"/>
      <c r="B1296" s="29"/>
      <c r="C1296" s="30"/>
      <c r="D1296" s="31"/>
      <c r="E1296" s="33">
        <f>IF(OR($D1296="",$K1296=""),"",IF(COUNTIFS(Payments!$G$5:$G$2500,$K1296,Payments!$C$5:$C$2500,"&lt;&gt;")=0,"",_xlfn.MAXIFS(Payments!$C$5:$C$2500,Payments!$G$5:$G$2500,$K1296)))</f>
      </c>
      <c r="F1296" s="34">
        <f>IF(OR($D1296="",$K1296=""),"",SUMIF(Payments!$G$5:$G$2500,$K1296,Payments!$D$5:$D$2500))</f>
      </c>
      <c r="G1296" s="36">
        <f>IF($D1296="","",ROUND($D1296-IF($F1296="",0,$F1296),2))</f>
      </c>
      <c r="H1296" s="35">
        <f>IF(OR($D1296="",$K1296=""),"",COUNTIF(Payments!$G$5:$G$2500,$K1296))</f>
      </c>
      <c r="I1296" s="37">
        <f>IF($D1296="","",IF(OR($F1296="",$F1296=0),"Pending",IF(ROUND($F1296-$D1296,2)&gt;0,"Overpaid",IF(ROUND($F1296-$D1296,2)=0,"Paid","Partial"))))</f>
      </c>
      <c r="J1296" s="29"/>
      <c r="K1296">
        <f>IF($A1296="","","#"&amp;TRIM(SUBSTITUTE(SUBSTITUTE(SUBSTITUTE(SUBSTITUTE(SUBSTITUTE(SUBSTITUTE($A1296,"-",""),"(",""),")",""),".",""),"+","")," ","")))</f>
      </c>
    </row>
    <row r="1297" spans="1:11" x14ac:dyDescent="0.3">
      <c r="A1297" s="28"/>
      <c r="B1297" s="29"/>
      <c r="C1297" s="30"/>
      <c r="D1297" s="31"/>
      <c r="E1297" s="33">
        <f>IF(OR($D1297="",$K1297=""),"",IF(COUNTIFS(Payments!$G$5:$G$2500,$K1297,Payments!$C$5:$C$2500,"&lt;&gt;")=0,"",_xlfn.MAXIFS(Payments!$C$5:$C$2500,Payments!$G$5:$G$2500,$K1297)))</f>
      </c>
      <c r="F1297" s="34">
        <f>IF(OR($D1297="",$K1297=""),"",SUMIF(Payments!$G$5:$G$2500,$K1297,Payments!$D$5:$D$2500))</f>
      </c>
      <c r="G1297" s="36">
        <f>IF($D1297="","",ROUND($D1297-IF($F1297="",0,$F1297),2))</f>
      </c>
      <c r="H1297" s="35">
        <f>IF(OR($D1297="",$K1297=""),"",COUNTIF(Payments!$G$5:$G$2500,$K1297))</f>
      </c>
      <c r="I1297" s="37">
        <f>IF($D1297="","",IF(OR($F1297="",$F1297=0),"Pending",IF(ROUND($F1297-$D1297,2)&gt;0,"Overpaid",IF(ROUND($F1297-$D1297,2)=0,"Paid","Partial"))))</f>
      </c>
      <c r="J1297" s="29"/>
      <c r="K1297">
        <f>IF($A1297="","","#"&amp;TRIM(SUBSTITUTE(SUBSTITUTE(SUBSTITUTE(SUBSTITUTE(SUBSTITUTE(SUBSTITUTE($A1297,"-",""),"(",""),")",""),".",""),"+","")," ","")))</f>
      </c>
    </row>
    <row r="1298" spans="1:11" x14ac:dyDescent="0.3">
      <c r="A1298" s="28"/>
      <c r="B1298" s="29"/>
      <c r="C1298" s="30"/>
      <c r="D1298" s="31"/>
      <c r="E1298" s="33">
        <f>IF(OR($D1298="",$K1298=""),"",IF(COUNTIFS(Payments!$G$5:$G$2500,$K1298,Payments!$C$5:$C$2500,"&lt;&gt;")=0,"",_xlfn.MAXIFS(Payments!$C$5:$C$2500,Payments!$G$5:$G$2500,$K1298)))</f>
      </c>
      <c r="F1298" s="34">
        <f>IF(OR($D1298="",$K1298=""),"",SUMIF(Payments!$G$5:$G$2500,$K1298,Payments!$D$5:$D$2500))</f>
      </c>
      <c r="G1298" s="36">
        <f>IF($D1298="","",ROUND($D1298-IF($F1298="",0,$F1298),2))</f>
      </c>
      <c r="H1298" s="35">
        <f>IF(OR($D1298="",$K1298=""),"",COUNTIF(Payments!$G$5:$G$2500,$K1298))</f>
      </c>
      <c r="I1298" s="37">
        <f>IF($D1298="","",IF(OR($F1298="",$F1298=0),"Pending",IF(ROUND($F1298-$D1298,2)&gt;0,"Overpaid",IF(ROUND($F1298-$D1298,2)=0,"Paid","Partial"))))</f>
      </c>
      <c r="J1298" s="29"/>
      <c r="K1298">
        <f>IF($A1298="","","#"&amp;TRIM(SUBSTITUTE(SUBSTITUTE(SUBSTITUTE(SUBSTITUTE(SUBSTITUTE(SUBSTITUTE($A1298,"-",""),"(",""),")",""),".",""),"+","")," ","")))</f>
      </c>
    </row>
    <row r="1299" spans="1:11" x14ac:dyDescent="0.3">
      <c r="A1299" s="28"/>
      <c r="B1299" s="29"/>
      <c r="C1299" s="30"/>
      <c r="D1299" s="31"/>
      <c r="E1299" s="33">
        <f>IF(OR($D1299="",$K1299=""),"",IF(COUNTIFS(Payments!$G$5:$G$2500,$K1299,Payments!$C$5:$C$2500,"&lt;&gt;")=0,"",_xlfn.MAXIFS(Payments!$C$5:$C$2500,Payments!$G$5:$G$2500,$K1299)))</f>
      </c>
      <c r="F1299" s="34">
        <f>IF(OR($D1299="",$K1299=""),"",SUMIF(Payments!$G$5:$G$2500,$K1299,Payments!$D$5:$D$2500))</f>
      </c>
      <c r="G1299" s="36">
        <f>IF($D1299="","",ROUND($D1299-IF($F1299="",0,$F1299),2))</f>
      </c>
      <c r="H1299" s="35">
        <f>IF(OR($D1299="",$K1299=""),"",COUNTIF(Payments!$G$5:$G$2500,$K1299))</f>
      </c>
      <c r="I1299" s="37">
        <f>IF($D1299="","",IF(OR($F1299="",$F1299=0),"Pending",IF(ROUND($F1299-$D1299,2)&gt;0,"Overpaid",IF(ROUND($F1299-$D1299,2)=0,"Paid","Partial"))))</f>
      </c>
      <c r="J1299" s="29"/>
      <c r="K1299">
        <f>IF($A1299="","","#"&amp;TRIM(SUBSTITUTE(SUBSTITUTE(SUBSTITUTE(SUBSTITUTE(SUBSTITUTE(SUBSTITUTE($A1299,"-",""),"(",""),")",""),".",""),"+","")," ","")))</f>
      </c>
    </row>
    <row r="1300" spans="1:11" x14ac:dyDescent="0.3">
      <c r="A1300" s="28"/>
      <c r="B1300" s="29"/>
      <c r="C1300" s="30"/>
      <c r="D1300" s="31"/>
      <c r="E1300" s="33">
        <f>IF(OR($D1300="",$K1300=""),"",IF(COUNTIFS(Payments!$G$5:$G$2500,$K1300,Payments!$C$5:$C$2500,"&lt;&gt;")=0,"",_xlfn.MAXIFS(Payments!$C$5:$C$2500,Payments!$G$5:$G$2500,$K1300)))</f>
      </c>
      <c r="F1300" s="34">
        <f>IF(OR($D1300="",$K1300=""),"",SUMIF(Payments!$G$5:$G$2500,$K1300,Payments!$D$5:$D$2500))</f>
      </c>
      <c r="G1300" s="36">
        <f>IF($D1300="","",ROUND($D1300-IF($F1300="",0,$F1300),2))</f>
      </c>
      <c r="H1300" s="35">
        <f>IF(OR($D1300="",$K1300=""),"",COUNTIF(Payments!$G$5:$G$2500,$K1300))</f>
      </c>
      <c r="I1300" s="37">
        <f>IF($D1300="","",IF(OR($F1300="",$F1300=0),"Pending",IF(ROUND($F1300-$D1300,2)&gt;0,"Overpaid",IF(ROUND($F1300-$D1300,2)=0,"Paid","Partial"))))</f>
      </c>
      <c r="J1300" s="29"/>
      <c r="K1300">
        <f>IF($A1300="","","#"&amp;TRIM(SUBSTITUTE(SUBSTITUTE(SUBSTITUTE(SUBSTITUTE(SUBSTITUTE(SUBSTITUTE($A1300,"-",""),"(",""),")",""),".",""),"+","")," ","")))</f>
      </c>
    </row>
    <row r="1301" spans="1:11" x14ac:dyDescent="0.3">
      <c r="A1301" s="28"/>
      <c r="B1301" s="29"/>
      <c r="C1301" s="30"/>
      <c r="D1301" s="31"/>
      <c r="E1301" s="33">
        <f>IF(OR($D1301="",$K1301=""),"",IF(COUNTIFS(Payments!$G$5:$G$2500,$K1301,Payments!$C$5:$C$2500,"&lt;&gt;")=0,"",_xlfn.MAXIFS(Payments!$C$5:$C$2500,Payments!$G$5:$G$2500,$K1301)))</f>
      </c>
      <c r="F1301" s="34">
        <f>IF(OR($D1301="",$K1301=""),"",SUMIF(Payments!$G$5:$G$2500,$K1301,Payments!$D$5:$D$2500))</f>
      </c>
      <c r="G1301" s="36">
        <f>IF($D1301="","",ROUND($D1301-IF($F1301="",0,$F1301),2))</f>
      </c>
      <c r="H1301" s="35">
        <f>IF(OR($D1301="",$K1301=""),"",COUNTIF(Payments!$G$5:$G$2500,$K1301))</f>
      </c>
      <c r="I1301" s="37">
        <f>IF($D1301="","",IF(OR($F1301="",$F1301=0),"Pending",IF(ROUND($F1301-$D1301,2)&gt;0,"Overpaid",IF(ROUND($F1301-$D1301,2)=0,"Paid","Partial"))))</f>
      </c>
      <c r="J1301" s="29"/>
      <c r="K1301">
        <f>IF($A1301="","","#"&amp;TRIM(SUBSTITUTE(SUBSTITUTE(SUBSTITUTE(SUBSTITUTE(SUBSTITUTE(SUBSTITUTE($A1301,"-",""),"(",""),")",""),".",""),"+","")," ","")))</f>
      </c>
    </row>
    <row r="1302" spans="1:11" x14ac:dyDescent="0.3">
      <c r="A1302" s="28"/>
      <c r="B1302" s="29"/>
      <c r="C1302" s="30"/>
      <c r="D1302" s="31"/>
      <c r="E1302" s="33">
        <f>IF(OR($D1302="",$K1302=""),"",IF(COUNTIFS(Payments!$G$5:$G$2500,$K1302,Payments!$C$5:$C$2500,"&lt;&gt;")=0,"",_xlfn.MAXIFS(Payments!$C$5:$C$2500,Payments!$G$5:$G$2500,$K1302)))</f>
      </c>
      <c r="F1302" s="34">
        <f>IF(OR($D1302="",$K1302=""),"",SUMIF(Payments!$G$5:$G$2500,$K1302,Payments!$D$5:$D$2500))</f>
      </c>
      <c r="G1302" s="36">
        <f>IF($D1302="","",ROUND($D1302-IF($F1302="",0,$F1302),2))</f>
      </c>
      <c r="H1302" s="35">
        <f>IF(OR($D1302="",$K1302=""),"",COUNTIF(Payments!$G$5:$G$2500,$K1302))</f>
      </c>
      <c r="I1302" s="37">
        <f>IF($D1302="","",IF(OR($F1302="",$F1302=0),"Pending",IF(ROUND($F1302-$D1302,2)&gt;0,"Overpaid",IF(ROUND($F1302-$D1302,2)=0,"Paid","Partial"))))</f>
      </c>
      <c r="J1302" s="29"/>
      <c r="K1302">
        <f>IF($A1302="","","#"&amp;TRIM(SUBSTITUTE(SUBSTITUTE(SUBSTITUTE(SUBSTITUTE(SUBSTITUTE(SUBSTITUTE($A1302,"-",""),"(",""),")",""),".",""),"+","")," ","")))</f>
      </c>
    </row>
    <row r="1303" spans="1:11" x14ac:dyDescent="0.3">
      <c r="A1303" s="28"/>
      <c r="B1303" s="29"/>
      <c r="C1303" s="30"/>
      <c r="D1303" s="31"/>
      <c r="E1303" s="33">
        <f>IF(OR($D1303="",$K1303=""),"",IF(COUNTIFS(Payments!$G$5:$G$2500,$K1303,Payments!$C$5:$C$2500,"&lt;&gt;")=0,"",_xlfn.MAXIFS(Payments!$C$5:$C$2500,Payments!$G$5:$G$2500,$K1303)))</f>
      </c>
      <c r="F1303" s="34">
        <f>IF(OR($D1303="",$K1303=""),"",SUMIF(Payments!$G$5:$G$2500,$K1303,Payments!$D$5:$D$2500))</f>
      </c>
      <c r="G1303" s="36">
        <f>IF($D1303="","",ROUND($D1303-IF($F1303="",0,$F1303),2))</f>
      </c>
      <c r="H1303" s="35">
        <f>IF(OR($D1303="",$K1303=""),"",COUNTIF(Payments!$G$5:$G$2500,$K1303))</f>
      </c>
      <c r="I1303" s="37">
        <f>IF($D1303="","",IF(OR($F1303="",$F1303=0),"Pending",IF(ROUND($F1303-$D1303,2)&gt;0,"Overpaid",IF(ROUND($F1303-$D1303,2)=0,"Paid","Partial"))))</f>
      </c>
      <c r="J1303" s="29"/>
      <c r="K1303">
        <f>IF($A1303="","","#"&amp;TRIM(SUBSTITUTE(SUBSTITUTE(SUBSTITUTE(SUBSTITUTE(SUBSTITUTE(SUBSTITUTE($A1303,"-",""),"(",""),")",""),".",""),"+","")," ","")))</f>
      </c>
    </row>
    <row r="1304" spans="1:11" x14ac:dyDescent="0.3">
      <c r="A1304" s="28"/>
      <c r="B1304" s="29"/>
      <c r="C1304" s="30"/>
      <c r="D1304" s="31"/>
      <c r="E1304" s="33">
        <f>IF(OR($D1304="",$K1304=""),"",IF(COUNTIFS(Payments!$G$5:$G$2500,$K1304,Payments!$C$5:$C$2500,"&lt;&gt;")=0,"",_xlfn.MAXIFS(Payments!$C$5:$C$2500,Payments!$G$5:$G$2500,$K1304)))</f>
      </c>
      <c r="F1304" s="34">
        <f>IF(OR($D1304="",$K1304=""),"",SUMIF(Payments!$G$5:$G$2500,$K1304,Payments!$D$5:$D$2500))</f>
      </c>
      <c r="G1304" s="36">
        <f>IF($D1304="","",ROUND($D1304-IF($F1304="",0,$F1304),2))</f>
      </c>
      <c r="H1304" s="35">
        <f>IF(OR($D1304="",$K1304=""),"",COUNTIF(Payments!$G$5:$G$2500,$K1304))</f>
      </c>
      <c r="I1304" s="37">
        <f>IF($D1304="","",IF(OR($F1304="",$F1304=0),"Pending",IF(ROUND($F1304-$D1304,2)&gt;0,"Overpaid",IF(ROUND($F1304-$D1304,2)=0,"Paid","Partial"))))</f>
      </c>
      <c r="J1304" s="29"/>
      <c r="K1304">
        <f>IF($A1304="","","#"&amp;TRIM(SUBSTITUTE(SUBSTITUTE(SUBSTITUTE(SUBSTITUTE(SUBSTITUTE(SUBSTITUTE($A1304,"-",""),"(",""),")",""),".",""),"+","")," ","")))</f>
      </c>
    </row>
    <row r="1305" spans="1:11" x14ac:dyDescent="0.3">
      <c r="A1305" s="28"/>
      <c r="B1305" s="29"/>
      <c r="C1305" s="30"/>
      <c r="D1305" s="31"/>
      <c r="E1305" s="33">
        <f>IF(OR($D1305="",$K1305=""),"",IF(COUNTIFS(Payments!$G$5:$G$2500,$K1305,Payments!$C$5:$C$2500,"&lt;&gt;")=0,"",_xlfn.MAXIFS(Payments!$C$5:$C$2500,Payments!$G$5:$G$2500,$K1305)))</f>
      </c>
      <c r="F1305" s="34">
        <f>IF(OR($D1305="",$K1305=""),"",SUMIF(Payments!$G$5:$G$2500,$K1305,Payments!$D$5:$D$2500))</f>
      </c>
      <c r="G1305" s="36">
        <f>IF($D1305="","",ROUND($D1305-IF($F1305="",0,$F1305),2))</f>
      </c>
      <c r="H1305" s="35">
        <f>IF(OR($D1305="",$K1305=""),"",COUNTIF(Payments!$G$5:$G$2500,$K1305))</f>
      </c>
      <c r="I1305" s="37">
        <f>IF($D1305="","",IF(OR($F1305="",$F1305=0),"Pending",IF(ROUND($F1305-$D1305,2)&gt;0,"Overpaid",IF(ROUND($F1305-$D1305,2)=0,"Paid","Partial"))))</f>
      </c>
      <c r="J1305" s="29"/>
      <c r="K1305">
        <f>IF($A1305="","","#"&amp;TRIM(SUBSTITUTE(SUBSTITUTE(SUBSTITUTE(SUBSTITUTE(SUBSTITUTE(SUBSTITUTE($A1305,"-",""),"(",""),")",""),".",""),"+","")," ","")))</f>
      </c>
    </row>
    <row r="1306" spans="1:11" x14ac:dyDescent="0.3">
      <c r="A1306" s="28"/>
      <c r="B1306" s="29"/>
      <c r="C1306" s="30"/>
      <c r="D1306" s="31"/>
      <c r="E1306" s="33">
        <f>IF(OR($D1306="",$K1306=""),"",IF(COUNTIFS(Payments!$G$5:$G$2500,$K1306,Payments!$C$5:$C$2500,"&lt;&gt;")=0,"",_xlfn.MAXIFS(Payments!$C$5:$C$2500,Payments!$G$5:$G$2500,$K1306)))</f>
      </c>
      <c r="F1306" s="34">
        <f>IF(OR($D1306="",$K1306=""),"",SUMIF(Payments!$G$5:$G$2500,$K1306,Payments!$D$5:$D$2500))</f>
      </c>
      <c r="G1306" s="36">
        <f>IF($D1306="","",ROUND($D1306-IF($F1306="",0,$F1306),2))</f>
      </c>
      <c r="H1306" s="35">
        <f>IF(OR($D1306="",$K1306=""),"",COUNTIF(Payments!$G$5:$G$2500,$K1306))</f>
      </c>
      <c r="I1306" s="37">
        <f>IF($D1306="","",IF(OR($F1306="",$F1306=0),"Pending",IF(ROUND($F1306-$D1306,2)&gt;0,"Overpaid",IF(ROUND($F1306-$D1306,2)=0,"Paid","Partial"))))</f>
      </c>
      <c r="J1306" s="29"/>
      <c r="K1306">
        <f>IF($A1306="","","#"&amp;TRIM(SUBSTITUTE(SUBSTITUTE(SUBSTITUTE(SUBSTITUTE(SUBSTITUTE(SUBSTITUTE($A1306,"-",""),"(",""),")",""),".",""),"+","")," ","")))</f>
      </c>
    </row>
    <row r="1307" spans="1:11" x14ac:dyDescent="0.3">
      <c r="A1307" s="28"/>
      <c r="B1307" s="29"/>
      <c r="C1307" s="30"/>
      <c r="D1307" s="31"/>
      <c r="E1307" s="33">
        <f>IF(OR($D1307="",$K1307=""),"",IF(COUNTIFS(Payments!$G$5:$G$2500,$K1307,Payments!$C$5:$C$2500,"&lt;&gt;")=0,"",_xlfn.MAXIFS(Payments!$C$5:$C$2500,Payments!$G$5:$G$2500,$K1307)))</f>
      </c>
      <c r="F1307" s="34">
        <f>IF(OR($D1307="",$K1307=""),"",SUMIF(Payments!$G$5:$G$2500,$K1307,Payments!$D$5:$D$2500))</f>
      </c>
      <c r="G1307" s="36">
        <f>IF($D1307="","",ROUND($D1307-IF($F1307="",0,$F1307),2))</f>
      </c>
      <c r="H1307" s="35">
        <f>IF(OR($D1307="",$K1307=""),"",COUNTIF(Payments!$G$5:$G$2500,$K1307))</f>
      </c>
      <c r="I1307" s="37">
        <f>IF($D1307="","",IF(OR($F1307="",$F1307=0),"Pending",IF(ROUND($F1307-$D1307,2)&gt;0,"Overpaid",IF(ROUND($F1307-$D1307,2)=0,"Paid","Partial"))))</f>
      </c>
      <c r="J1307" s="29"/>
      <c r="K1307">
        <f>IF($A1307="","","#"&amp;TRIM(SUBSTITUTE(SUBSTITUTE(SUBSTITUTE(SUBSTITUTE(SUBSTITUTE(SUBSTITUTE($A1307,"-",""),"(",""),")",""),".",""),"+","")," ","")))</f>
      </c>
    </row>
    <row r="1308" spans="1:11" x14ac:dyDescent="0.3">
      <c r="A1308" s="28"/>
      <c r="B1308" s="29"/>
      <c r="C1308" s="30"/>
      <c r="D1308" s="31"/>
      <c r="E1308" s="33">
        <f>IF(OR($D1308="",$K1308=""),"",IF(COUNTIFS(Payments!$G$5:$G$2500,$K1308,Payments!$C$5:$C$2500,"&lt;&gt;")=0,"",_xlfn.MAXIFS(Payments!$C$5:$C$2500,Payments!$G$5:$G$2500,$K1308)))</f>
      </c>
      <c r="F1308" s="34">
        <f>IF(OR($D1308="",$K1308=""),"",SUMIF(Payments!$G$5:$G$2500,$K1308,Payments!$D$5:$D$2500))</f>
      </c>
      <c r="G1308" s="36">
        <f>IF($D1308="","",ROUND($D1308-IF($F1308="",0,$F1308),2))</f>
      </c>
      <c r="H1308" s="35">
        <f>IF(OR($D1308="",$K1308=""),"",COUNTIF(Payments!$G$5:$G$2500,$K1308))</f>
      </c>
      <c r="I1308" s="37">
        <f>IF($D1308="","",IF(OR($F1308="",$F1308=0),"Pending",IF(ROUND($F1308-$D1308,2)&gt;0,"Overpaid",IF(ROUND($F1308-$D1308,2)=0,"Paid","Partial"))))</f>
      </c>
      <c r="J1308" s="29"/>
      <c r="K1308">
        <f>IF($A1308="","","#"&amp;TRIM(SUBSTITUTE(SUBSTITUTE(SUBSTITUTE(SUBSTITUTE(SUBSTITUTE(SUBSTITUTE($A1308,"-",""),"(",""),")",""),".",""),"+","")," ","")))</f>
      </c>
    </row>
    <row r="1309" spans="1:11" x14ac:dyDescent="0.3">
      <c r="A1309" s="28"/>
      <c r="B1309" s="29"/>
      <c r="C1309" s="30"/>
      <c r="D1309" s="31"/>
      <c r="E1309" s="33">
        <f>IF(OR($D1309="",$K1309=""),"",IF(COUNTIFS(Payments!$G$5:$G$2500,$K1309,Payments!$C$5:$C$2500,"&lt;&gt;")=0,"",_xlfn.MAXIFS(Payments!$C$5:$C$2500,Payments!$G$5:$G$2500,$K1309)))</f>
      </c>
      <c r="F1309" s="34">
        <f>IF(OR($D1309="",$K1309=""),"",SUMIF(Payments!$G$5:$G$2500,$K1309,Payments!$D$5:$D$2500))</f>
      </c>
      <c r="G1309" s="36">
        <f>IF($D1309="","",ROUND($D1309-IF($F1309="",0,$F1309),2))</f>
      </c>
      <c r="H1309" s="35">
        <f>IF(OR($D1309="",$K1309=""),"",COUNTIF(Payments!$G$5:$G$2500,$K1309))</f>
      </c>
      <c r="I1309" s="37">
        <f>IF($D1309="","",IF(OR($F1309="",$F1309=0),"Pending",IF(ROUND($F1309-$D1309,2)&gt;0,"Overpaid",IF(ROUND($F1309-$D1309,2)=0,"Paid","Partial"))))</f>
      </c>
      <c r="J1309" s="29"/>
      <c r="K1309">
        <f>IF($A1309="","","#"&amp;TRIM(SUBSTITUTE(SUBSTITUTE(SUBSTITUTE(SUBSTITUTE(SUBSTITUTE(SUBSTITUTE($A1309,"-",""),"(",""),")",""),".",""),"+","")," ","")))</f>
      </c>
    </row>
    <row r="1310" spans="1:11" x14ac:dyDescent="0.3">
      <c r="A1310" s="28"/>
      <c r="B1310" s="29"/>
      <c r="C1310" s="30"/>
      <c r="D1310" s="31"/>
      <c r="E1310" s="33">
        <f>IF(OR($D1310="",$K1310=""),"",IF(COUNTIFS(Payments!$G$5:$G$2500,$K1310,Payments!$C$5:$C$2500,"&lt;&gt;")=0,"",_xlfn.MAXIFS(Payments!$C$5:$C$2500,Payments!$G$5:$G$2500,$K1310)))</f>
      </c>
      <c r="F1310" s="34">
        <f>IF(OR($D1310="",$K1310=""),"",SUMIF(Payments!$G$5:$G$2500,$K1310,Payments!$D$5:$D$2500))</f>
      </c>
      <c r="G1310" s="36">
        <f>IF($D1310="","",ROUND($D1310-IF($F1310="",0,$F1310),2))</f>
      </c>
      <c r="H1310" s="35">
        <f>IF(OR($D1310="",$K1310=""),"",COUNTIF(Payments!$G$5:$G$2500,$K1310))</f>
      </c>
      <c r="I1310" s="37">
        <f>IF($D1310="","",IF(OR($F1310="",$F1310=0),"Pending",IF(ROUND($F1310-$D1310,2)&gt;0,"Overpaid",IF(ROUND($F1310-$D1310,2)=0,"Paid","Partial"))))</f>
      </c>
      <c r="J1310" s="29"/>
      <c r="K1310">
        <f>IF($A1310="","","#"&amp;TRIM(SUBSTITUTE(SUBSTITUTE(SUBSTITUTE(SUBSTITUTE(SUBSTITUTE(SUBSTITUTE($A1310,"-",""),"(",""),")",""),".",""),"+","")," ","")))</f>
      </c>
    </row>
    <row r="1311" spans="1:11" x14ac:dyDescent="0.3">
      <c r="A1311" s="28"/>
      <c r="B1311" s="29"/>
      <c r="C1311" s="30"/>
      <c r="D1311" s="31"/>
      <c r="E1311" s="33">
        <f>IF(OR($D1311="",$K1311=""),"",IF(COUNTIFS(Payments!$G$5:$G$2500,$K1311,Payments!$C$5:$C$2500,"&lt;&gt;")=0,"",_xlfn.MAXIFS(Payments!$C$5:$C$2500,Payments!$G$5:$G$2500,$K1311)))</f>
      </c>
      <c r="F1311" s="34">
        <f>IF(OR($D1311="",$K1311=""),"",SUMIF(Payments!$G$5:$G$2500,$K1311,Payments!$D$5:$D$2500))</f>
      </c>
      <c r="G1311" s="36">
        <f>IF($D1311="","",ROUND($D1311-IF($F1311="",0,$F1311),2))</f>
      </c>
      <c r="H1311" s="35">
        <f>IF(OR($D1311="",$K1311=""),"",COUNTIF(Payments!$G$5:$G$2500,$K1311))</f>
      </c>
      <c r="I1311" s="37">
        <f>IF($D1311="","",IF(OR($F1311="",$F1311=0),"Pending",IF(ROUND($F1311-$D1311,2)&gt;0,"Overpaid",IF(ROUND($F1311-$D1311,2)=0,"Paid","Partial"))))</f>
      </c>
      <c r="J1311" s="29"/>
      <c r="K1311">
        <f>IF($A1311="","","#"&amp;TRIM(SUBSTITUTE(SUBSTITUTE(SUBSTITUTE(SUBSTITUTE(SUBSTITUTE(SUBSTITUTE($A1311,"-",""),"(",""),")",""),".",""),"+","")," ","")))</f>
      </c>
    </row>
    <row r="1312" spans="1:11" x14ac:dyDescent="0.3">
      <c r="A1312" s="28"/>
      <c r="B1312" s="29"/>
      <c r="C1312" s="30"/>
      <c r="D1312" s="31"/>
      <c r="E1312" s="33">
        <f>IF(OR($D1312="",$K1312=""),"",IF(COUNTIFS(Payments!$G$5:$G$2500,$K1312,Payments!$C$5:$C$2500,"&lt;&gt;")=0,"",_xlfn.MAXIFS(Payments!$C$5:$C$2500,Payments!$G$5:$G$2500,$K1312)))</f>
      </c>
      <c r="F1312" s="34">
        <f>IF(OR($D1312="",$K1312=""),"",SUMIF(Payments!$G$5:$G$2500,$K1312,Payments!$D$5:$D$2500))</f>
      </c>
      <c r="G1312" s="36">
        <f>IF($D1312="","",ROUND($D1312-IF($F1312="",0,$F1312),2))</f>
      </c>
      <c r="H1312" s="35">
        <f>IF(OR($D1312="",$K1312=""),"",COUNTIF(Payments!$G$5:$G$2500,$K1312))</f>
      </c>
      <c r="I1312" s="37">
        <f>IF($D1312="","",IF(OR($F1312="",$F1312=0),"Pending",IF(ROUND($F1312-$D1312,2)&gt;0,"Overpaid",IF(ROUND($F1312-$D1312,2)=0,"Paid","Partial"))))</f>
      </c>
      <c r="J1312" s="29"/>
      <c r="K1312">
        <f>IF($A1312="","","#"&amp;TRIM(SUBSTITUTE(SUBSTITUTE(SUBSTITUTE(SUBSTITUTE(SUBSTITUTE(SUBSTITUTE($A1312,"-",""),"(",""),")",""),".",""),"+","")," ","")))</f>
      </c>
    </row>
    <row r="1313" spans="1:11" x14ac:dyDescent="0.3">
      <c r="A1313" s="28"/>
      <c r="B1313" s="29"/>
      <c r="C1313" s="30"/>
      <c r="D1313" s="31"/>
      <c r="E1313" s="33">
        <f>IF(OR($D1313="",$K1313=""),"",IF(COUNTIFS(Payments!$G$5:$G$2500,$K1313,Payments!$C$5:$C$2500,"&lt;&gt;")=0,"",_xlfn.MAXIFS(Payments!$C$5:$C$2500,Payments!$G$5:$G$2500,$K1313)))</f>
      </c>
      <c r="F1313" s="34">
        <f>IF(OR($D1313="",$K1313=""),"",SUMIF(Payments!$G$5:$G$2500,$K1313,Payments!$D$5:$D$2500))</f>
      </c>
      <c r="G1313" s="36">
        <f>IF($D1313="","",ROUND($D1313-IF($F1313="",0,$F1313),2))</f>
      </c>
      <c r="H1313" s="35">
        <f>IF(OR($D1313="",$K1313=""),"",COUNTIF(Payments!$G$5:$G$2500,$K1313))</f>
      </c>
      <c r="I1313" s="37">
        <f>IF($D1313="","",IF(OR($F1313="",$F1313=0),"Pending",IF(ROUND($F1313-$D1313,2)&gt;0,"Overpaid",IF(ROUND($F1313-$D1313,2)=0,"Paid","Partial"))))</f>
      </c>
      <c r="J1313" s="29"/>
      <c r="K1313">
        <f>IF($A1313="","","#"&amp;TRIM(SUBSTITUTE(SUBSTITUTE(SUBSTITUTE(SUBSTITUTE(SUBSTITUTE(SUBSTITUTE($A1313,"-",""),"(",""),")",""),".",""),"+","")," ","")))</f>
      </c>
    </row>
    <row r="1314" spans="1:11" x14ac:dyDescent="0.3">
      <c r="A1314" s="28"/>
      <c r="B1314" s="29"/>
      <c r="C1314" s="30"/>
      <c r="D1314" s="31"/>
      <c r="E1314" s="33">
        <f>IF(OR($D1314="",$K1314=""),"",IF(COUNTIFS(Payments!$G$5:$G$2500,$K1314,Payments!$C$5:$C$2500,"&lt;&gt;")=0,"",_xlfn.MAXIFS(Payments!$C$5:$C$2500,Payments!$G$5:$G$2500,$K1314)))</f>
      </c>
      <c r="F1314" s="34">
        <f>IF(OR($D1314="",$K1314=""),"",SUMIF(Payments!$G$5:$G$2500,$K1314,Payments!$D$5:$D$2500))</f>
      </c>
      <c r="G1314" s="36">
        <f>IF($D1314="","",ROUND($D1314-IF($F1314="",0,$F1314),2))</f>
      </c>
      <c r="H1314" s="35">
        <f>IF(OR($D1314="",$K1314=""),"",COUNTIF(Payments!$G$5:$G$2500,$K1314))</f>
      </c>
      <c r="I1314" s="37">
        <f>IF($D1314="","",IF(OR($F1314="",$F1314=0),"Pending",IF(ROUND($F1314-$D1314,2)&gt;0,"Overpaid",IF(ROUND($F1314-$D1314,2)=0,"Paid","Partial"))))</f>
      </c>
      <c r="J1314" s="29"/>
      <c r="K1314">
        <f>IF($A1314="","","#"&amp;TRIM(SUBSTITUTE(SUBSTITUTE(SUBSTITUTE(SUBSTITUTE(SUBSTITUTE(SUBSTITUTE($A1314,"-",""),"(",""),")",""),".",""),"+","")," ","")))</f>
      </c>
    </row>
    <row r="1315" spans="1:11" x14ac:dyDescent="0.3">
      <c r="A1315" s="28"/>
      <c r="B1315" s="29"/>
      <c r="C1315" s="30"/>
      <c r="D1315" s="31"/>
      <c r="E1315" s="33">
        <f>IF(OR($D1315="",$K1315=""),"",IF(COUNTIFS(Payments!$G$5:$G$2500,$K1315,Payments!$C$5:$C$2500,"&lt;&gt;")=0,"",_xlfn.MAXIFS(Payments!$C$5:$C$2500,Payments!$G$5:$G$2500,$K1315)))</f>
      </c>
      <c r="F1315" s="34">
        <f>IF(OR($D1315="",$K1315=""),"",SUMIF(Payments!$G$5:$G$2500,$K1315,Payments!$D$5:$D$2500))</f>
      </c>
      <c r="G1315" s="36">
        <f>IF($D1315="","",ROUND($D1315-IF($F1315="",0,$F1315),2))</f>
      </c>
      <c r="H1315" s="35">
        <f>IF(OR($D1315="",$K1315=""),"",COUNTIF(Payments!$G$5:$G$2500,$K1315))</f>
      </c>
      <c r="I1315" s="37">
        <f>IF($D1315="","",IF(OR($F1315="",$F1315=0),"Pending",IF(ROUND($F1315-$D1315,2)&gt;0,"Overpaid",IF(ROUND($F1315-$D1315,2)=0,"Paid","Partial"))))</f>
      </c>
      <c r="J1315" s="29"/>
      <c r="K1315">
        <f>IF($A1315="","","#"&amp;TRIM(SUBSTITUTE(SUBSTITUTE(SUBSTITUTE(SUBSTITUTE(SUBSTITUTE(SUBSTITUTE($A1315,"-",""),"(",""),")",""),".",""),"+","")," ","")))</f>
      </c>
    </row>
    <row r="1316" spans="1:11" x14ac:dyDescent="0.3">
      <c r="A1316" s="28"/>
      <c r="B1316" s="29"/>
      <c r="C1316" s="30"/>
      <c r="D1316" s="31"/>
      <c r="E1316" s="33">
        <f>IF(OR($D1316="",$K1316=""),"",IF(COUNTIFS(Payments!$G$5:$G$2500,$K1316,Payments!$C$5:$C$2500,"&lt;&gt;")=0,"",_xlfn.MAXIFS(Payments!$C$5:$C$2500,Payments!$G$5:$G$2500,$K1316)))</f>
      </c>
      <c r="F1316" s="34">
        <f>IF(OR($D1316="",$K1316=""),"",SUMIF(Payments!$G$5:$G$2500,$K1316,Payments!$D$5:$D$2500))</f>
      </c>
      <c r="G1316" s="36">
        <f>IF($D1316="","",ROUND($D1316-IF($F1316="",0,$F1316),2))</f>
      </c>
      <c r="H1316" s="35">
        <f>IF(OR($D1316="",$K1316=""),"",COUNTIF(Payments!$G$5:$G$2500,$K1316))</f>
      </c>
      <c r="I1316" s="37">
        <f>IF($D1316="","",IF(OR($F1316="",$F1316=0),"Pending",IF(ROUND($F1316-$D1316,2)&gt;0,"Overpaid",IF(ROUND($F1316-$D1316,2)=0,"Paid","Partial"))))</f>
      </c>
      <c r="J1316" s="29"/>
      <c r="K1316">
        <f>IF($A1316="","","#"&amp;TRIM(SUBSTITUTE(SUBSTITUTE(SUBSTITUTE(SUBSTITUTE(SUBSTITUTE(SUBSTITUTE($A1316,"-",""),"(",""),")",""),".",""),"+","")," ","")))</f>
      </c>
    </row>
    <row r="1317" spans="1:11" x14ac:dyDescent="0.3">
      <c r="A1317" s="28"/>
      <c r="B1317" s="29"/>
      <c r="C1317" s="30"/>
      <c r="D1317" s="31"/>
      <c r="E1317" s="33">
        <f>IF(OR($D1317="",$K1317=""),"",IF(COUNTIFS(Payments!$G$5:$G$2500,$K1317,Payments!$C$5:$C$2500,"&lt;&gt;")=0,"",_xlfn.MAXIFS(Payments!$C$5:$C$2500,Payments!$G$5:$G$2500,$K1317)))</f>
      </c>
      <c r="F1317" s="34">
        <f>IF(OR($D1317="",$K1317=""),"",SUMIF(Payments!$G$5:$G$2500,$K1317,Payments!$D$5:$D$2500))</f>
      </c>
      <c r="G1317" s="36">
        <f>IF($D1317="","",ROUND($D1317-IF($F1317="",0,$F1317),2))</f>
      </c>
      <c r="H1317" s="35">
        <f>IF(OR($D1317="",$K1317=""),"",COUNTIF(Payments!$G$5:$G$2500,$K1317))</f>
      </c>
      <c r="I1317" s="37">
        <f>IF($D1317="","",IF(OR($F1317="",$F1317=0),"Pending",IF(ROUND($F1317-$D1317,2)&gt;0,"Overpaid",IF(ROUND($F1317-$D1317,2)=0,"Paid","Partial"))))</f>
      </c>
      <c r="J1317" s="29"/>
      <c r="K1317">
        <f>IF($A1317="","","#"&amp;TRIM(SUBSTITUTE(SUBSTITUTE(SUBSTITUTE(SUBSTITUTE(SUBSTITUTE(SUBSTITUTE($A1317,"-",""),"(",""),")",""),".",""),"+","")," ","")))</f>
      </c>
    </row>
    <row r="1318" spans="1:11" x14ac:dyDescent="0.3">
      <c r="A1318" s="28"/>
      <c r="B1318" s="29"/>
      <c r="C1318" s="30"/>
      <c r="D1318" s="31"/>
      <c r="E1318" s="33">
        <f>IF(OR($D1318="",$K1318=""),"",IF(COUNTIFS(Payments!$G$5:$G$2500,$K1318,Payments!$C$5:$C$2500,"&lt;&gt;")=0,"",_xlfn.MAXIFS(Payments!$C$5:$C$2500,Payments!$G$5:$G$2500,$K1318)))</f>
      </c>
      <c r="F1318" s="34">
        <f>IF(OR($D1318="",$K1318=""),"",SUMIF(Payments!$G$5:$G$2500,$K1318,Payments!$D$5:$D$2500))</f>
      </c>
      <c r="G1318" s="36">
        <f>IF($D1318="","",ROUND($D1318-IF($F1318="",0,$F1318),2))</f>
      </c>
      <c r="H1318" s="35">
        <f>IF(OR($D1318="",$K1318=""),"",COUNTIF(Payments!$G$5:$G$2500,$K1318))</f>
      </c>
      <c r="I1318" s="37">
        <f>IF($D1318="","",IF(OR($F1318="",$F1318=0),"Pending",IF(ROUND($F1318-$D1318,2)&gt;0,"Overpaid",IF(ROUND($F1318-$D1318,2)=0,"Paid","Partial"))))</f>
      </c>
      <c r="J1318" s="29"/>
      <c r="K1318">
        <f>IF($A1318="","","#"&amp;TRIM(SUBSTITUTE(SUBSTITUTE(SUBSTITUTE(SUBSTITUTE(SUBSTITUTE(SUBSTITUTE($A1318,"-",""),"(",""),")",""),".",""),"+","")," ","")))</f>
      </c>
    </row>
    <row r="1319" spans="1:11" x14ac:dyDescent="0.3">
      <c r="A1319" s="28"/>
      <c r="B1319" s="29"/>
      <c r="C1319" s="30"/>
      <c r="D1319" s="31"/>
      <c r="E1319" s="33">
        <f>IF(OR($D1319="",$K1319=""),"",IF(COUNTIFS(Payments!$G$5:$G$2500,$K1319,Payments!$C$5:$C$2500,"&lt;&gt;")=0,"",_xlfn.MAXIFS(Payments!$C$5:$C$2500,Payments!$G$5:$G$2500,$K1319)))</f>
      </c>
      <c r="F1319" s="34">
        <f>IF(OR($D1319="",$K1319=""),"",SUMIF(Payments!$G$5:$G$2500,$K1319,Payments!$D$5:$D$2500))</f>
      </c>
      <c r="G1319" s="36">
        <f>IF($D1319="","",ROUND($D1319-IF($F1319="",0,$F1319),2))</f>
      </c>
      <c r="H1319" s="35">
        <f>IF(OR($D1319="",$K1319=""),"",COUNTIF(Payments!$G$5:$G$2500,$K1319))</f>
      </c>
      <c r="I1319" s="37">
        <f>IF($D1319="","",IF(OR($F1319="",$F1319=0),"Pending",IF(ROUND($F1319-$D1319,2)&gt;0,"Overpaid",IF(ROUND($F1319-$D1319,2)=0,"Paid","Partial"))))</f>
      </c>
      <c r="J1319" s="29"/>
      <c r="K1319">
        <f>IF($A1319="","","#"&amp;TRIM(SUBSTITUTE(SUBSTITUTE(SUBSTITUTE(SUBSTITUTE(SUBSTITUTE(SUBSTITUTE($A1319,"-",""),"(",""),")",""),".",""),"+","")," ","")))</f>
      </c>
    </row>
    <row r="1320" spans="1:11" x14ac:dyDescent="0.3">
      <c r="A1320" s="28"/>
      <c r="B1320" s="29"/>
      <c r="C1320" s="30"/>
      <c r="D1320" s="31"/>
      <c r="E1320" s="33">
        <f>IF(OR($D1320="",$K1320=""),"",IF(COUNTIFS(Payments!$G$5:$G$2500,$K1320,Payments!$C$5:$C$2500,"&lt;&gt;")=0,"",_xlfn.MAXIFS(Payments!$C$5:$C$2500,Payments!$G$5:$G$2500,$K1320)))</f>
      </c>
      <c r="F1320" s="34">
        <f>IF(OR($D1320="",$K1320=""),"",SUMIF(Payments!$G$5:$G$2500,$K1320,Payments!$D$5:$D$2500))</f>
      </c>
      <c r="G1320" s="36">
        <f>IF($D1320="","",ROUND($D1320-IF($F1320="",0,$F1320),2))</f>
      </c>
      <c r="H1320" s="35">
        <f>IF(OR($D1320="",$K1320=""),"",COUNTIF(Payments!$G$5:$G$2500,$K1320))</f>
      </c>
      <c r="I1320" s="37">
        <f>IF($D1320="","",IF(OR($F1320="",$F1320=0),"Pending",IF(ROUND($F1320-$D1320,2)&gt;0,"Overpaid",IF(ROUND($F1320-$D1320,2)=0,"Paid","Partial"))))</f>
      </c>
      <c r="J1320" s="29"/>
      <c r="K1320">
        <f>IF($A1320="","","#"&amp;TRIM(SUBSTITUTE(SUBSTITUTE(SUBSTITUTE(SUBSTITUTE(SUBSTITUTE(SUBSTITUTE($A1320,"-",""),"(",""),")",""),".",""),"+","")," ","")))</f>
      </c>
    </row>
    <row r="1321" spans="1:11" x14ac:dyDescent="0.3">
      <c r="A1321" s="28"/>
      <c r="B1321" s="29"/>
      <c r="C1321" s="30"/>
      <c r="D1321" s="31"/>
      <c r="E1321" s="33">
        <f>IF(OR($D1321="",$K1321=""),"",IF(COUNTIFS(Payments!$G$5:$G$2500,$K1321,Payments!$C$5:$C$2500,"&lt;&gt;")=0,"",_xlfn.MAXIFS(Payments!$C$5:$C$2500,Payments!$G$5:$G$2500,$K1321)))</f>
      </c>
      <c r="F1321" s="34">
        <f>IF(OR($D1321="",$K1321=""),"",SUMIF(Payments!$G$5:$G$2500,$K1321,Payments!$D$5:$D$2500))</f>
      </c>
      <c r="G1321" s="36">
        <f>IF($D1321="","",ROUND($D1321-IF($F1321="",0,$F1321),2))</f>
      </c>
      <c r="H1321" s="35">
        <f>IF(OR($D1321="",$K1321=""),"",COUNTIF(Payments!$G$5:$G$2500,$K1321))</f>
      </c>
      <c r="I1321" s="37">
        <f>IF($D1321="","",IF(OR($F1321="",$F1321=0),"Pending",IF(ROUND($F1321-$D1321,2)&gt;0,"Overpaid",IF(ROUND($F1321-$D1321,2)=0,"Paid","Partial"))))</f>
      </c>
      <c r="J1321" s="29"/>
      <c r="K1321">
        <f>IF($A1321="","","#"&amp;TRIM(SUBSTITUTE(SUBSTITUTE(SUBSTITUTE(SUBSTITUTE(SUBSTITUTE(SUBSTITUTE($A1321,"-",""),"(",""),")",""),".",""),"+","")," ","")))</f>
      </c>
    </row>
    <row r="1322" spans="1:11" x14ac:dyDescent="0.3">
      <c r="A1322" s="28"/>
      <c r="B1322" s="29"/>
      <c r="C1322" s="30"/>
      <c r="D1322" s="31"/>
      <c r="E1322" s="33">
        <f>IF(OR($D1322="",$K1322=""),"",IF(COUNTIFS(Payments!$G$5:$G$2500,$K1322,Payments!$C$5:$C$2500,"&lt;&gt;")=0,"",_xlfn.MAXIFS(Payments!$C$5:$C$2500,Payments!$G$5:$G$2500,$K1322)))</f>
      </c>
      <c r="F1322" s="34">
        <f>IF(OR($D1322="",$K1322=""),"",SUMIF(Payments!$G$5:$G$2500,$K1322,Payments!$D$5:$D$2500))</f>
      </c>
      <c r="G1322" s="36">
        <f>IF($D1322="","",ROUND($D1322-IF($F1322="",0,$F1322),2))</f>
      </c>
      <c r="H1322" s="35">
        <f>IF(OR($D1322="",$K1322=""),"",COUNTIF(Payments!$G$5:$G$2500,$K1322))</f>
      </c>
      <c r="I1322" s="37">
        <f>IF($D1322="","",IF(OR($F1322="",$F1322=0),"Pending",IF(ROUND($F1322-$D1322,2)&gt;0,"Overpaid",IF(ROUND($F1322-$D1322,2)=0,"Paid","Partial"))))</f>
      </c>
      <c r="J1322" s="29"/>
      <c r="K1322">
        <f>IF($A1322="","","#"&amp;TRIM(SUBSTITUTE(SUBSTITUTE(SUBSTITUTE(SUBSTITUTE(SUBSTITUTE(SUBSTITUTE($A1322,"-",""),"(",""),")",""),".",""),"+","")," ","")))</f>
      </c>
    </row>
    <row r="1323" spans="1:11" x14ac:dyDescent="0.3">
      <c r="A1323" s="28"/>
      <c r="B1323" s="29"/>
      <c r="C1323" s="30"/>
      <c r="D1323" s="31"/>
      <c r="E1323" s="33">
        <f>IF(OR($D1323="",$K1323=""),"",IF(COUNTIFS(Payments!$G$5:$G$2500,$K1323,Payments!$C$5:$C$2500,"&lt;&gt;")=0,"",_xlfn.MAXIFS(Payments!$C$5:$C$2500,Payments!$G$5:$G$2500,$K1323)))</f>
      </c>
      <c r="F1323" s="34">
        <f>IF(OR($D1323="",$K1323=""),"",SUMIF(Payments!$G$5:$G$2500,$K1323,Payments!$D$5:$D$2500))</f>
      </c>
      <c r="G1323" s="36">
        <f>IF($D1323="","",ROUND($D1323-IF($F1323="",0,$F1323),2))</f>
      </c>
      <c r="H1323" s="35">
        <f>IF(OR($D1323="",$K1323=""),"",COUNTIF(Payments!$G$5:$G$2500,$K1323))</f>
      </c>
      <c r="I1323" s="37">
        <f>IF($D1323="","",IF(OR($F1323="",$F1323=0),"Pending",IF(ROUND($F1323-$D1323,2)&gt;0,"Overpaid",IF(ROUND($F1323-$D1323,2)=0,"Paid","Partial"))))</f>
      </c>
      <c r="J1323" s="29"/>
      <c r="K1323">
        <f>IF($A1323="","","#"&amp;TRIM(SUBSTITUTE(SUBSTITUTE(SUBSTITUTE(SUBSTITUTE(SUBSTITUTE(SUBSTITUTE($A1323,"-",""),"(",""),")",""),".",""),"+","")," ","")))</f>
      </c>
    </row>
    <row r="1324" spans="1:11" x14ac:dyDescent="0.3">
      <c r="A1324" s="28"/>
      <c r="B1324" s="29"/>
      <c r="C1324" s="30"/>
      <c r="D1324" s="31"/>
      <c r="E1324" s="33">
        <f>IF(OR($D1324="",$K1324=""),"",IF(COUNTIFS(Payments!$G$5:$G$2500,$K1324,Payments!$C$5:$C$2500,"&lt;&gt;")=0,"",_xlfn.MAXIFS(Payments!$C$5:$C$2500,Payments!$G$5:$G$2500,$K1324)))</f>
      </c>
      <c r="F1324" s="34">
        <f>IF(OR($D1324="",$K1324=""),"",SUMIF(Payments!$G$5:$G$2500,$K1324,Payments!$D$5:$D$2500))</f>
      </c>
      <c r="G1324" s="36">
        <f>IF($D1324="","",ROUND($D1324-IF($F1324="",0,$F1324),2))</f>
      </c>
      <c r="H1324" s="35">
        <f>IF(OR($D1324="",$K1324=""),"",COUNTIF(Payments!$G$5:$G$2500,$K1324))</f>
      </c>
      <c r="I1324" s="37">
        <f>IF($D1324="","",IF(OR($F1324="",$F1324=0),"Pending",IF(ROUND($F1324-$D1324,2)&gt;0,"Overpaid",IF(ROUND($F1324-$D1324,2)=0,"Paid","Partial"))))</f>
      </c>
      <c r="J1324" s="29"/>
      <c r="K1324">
        <f>IF($A1324="","","#"&amp;TRIM(SUBSTITUTE(SUBSTITUTE(SUBSTITUTE(SUBSTITUTE(SUBSTITUTE(SUBSTITUTE($A1324,"-",""),"(",""),")",""),".",""),"+","")," ","")))</f>
      </c>
    </row>
    <row r="1325" spans="1:11" x14ac:dyDescent="0.3">
      <c r="A1325" s="28"/>
      <c r="B1325" s="29"/>
      <c r="C1325" s="30"/>
      <c r="D1325" s="31"/>
      <c r="E1325" s="33">
        <f>IF(OR($D1325="",$K1325=""),"",IF(COUNTIFS(Payments!$G$5:$G$2500,$K1325,Payments!$C$5:$C$2500,"&lt;&gt;")=0,"",_xlfn.MAXIFS(Payments!$C$5:$C$2500,Payments!$G$5:$G$2500,$K1325)))</f>
      </c>
      <c r="F1325" s="34">
        <f>IF(OR($D1325="",$K1325=""),"",SUMIF(Payments!$G$5:$G$2500,$K1325,Payments!$D$5:$D$2500))</f>
      </c>
      <c r="G1325" s="36">
        <f>IF($D1325="","",ROUND($D1325-IF($F1325="",0,$F1325),2))</f>
      </c>
      <c r="H1325" s="35">
        <f>IF(OR($D1325="",$K1325=""),"",COUNTIF(Payments!$G$5:$G$2500,$K1325))</f>
      </c>
      <c r="I1325" s="37">
        <f>IF($D1325="","",IF(OR($F1325="",$F1325=0),"Pending",IF(ROUND($F1325-$D1325,2)&gt;0,"Overpaid",IF(ROUND($F1325-$D1325,2)=0,"Paid","Partial"))))</f>
      </c>
      <c r="J1325" s="29"/>
      <c r="K1325">
        <f>IF($A1325="","","#"&amp;TRIM(SUBSTITUTE(SUBSTITUTE(SUBSTITUTE(SUBSTITUTE(SUBSTITUTE(SUBSTITUTE($A1325,"-",""),"(",""),")",""),".",""),"+","")," ","")))</f>
      </c>
    </row>
    <row r="1326" spans="1:11" x14ac:dyDescent="0.3">
      <c r="A1326" s="28"/>
      <c r="B1326" s="29"/>
      <c r="C1326" s="30"/>
      <c r="D1326" s="31"/>
      <c r="E1326" s="33">
        <f>IF(OR($D1326="",$K1326=""),"",IF(COUNTIFS(Payments!$G$5:$G$2500,$K1326,Payments!$C$5:$C$2500,"&lt;&gt;")=0,"",_xlfn.MAXIFS(Payments!$C$5:$C$2500,Payments!$G$5:$G$2500,$K1326)))</f>
      </c>
      <c r="F1326" s="34">
        <f>IF(OR($D1326="",$K1326=""),"",SUMIF(Payments!$G$5:$G$2500,$K1326,Payments!$D$5:$D$2500))</f>
      </c>
      <c r="G1326" s="36">
        <f>IF($D1326="","",ROUND($D1326-IF($F1326="",0,$F1326),2))</f>
      </c>
      <c r="H1326" s="35">
        <f>IF(OR($D1326="",$K1326=""),"",COUNTIF(Payments!$G$5:$G$2500,$K1326))</f>
      </c>
      <c r="I1326" s="37">
        <f>IF($D1326="","",IF(OR($F1326="",$F1326=0),"Pending",IF(ROUND($F1326-$D1326,2)&gt;0,"Overpaid",IF(ROUND($F1326-$D1326,2)=0,"Paid","Partial"))))</f>
      </c>
      <c r="J1326" s="29"/>
      <c r="K1326">
        <f>IF($A1326="","","#"&amp;TRIM(SUBSTITUTE(SUBSTITUTE(SUBSTITUTE(SUBSTITUTE(SUBSTITUTE(SUBSTITUTE($A1326,"-",""),"(",""),")",""),".",""),"+","")," ","")))</f>
      </c>
    </row>
    <row r="1327" spans="1:11" x14ac:dyDescent="0.3">
      <c r="A1327" s="28"/>
      <c r="B1327" s="29"/>
      <c r="C1327" s="30"/>
      <c r="D1327" s="31"/>
      <c r="E1327" s="33">
        <f>IF(OR($D1327="",$K1327=""),"",IF(COUNTIFS(Payments!$G$5:$G$2500,$K1327,Payments!$C$5:$C$2500,"&lt;&gt;")=0,"",_xlfn.MAXIFS(Payments!$C$5:$C$2500,Payments!$G$5:$G$2500,$K1327)))</f>
      </c>
      <c r="F1327" s="34">
        <f>IF(OR($D1327="",$K1327=""),"",SUMIF(Payments!$G$5:$G$2500,$K1327,Payments!$D$5:$D$2500))</f>
      </c>
      <c r="G1327" s="36">
        <f>IF($D1327="","",ROUND($D1327-IF($F1327="",0,$F1327),2))</f>
      </c>
      <c r="H1327" s="35">
        <f>IF(OR($D1327="",$K1327=""),"",COUNTIF(Payments!$G$5:$G$2500,$K1327))</f>
      </c>
      <c r="I1327" s="37">
        <f>IF($D1327="","",IF(OR($F1327="",$F1327=0),"Pending",IF(ROUND($F1327-$D1327,2)&gt;0,"Overpaid",IF(ROUND($F1327-$D1327,2)=0,"Paid","Partial"))))</f>
      </c>
      <c r="J1327" s="29"/>
      <c r="K1327">
        <f>IF($A1327="","","#"&amp;TRIM(SUBSTITUTE(SUBSTITUTE(SUBSTITUTE(SUBSTITUTE(SUBSTITUTE(SUBSTITUTE($A1327,"-",""),"(",""),")",""),".",""),"+","")," ","")))</f>
      </c>
    </row>
    <row r="1328" spans="1:11" x14ac:dyDescent="0.3">
      <c r="A1328" s="28"/>
      <c r="B1328" s="29"/>
      <c r="C1328" s="30"/>
      <c r="D1328" s="31"/>
      <c r="E1328" s="33">
        <f>IF(OR($D1328="",$K1328=""),"",IF(COUNTIFS(Payments!$G$5:$G$2500,$K1328,Payments!$C$5:$C$2500,"&lt;&gt;")=0,"",_xlfn.MAXIFS(Payments!$C$5:$C$2500,Payments!$G$5:$G$2500,$K1328)))</f>
      </c>
      <c r="F1328" s="34">
        <f>IF(OR($D1328="",$K1328=""),"",SUMIF(Payments!$G$5:$G$2500,$K1328,Payments!$D$5:$D$2500))</f>
      </c>
      <c r="G1328" s="36">
        <f>IF($D1328="","",ROUND($D1328-IF($F1328="",0,$F1328),2))</f>
      </c>
      <c r="H1328" s="35">
        <f>IF(OR($D1328="",$K1328=""),"",COUNTIF(Payments!$G$5:$G$2500,$K1328))</f>
      </c>
      <c r="I1328" s="37">
        <f>IF($D1328="","",IF(OR($F1328="",$F1328=0),"Pending",IF(ROUND($F1328-$D1328,2)&gt;0,"Overpaid",IF(ROUND($F1328-$D1328,2)=0,"Paid","Partial"))))</f>
      </c>
      <c r="J1328" s="29"/>
      <c r="K1328">
        <f>IF($A1328="","","#"&amp;TRIM(SUBSTITUTE(SUBSTITUTE(SUBSTITUTE(SUBSTITUTE(SUBSTITUTE(SUBSTITUTE($A1328,"-",""),"(",""),")",""),".",""),"+","")," ","")))</f>
      </c>
    </row>
    <row r="1329" spans="1:11" x14ac:dyDescent="0.3">
      <c r="A1329" s="28"/>
      <c r="B1329" s="29"/>
      <c r="C1329" s="30"/>
      <c r="D1329" s="31"/>
      <c r="E1329" s="33">
        <f>IF(OR($D1329="",$K1329=""),"",IF(COUNTIFS(Payments!$G$5:$G$2500,$K1329,Payments!$C$5:$C$2500,"&lt;&gt;")=0,"",_xlfn.MAXIFS(Payments!$C$5:$C$2500,Payments!$G$5:$G$2500,$K1329)))</f>
      </c>
      <c r="F1329" s="34">
        <f>IF(OR($D1329="",$K1329=""),"",SUMIF(Payments!$G$5:$G$2500,$K1329,Payments!$D$5:$D$2500))</f>
      </c>
      <c r="G1329" s="36">
        <f>IF($D1329="","",ROUND($D1329-IF($F1329="",0,$F1329),2))</f>
      </c>
      <c r="H1329" s="35">
        <f>IF(OR($D1329="",$K1329=""),"",COUNTIF(Payments!$G$5:$G$2500,$K1329))</f>
      </c>
      <c r="I1329" s="37">
        <f>IF($D1329="","",IF(OR($F1329="",$F1329=0),"Pending",IF(ROUND($F1329-$D1329,2)&gt;0,"Overpaid",IF(ROUND($F1329-$D1329,2)=0,"Paid","Partial"))))</f>
      </c>
      <c r="J1329" s="29"/>
      <c r="K1329">
        <f>IF($A1329="","","#"&amp;TRIM(SUBSTITUTE(SUBSTITUTE(SUBSTITUTE(SUBSTITUTE(SUBSTITUTE(SUBSTITUTE($A1329,"-",""),"(",""),")",""),".",""),"+","")," ","")))</f>
      </c>
    </row>
    <row r="1330" spans="1:11" x14ac:dyDescent="0.3">
      <c r="A1330" s="28"/>
      <c r="B1330" s="29"/>
      <c r="C1330" s="30"/>
      <c r="D1330" s="31"/>
      <c r="E1330" s="33">
        <f>IF(OR($D1330="",$K1330=""),"",IF(COUNTIFS(Payments!$G$5:$G$2500,$K1330,Payments!$C$5:$C$2500,"&lt;&gt;")=0,"",_xlfn.MAXIFS(Payments!$C$5:$C$2500,Payments!$G$5:$G$2500,$K1330)))</f>
      </c>
      <c r="F1330" s="34">
        <f>IF(OR($D1330="",$K1330=""),"",SUMIF(Payments!$G$5:$G$2500,$K1330,Payments!$D$5:$D$2500))</f>
      </c>
      <c r="G1330" s="36">
        <f>IF($D1330="","",ROUND($D1330-IF($F1330="",0,$F1330),2))</f>
      </c>
      <c r="H1330" s="35">
        <f>IF(OR($D1330="",$K1330=""),"",COUNTIF(Payments!$G$5:$G$2500,$K1330))</f>
      </c>
      <c r="I1330" s="37">
        <f>IF($D1330="","",IF(OR($F1330="",$F1330=0),"Pending",IF(ROUND($F1330-$D1330,2)&gt;0,"Overpaid",IF(ROUND($F1330-$D1330,2)=0,"Paid","Partial"))))</f>
      </c>
      <c r="J1330" s="29"/>
      <c r="K1330">
        <f>IF($A1330="","","#"&amp;TRIM(SUBSTITUTE(SUBSTITUTE(SUBSTITUTE(SUBSTITUTE(SUBSTITUTE(SUBSTITUTE($A1330,"-",""),"(",""),")",""),".",""),"+","")," ","")))</f>
      </c>
    </row>
    <row r="1331" spans="1:11" x14ac:dyDescent="0.3">
      <c r="A1331" s="28"/>
      <c r="B1331" s="29"/>
      <c r="C1331" s="30"/>
      <c r="D1331" s="31"/>
      <c r="E1331" s="33">
        <f>IF(OR($D1331="",$K1331=""),"",IF(COUNTIFS(Payments!$G$5:$G$2500,$K1331,Payments!$C$5:$C$2500,"&lt;&gt;")=0,"",_xlfn.MAXIFS(Payments!$C$5:$C$2500,Payments!$G$5:$G$2500,$K1331)))</f>
      </c>
      <c r="F1331" s="34">
        <f>IF(OR($D1331="",$K1331=""),"",SUMIF(Payments!$G$5:$G$2500,$K1331,Payments!$D$5:$D$2500))</f>
      </c>
      <c r="G1331" s="36">
        <f>IF($D1331="","",ROUND($D1331-IF($F1331="",0,$F1331),2))</f>
      </c>
      <c r="H1331" s="35">
        <f>IF(OR($D1331="",$K1331=""),"",COUNTIF(Payments!$G$5:$G$2500,$K1331))</f>
      </c>
      <c r="I1331" s="37">
        <f>IF($D1331="","",IF(OR($F1331="",$F1331=0),"Pending",IF(ROUND($F1331-$D1331,2)&gt;0,"Overpaid",IF(ROUND($F1331-$D1331,2)=0,"Paid","Partial"))))</f>
      </c>
      <c r="J1331" s="29"/>
      <c r="K1331">
        <f>IF($A1331="","","#"&amp;TRIM(SUBSTITUTE(SUBSTITUTE(SUBSTITUTE(SUBSTITUTE(SUBSTITUTE(SUBSTITUTE($A1331,"-",""),"(",""),")",""),".",""),"+","")," ","")))</f>
      </c>
    </row>
    <row r="1332" spans="1:11" x14ac:dyDescent="0.3">
      <c r="A1332" s="28"/>
      <c r="B1332" s="29"/>
      <c r="C1332" s="30"/>
      <c r="D1332" s="31"/>
      <c r="E1332" s="33">
        <f>IF(OR($D1332="",$K1332=""),"",IF(COUNTIFS(Payments!$G$5:$G$2500,$K1332,Payments!$C$5:$C$2500,"&lt;&gt;")=0,"",_xlfn.MAXIFS(Payments!$C$5:$C$2500,Payments!$G$5:$G$2500,$K1332)))</f>
      </c>
      <c r="F1332" s="34">
        <f>IF(OR($D1332="",$K1332=""),"",SUMIF(Payments!$G$5:$G$2500,$K1332,Payments!$D$5:$D$2500))</f>
      </c>
      <c r="G1332" s="36">
        <f>IF($D1332="","",ROUND($D1332-IF($F1332="",0,$F1332),2))</f>
      </c>
      <c r="H1332" s="35">
        <f>IF(OR($D1332="",$K1332=""),"",COUNTIF(Payments!$G$5:$G$2500,$K1332))</f>
      </c>
      <c r="I1332" s="37">
        <f>IF($D1332="","",IF(OR($F1332="",$F1332=0),"Pending",IF(ROUND($F1332-$D1332,2)&gt;0,"Overpaid",IF(ROUND($F1332-$D1332,2)=0,"Paid","Partial"))))</f>
      </c>
      <c r="J1332" s="29"/>
      <c r="K1332">
        <f>IF($A1332="","","#"&amp;TRIM(SUBSTITUTE(SUBSTITUTE(SUBSTITUTE(SUBSTITUTE(SUBSTITUTE(SUBSTITUTE($A1332,"-",""),"(",""),")",""),".",""),"+","")," ","")))</f>
      </c>
    </row>
    <row r="1333" spans="1:11" x14ac:dyDescent="0.3">
      <c r="A1333" s="28"/>
      <c r="B1333" s="29"/>
      <c r="C1333" s="30"/>
      <c r="D1333" s="31"/>
      <c r="E1333" s="33">
        <f>IF(OR($D1333="",$K1333=""),"",IF(COUNTIFS(Payments!$G$5:$G$2500,$K1333,Payments!$C$5:$C$2500,"&lt;&gt;")=0,"",_xlfn.MAXIFS(Payments!$C$5:$C$2500,Payments!$G$5:$G$2500,$K1333)))</f>
      </c>
      <c r="F1333" s="34">
        <f>IF(OR($D1333="",$K1333=""),"",SUMIF(Payments!$G$5:$G$2500,$K1333,Payments!$D$5:$D$2500))</f>
      </c>
      <c r="G1333" s="36">
        <f>IF($D1333="","",ROUND($D1333-IF($F1333="",0,$F1333),2))</f>
      </c>
      <c r="H1333" s="35">
        <f>IF(OR($D1333="",$K1333=""),"",COUNTIF(Payments!$G$5:$G$2500,$K1333))</f>
      </c>
      <c r="I1333" s="37">
        <f>IF($D1333="","",IF(OR($F1333="",$F1333=0),"Pending",IF(ROUND($F1333-$D1333,2)&gt;0,"Overpaid",IF(ROUND($F1333-$D1333,2)=0,"Paid","Partial"))))</f>
      </c>
      <c r="J1333" s="29"/>
      <c r="K1333">
        <f>IF($A1333="","","#"&amp;TRIM(SUBSTITUTE(SUBSTITUTE(SUBSTITUTE(SUBSTITUTE(SUBSTITUTE(SUBSTITUTE($A1333,"-",""),"(",""),")",""),".",""),"+","")," ","")))</f>
      </c>
    </row>
    <row r="1334" spans="1:11" x14ac:dyDescent="0.3">
      <c r="A1334" s="28"/>
      <c r="B1334" s="29"/>
      <c r="C1334" s="30"/>
      <c r="D1334" s="31"/>
      <c r="E1334" s="33">
        <f>IF(OR($D1334="",$K1334=""),"",IF(COUNTIFS(Payments!$G$5:$G$2500,$K1334,Payments!$C$5:$C$2500,"&lt;&gt;")=0,"",_xlfn.MAXIFS(Payments!$C$5:$C$2500,Payments!$G$5:$G$2500,$K1334)))</f>
      </c>
      <c r="F1334" s="34">
        <f>IF(OR($D1334="",$K1334=""),"",SUMIF(Payments!$G$5:$G$2500,$K1334,Payments!$D$5:$D$2500))</f>
      </c>
      <c r="G1334" s="36">
        <f>IF($D1334="","",ROUND($D1334-IF($F1334="",0,$F1334),2))</f>
      </c>
      <c r="H1334" s="35">
        <f>IF(OR($D1334="",$K1334=""),"",COUNTIF(Payments!$G$5:$G$2500,$K1334))</f>
      </c>
      <c r="I1334" s="37">
        <f>IF($D1334="","",IF(OR($F1334="",$F1334=0),"Pending",IF(ROUND($F1334-$D1334,2)&gt;0,"Overpaid",IF(ROUND($F1334-$D1334,2)=0,"Paid","Partial"))))</f>
      </c>
      <c r="J1334" s="29"/>
      <c r="K1334">
        <f>IF($A1334="","","#"&amp;TRIM(SUBSTITUTE(SUBSTITUTE(SUBSTITUTE(SUBSTITUTE(SUBSTITUTE(SUBSTITUTE($A1334,"-",""),"(",""),")",""),".",""),"+","")," ","")))</f>
      </c>
    </row>
    <row r="1335" spans="1:11" x14ac:dyDescent="0.3">
      <c r="A1335" s="28"/>
      <c r="B1335" s="29"/>
      <c r="C1335" s="30"/>
      <c r="D1335" s="31"/>
      <c r="E1335" s="33">
        <f>IF(OR($D1335="",$K1335=""),"",IF(COUNTIFS(Payments!$G$5:$G$2500,$K1335,Payments!$C$5:$C$2500,"&lt;&gt;")=0,"",_xlfn.MAXIFS(Payments!$C$5:$C$2500,Payments!$G$5:$G$2500,$K1335)))</f>
      </c>
      <c r="F1335" s="34">
        <f>IF(OR($D1335="",$K1335=""),"",SUMIF(Payments!$G$5:$G$2500,$K1335,Payments!$D$5:$D$2500))</f>
      </c>
      <c r="G1335" s="36">
        <f>IF($D1335="","",ROUND($D1335-IF($F1335="",0,$F1335),2))</f>
      </c>
      <c r="H1335" s="35">
        <f>IF(OR($D1335="",$K1335=""),"",COUNTIF(Payments!$G$5:$G$2500,$K1335))</f>
      </c>
      <c r="I1335" s="37">
        <f>IF($D1335="","",IF(OR($F1335="",$F1335=0),"Pending",IF(ROUND($F1335-$D1335,2)&gt;0,"Overpaid",IF(ROUND($F1335-$D1335,2)=0,"Paid","Partial"))))</f>
      </c>
      <c r="J1335" s="29"/>
      <c r="K1335">
        <f>IF($A1335="","","#"&amp;TRIM(SUBSTITUTE(SUBSTITUTE(SUBSTITUTE(SUBSTITUTE(SUBSTITUTE(SUBSTITUTE($A1335,"-",""),"(",""),")",""),".",""),"+","")," ","")))</f>
      </c>
    </row>
    <row r="1336" spans="1:11" x14ac:dyDescent="0.3">
      <c r="A1336" s="28"/>
      <c r="B1336" s="29"/>
      <c r="C1336" s="30"/>
      <c r="D1336" s="31"/>
      <c r="E1336" s="33">
        <f>IF(OR($D1336="",$K1336=""),"",IF(COUNTIFS(Payments!$G$5:$G$2500,$K1336,Payments!$C$5:$C$2500,"&lt;&gt;")=0,"",_xlfn.MAXIFS(Payments!$C$5:$C$2500,Payments!$G$5:$G$2500,$K1336)))</f>
      </c>
      <c r="F1336" s="34">
        <f>IF(OR($D1336="",$K1336=""),"",SUMIF(Payments!$G$5:$G$2500,$K1336,Payments!$D$5:$D$2500))</f>
      </c>
      <c r="G1336" s="36">
        <f>IF($D1336="","",ROUND($D1336-IF($F1336="",0,$F1336),2))</f>
      </c>
      <c r="H1336" s="35">
        <f>IF(OR($D1336="",$K1336=""),"",COUNTIF(Payments!$G$5:$G$2500,$K1336))</f>
      </c>
      <c r="I1336" s="37">
        <f>IF($D1336="","",IF(OR($F1336="",$F1336=0),"Pending",IF(ROUND($F1336-$D1336,2)&gt;0,"Overpaid",IF(ROUND($F1336-$D1336,2)=0,"Paid","Partial"))))</f>
      </c>
      <c r="J1336" s="29"/>
      <c r="K1336">
        <f>IF($A1336="","","#"&amp;TRIM(SUBSTITUTE(SUBSTITUTE(SUBSTITUTE(SUBSTITUTE(SUBSTITUTE(SUBSTITUTE($A1336,"-",""),"(",""),")",""),".",""),"+","")," ","")))</f>
      </c>
    </row>
    <row r="1337" spans="1:11" x14ac:dyDescent="0.3">
      <c r="A1337" s="28"/>
      <c r="B1337" s="29"/>
      <c r="C1337" s="30"/>
      <c r="D1337" s="31"/>
      <c r="E1337" s="33">
        <f>IF(OR($D1337="",$K1337=""),"",IF(COUNTIFS(Payments!$G$5:$G$2500,$K1337,Payments!$C$5:$C$2500,"&lt;&gt;")=0,"",_xlfn.MAXIFS(Payments!$C$5:$C$2500,Payments!$G$5:$G$2500,$K1337)))</f>
      </c>
      <c r="F1337" s="34">
        <f>IF(OR($D1337="",$K1337=""),"",SUMIF(Payments!$G$5:$G$2500,$K1337,Payments!$D$5:$D$2500))</f>
      </c>
      <c r="G1337" s="36">
        <f>IF($D1337="","",ROUND($D1337-IF($F1337="",0,$F1337),2))</f>
      </c>
      <c r="H1337" s="35">
        <f>IF(OR($D1337="",$K1337=""),"",COUNTIF(Payments!$G$5:$G$2500,$K1337))</f>
      </c>
      <c r="I1337" s="37">
        <f>IF($D1337="","",IF(OR($F1337="",$F1337=0),"Pending",IF(ROUND($F1337-$D1337,2)&gt;0,"Overpaid",IF(ROUND($F1337-$D1337,2)=0,"Paid","Partial"))))</f>
      </c>
      <c r="J1337" s="29"/>
      <c r="K1337">
        <f>IF($A1337="","","#"&amp;TRIM(SUBSTITUTE(SUBSTITUTE(SUBSTITUTE(SUBSTITUTE(SUBSTITUTE(SUBSTITUTE($A1337,"-",""),"(",""),")",""),".",""),"+","")," ","")))</f>
      </c>
    </row>
    <row r="1338" spans="1:11" x14ac:dyDescent="0.3">
      <c r="A1338" s="28"/>
      <c r="B1338" s="29"/>
      <c r="C1338" s="30"/>
      <c r="D1338" s="31"/>
      <c r="E1338" s="33">
        <f>IF(OR($D1338="",$K1338=""),"",IF(COUNTIFS(Payments!$G$5:$G$2500,$K1338,Payments!$C$5:$C$2500,"&lt;&gt;")=0,"",_xlfn.MAXIFS(Payments!$C$5:$C$2500,Payments!$G$5:$G$2500,$K1338)))</f>
      </c>
      <c r="F1338" s="34">
        <f>IF(OR($D1338="",$K1338=""),"",SUMIF(Payments!$G$5:$G$2500,$K1338,Payments!$D$5:$D$2500))</f>
      </c>
      <c r="G1338" s="36">
        <f>IF($D1338="","",ROUND($D1338-IF($F1338="",0,$F1338),2))</f>
      </c>
      <c r="H1338" s="35">
        <f>IF(OR($D1338="",$K1338=""),"",COUNTIF(Payments!$G$5:$G$2500,$K1338))</f>
      </c>
      <c r="I1338" s="37">
        <f>IF($D1338="","",IF(OR($F1338="",$F1338=0),"Pending",IF(ROUND($F1338-$D1338,2)&gt;0,"Overpaid",IF(ROUND($F1338-$D1338,2)=0,"Paid","Partial"))))</f>
      </c>
      <c r="J1338" s="29"/>
      <c r="K1338">
        <f>IF($A1338="","","#"&amp;TRIM(SUBSTITUTE(SUBSTITUTE(SUBSTITUTE(SUBSTITUTE(SUBSTITUTE(SUBSTITUTE($A1338,"-",""),"(",""),")",""),".",""),"+","")," ","")))</f>
      </c>
    </row>
    <row r="1339" spans="1:11" x14ac:dyDescent="0.3">
      <c r="A1339" s="28"/>
      <c r="B1339" s="29"/>
      <c r="C1339" s="30"/>
      <c r="D1339" s="31"/>
      <c r="E1339" s="33">
        <f>IF(OR($D1339="",$K1339=""),"",IF(COUNTIFS(Payments!$G$5:$G$2500,$K1339,Payments!$C$5:$C$2500,"&lt;&gt;")=0,"",_xlfn.MAXIFS(Payments!$C$5:$C$2500,Payments!$G$5:$G$2500,$K1339)))</f>
      </c>
      <c r="F1339" s="34">
        <f>IF(OR($D1339="",$K1339=""),"",SUMIF(Payments!$G$5:$G$2500,$K1339,Payments!$D$5:$D$2500))</f>
      </c>
      <c r="G1339" s="36">
        <f>IF($D1339="","",ROUND($D1339-IF($F1339="",0,$F1339),2))</f>
      </c>
      <c r="H1339" s="35">
        <f>IF(OR($D1339="",$K1339=""),"",COUNTIF(Payments!$G$5:$G$2500,$K1339))</f>
      </c>
      <c r="I1339" s="37">
        <f>IF($D1339="","",IF(OR($F1339="",$F1339=0),"Pending",IF(ROUND($F1339-$D1339,2)&gt;0,"Overpaid",IF(ROUND($F1339-$D1339,2)=0,"Paid","Partial"))))</f>
      </c>
      <c r="J1339" s="29"/>
      <c r="K1339">
        <f>IF($A1339="","","#"&amp;TRIM(SUBSTITUTE(SUBSTITUTE(SUBSTITUTE(SUBSTITUTE(SUBSTITUTE(SUBSTITUTE($A1339,"-",""),"(",""),")",""),".",""),"+","")," ","")))</f>
      </c>
    </row>
    <row r="1340" spans="1:11" x14ac:dyDescent="0.3">
      <c r="A1340" s="28"/>
      <c r="B1340" s="29"/>
      <c r="C1340" s="30"/>
      <c r="D1340" s="31"/>
      <c r="E1340" s="33">
        <f>IF(OR($D1340="",$K1340=""),"",IF(COUNTIFS(Payments!$G$5:$G$2500,$K1340,Payments!$C$5:$C$2500,"&lt;&gt;")=0,"",_xlfn.MAXIFS(Payments!$C$5:$C$2500,Payments!$G$5:$G$2500,$K1340)))</f>
      </c>
      <c r="F1340" s="34">
        <f>IF(OR($D1340="",$K1340=""),"",SUMIF(Payments!$G$5:$G$2500,$K1340,Payments!$D$5:$D$2500))</f>
      </c>
      <c r="G1340" s="36">
        <f>IF($D1340="","",ROUND($D1340-IF($F1340="",0,$F1340),2))</f>
      </c>
      <c r="H1340" s="35">
        <f>IF(OR($D1340="",$K1340=""),"",COUNTIF(Payments!$G$5:$G$2500,$K1340))</f>
      </c>
      <c r="I1340" s="37">
        <f>IF($D1340="","",IF(OR($F1340="",$F1340=0),"Pending",IF(ROUND($F1340-$D1340,2)&gt;0,"Overpaid",IF(ROUND($F1340-$D1340,2)=0,"Paid","Partial"))))</f>
      </c>
      <c r="J1340" s="29"/>
      <c r="K1340">
        <f>IF($A1340="","","#"&amp;TRIM(SUBSTITUTE(SUBSTITUTE(SUBSTITUTE(SUBSTITUTE(SUBSTITUTE(SUBSTITUTE($A1340,"-",""),"(",""),")",""),".",""),"+","")," ","")))</f>
      </c>
    </row>
    <row r="1341" spans="1:11" x14ac:dyDescent="0.3">
      <c r="A1341" s="28"/>
      <c r="B1341" s="29"/>
      <c r="C1341" s="30"/>
      <c r="D1341" s="31"/>
      <c r="E1341" s="33">
        <f>IF(OR($D1341="",$K1341=""),"",IF(COUNTIFS(Payments!$G$5:$G$2500,$K1341,Payments!$C$5:$C$2500,"&lt;&gt;")=0,"",_xlfn.MAXIFS(Payments!$C$5:$C$2500,Payments!$G$5:$G$2500,$K1341)))</f>
      </c>
      <c r="F1341" s="34">
        <f>IF(OR($D1341="",$K1341=""),"",SUMIF(Payments!$G$5:$G$2500,$K1341,Payments!$D$5:$D$2500))</f>
      </c>
      <c r="G1341" s="36">
        <f>IF($D1341="","",ROUND($D1341-IF($F1341="",0,$F1341),2))</f>
      </c>
      <c r="H1341" s="35">
        <f>IF(OR($D1341="",$K1341=""),"",COUNTIF(Payments!$G$5:$G$2500,$K1341))</f>
      </c>
      <c r="I1341" s="37">
        <f>IF($D1341="","",IF(OR($F1341="",$F1341=0),"Pending",IF(ROUND($F1341-$D1341,2)&gt;0,"Overpaid",IF(ROUND($F1341-$D1341,2)=0,"Paid","Partial"))))</f>
      </c>
      <c r="J1341" s="29"/>
      <c r="K1341">
        <f>IF($A1341="","","#"&amp;TRIM(SUBSTITUTE(SUBSTITUTE(SUBSTITUTE(SUBSTITUTE(SUBSTITUTE(SUBSTITUTE($A1341,"-",""),"(",""),")",""),".",""),"+","")," ","")))</f>
      </c>
    </row>
    <row r="1342" spans="1:11" x14ac:dyDescent="0.3">
      <c r="A1342" s="28"/>
      <c r="B1342" s="29"/>
      <c r="C1342" s="30"/>
      <c r="D1342" s="31"/>
      <c r="E1342" s="33">
        <f>IF(OR($D1342="",$K1342=""),"",IF(COUNTIFS(Payments!$G$5:$G$2500,$K1342,Payments!$C$5:$C$2500,"&lt;&gt;")=0,"",_xlfn.MAXIFS(Payments!$C$5:$C$2500,Payments!$G$5:$G$2500,$K1342)))</f>
      </c>
      <c r="F1342" s="34">
        <f>IF(OR($D1342="",$K1342=""),"",SUMIF(Payments!$G$5:$G$2500,$K1342,Payments!$D$5:$D$2500))</f>
      </c>
      <c r="G1342" s="36">
        <f>IF($D1342="","",ROUND($D1342-IF($F1342="",0,$F1342),2))</f>
      </c>
      <c r="H1342" s="35">
        <f>IF(OR($D1342="",$K1342=""),"",COUNTIF(Payments!$G$5:$G$2500,$K1342))</f>
      </c>
      <c r="I1342" s="37">
        <f>IF($D1342="","",IF(OR($F1342="",$F1342=0),"Pending",IF(ROUND($F1342-$D1342,2)&gt;0,"Overpaid",IF(ROUND($F1342-$D1342,2)=0,"Paid","Partial"))))</f>
      </c>
      <c r="J1342" s="29"/>
      <c r="K1342">
        <f>IF($A1342="","","#"&amp;TRIM(SUBSTITUTE(SUBSTITUTE(SUBSTITUTE(SUBSTITUTE(SUBSTITUTE(SUBSTITUTE($A1342,"-",""),"(",""),")",""),".",""),"+","")," ","")))</f>
      </c>
    </row>
    <row r="1343" spans="1:11" x14ac:dyDescent="0.3">
      <c r="A1343" s="28"/>
      <c r="B1343" s="29"/>
      <c r="C1343" s="30"/>
      <c r="D1343" s="31"/>
      <c r="E1343" s="33">
        <f>IF(OR($D1343="",$K1343=""),"",IF(COUNTIFS(Payments!$G$5:$G$2500,$K1343,Payments!$C$5:$C$2500,"&lt;&gt;")=0,"",_xlfn.MAXIFS(Payments!$C$5:$C$2500,Payments!$G$5:$G$2500,$K1343)))</f>
      </c>
      <c r="F1343" s="34">
        <f>IF(OR($D1343="",$K1343=""),"",SUMIF(Payments!$G$5:$G$2500,$K1343,Payments!$D$5:$D$2500))</f>
      </c>
      <c r="G1343" s="36">
        <f>IF($D1343="","",ROUND($D1343-IF($F1343="",0,$F1343),2))</f>
      </c>
      <c r="H1343" s="35">
        <f>IF(OR($D1343="",$K1343=""),"",COUNTIF(Payments!$G$5:$G$2500,$K1343))</f>
      </c>
      <c r="I1343" s="37">
        <f>IF($D1343="","",IF(OR($F1343="",$F1343=0),"Pending",IF(ROUND($F1343-$D1343,2)&gt;0,"Overpaid",IF(ROUND($F1343-$D1343,2)=0,"Paid","Partial"))))</f>
      </c>
      <c r="J1343" s="29"/>
      <c r="K1343">
        <f>IF($A1343="","","#"&amp;TRIM(SUBSTITUTE(SUBSTITUTE(SUBSTITUTE(SUBSTITUTE(SUBSTITUTE(SUBSTITUTE($A1343,"-",""),"(",""),")",""),".",""),"+","")," ","")))</f>
      </c>
    </row>
    <row r="1344" spans="1:11" x14ac:dyDescent="0.3">
      <c r="A1344" s="28"/>
      <c r="B1344" s="29"/>
      <c r="C1344" s="30"/>
      <c r="D1344" s="31"/>
      <c r="E1344" s="33">
        <f>IF(OR($D1344="",$K1344=""),"",IF(COUNTIFS(Payments!$G$5:$G$2500,$K1344,Payments!$C$5:$C$2500,"&lt;&gt;")=0,"",_xlfn.MAXIFS(Payments!$C$5:$C$2500,Payments!$G$5:$G$2500,$K1344)))</f>
      </c>
      <c r="F1344" s="34">
        <f>IF(OR($D1344="",$K1344=""),"",SUMIF(Payments!$G$5:$G$2500,$K1344,Payments!$D$5:$D$2500))</f>
      </c>
      <c r="G1344" s="36">
        <f>IF($D1344="","",ROUND($D1344-IF($F1344="",0,$F1344),2))</f>
      </c>
      <c r="H1344" s="35">
        <f>IF(OR($D1344="",$K1344=""),"",COUNTIF(Payments!$G$5:$G$2500,$K1344))</f>
      </c>
      <c r="I1344" s="37">
        <f>IF($D1344="","",IF(OR($F1344="",$F1344=0),"Pending",IF(ROUND($F1344-$D1344,2)&gt;0,"Overpaid",IF(ROUND($F1344-$D1344,2)=0,"Paid","Partial"))))</f>
      </c>
      <c r="J1344" s="29"/>
      <c r="K1344">
        <f>IF($A1344="","","#"&amp;TRIM(SUBSTITUTE(SUBSTITUTE(SUBSTITUTE(SUBSTITUTE(SUBSTITUTE(SUBSTITUTE($A1344,"-",""),"(",""),")",""),".",""),"+","")," ","")))</f>
      </c>
    </row>
    <row r="1345" spans="1:11" x14ac:dyDescent="0.3">
      <c r="A1345" s="28"/>
      <c r="B1345" s="29"/>
      <c r="C1345" s="30"/>
      <c r="D1345" s="31"/>
      <c r="E1345" s="33">
        <f>IF(OR($D1345="",$K1345=""),"",IF(COUNTIFS(Payments!$G$5:$G$2500,$K1345,Payments!$C$5:$C$2500,"&lt;&gt;")=0,"",_xlfn.MAXIFS(Payments!$C$5:$C$2500,Payments!$G$5:$G$2500,$K1345)))</f>
      </c>
      <c r="F1345" s="34">
        <f>IF(OR($D1345="",$K1345=""),"",SUMIF(Payments!$G$5:$G$2500,$K1345,Payments!$D$5:$D$2500))</f>
      </c>
      <c r="G1345" s="36">
        <f>IF($D1345="","",ROUND($D1345-IF($F1345="",0,$F1345),2))</f>
      </c>
      <c r="H1345" s="35">
        <f>IF(OR($D1345="",$K1345=""),"",COUNTIF(Payments!$G$5:$G$2500,$K1345))</f>
      </c>
      <c r="I1345" s="37">
        <f>IF($D1345="","",IF(OR($F1345="",$F1345=0),"Pending",IF(ROUND($F1345-$D1345,2)&gt;0,"Overpaid",IF(ROUND($F1345-$D1345,2)=0,"Paid","Partial"))))</f>
      </c>
      <c r="J1345" s="29"/>
      <c r="K1345">
        <f>IF($A1345="","","#"&amp;TRIM(SUBSTITUTE(SUBSTITUTE(SUBSTITUTE(SUBSTITUTE(SUBSTITUTE(SUBSTITUTE($A1345,"-",""),"(",""),")",""),".",""),"+","")," ","")))</f>
      </c>
    </row>
    <row r="1346" spans="1:11" x14ac:dyDescent="0.3">
      <c r="A1346" s="28"/>
      <c r="B1346" s="29"/>
      <c r="C1346" s="30"/>
      <c r="D1346" s="31"/>
      <c r="E1346" s="33">
        <f>IF(OR($D1346="",$K1346=""),"",IF(COUNTIFS(Payments!$G$5:$G$2500,$K1346,Payments!$C$5:$C$2500,"&lt;&gt;")=0,"",_xlfn.MAXIFS(Payments!$C$5:$C$2500,Payments!$G$5:$G$2500,$K1346)))</f>
      </c>
      <c r="F1346" s="34">
        <f>IF(OR($D1346="",$K1346=""),"",SUMIF(Payments!$G$5:$G$2500,$K1346,Payments!$D$5:$D$2500))</f>
      </c>
      <c r="G1346" s="36">
        <f>IF($D1346="","",ROUND($D1346-IF($F1346="",0,$F1346),2))</f>
      </c>
      <c r="H1346" s="35">
        <f>IF(OR($D1346="",$K1346=""),"",COUNTIF(Payments!$G$5:$G$2500,$K1346))</f>
      </c>
      <c r="I1346" s="37">
        <f>IF($D1346="","",IF(OR($F1346="",$F1346=0),"Pending",IF(ROUND($F1346-$D1346,2)&gt;0,"Overpaid",IF(ROUND($F1346-$D1346,2)=0,"Paid","Partial"))))</f>
      </c>
      <c r="J1346" s="29"/>
      <c r="K1346">
        <f>IF($A1346="","","#"&amp;TRIM(SUBSTITUTE(SUBSTITUTE(SUBSTITUTE(SUBSTITUTE(SUBSTITUTE(SUBSTITUTE($A1346,"-",""),"(",""),")",""),".",""),"+","")," ","")))</f>
      </c>
    </row>
    <row r="1347" spans="1:11" x14ac:dyDescent="0.3">
      <c r="A1347" s="28"/>
      <c r="B1347" s="29"/>
      <c r="C1347" s="30"/>
      <c r="D1347" s="31"/>
      <c r="E1347" s="33">
        <f>IF(OR($D1347="",$K1347=""),"",IF(COUNTIFS(Payments!$G$5:$G$2500,$K1347,Payments!$C$5:$C$2500,"&lt;&gt;")=0,"",_xlfn.MAXIFS(Payments!$C$5:$C$2500,Payments!$G$5:$G$2500,$K1347)))</f>
      </c>
      <c r="F1347" s="34">
        <f>IF(OR($D1347="",$K1347=""),"",SUMIF(Payments!$G$5:$G$2500,$K1347,Payments!$D$5:$D$2500))</f>
      </c>
      <c r="G1347" s="36">
        <f>IF($D1347="","",ROUND($D1347-IF($F1347="",0,$F1347),2))</f>
      </c>
      <c r="H1347" s="35">
        <f>IF(OR($D1347="",$K1347=""),"",COUNTIF(Payments!$G$5:$G$2500,$K1347))</f>
      </c>
      <c r="I1347" s="37">
        <f>IF($D1347="","",IF(OR($F1347="",$F1347=0),"Pending",IF(ROUND($F1347-$D1347,2)&gt;0,"Overpaid",IF(ROUND($F1347-$D1347,2)=0,"Paid","Partial"))))</f>
      </c>
      <c r="J1347" s="29"/>
      <c r="K1347">
        <f>IF($A1347="","","#"&amp;TRIM(SUBSTITUTE(SUBSTITUTE(SUBSTITUTE(SUBSTITUTE(SUBSTITUTE(SUBSTITUTE($A1347,"-",""),"(",""),")",""),".",""),"+","")," ","")))</f>
      </c>
    </row>
    <row r="1348" spans="1:11" x14ac:dyDescent="0.3">
      <c r="A1348" s="28"/>
      <c r="B1348" s="29"/>
      <c r="C1348" s="30"/>
      <c r="D1348" s="31"/>
      <c r="E1348" s="33">
        <f>IF(OR($D1348="",$K1348=""),"",IF(COUNTIFS(Payments!$G$5:$G$2500,$K1348,Payments!$C$5:$C$2500,"&lt;&gt;")=0,"",_xlfn.MAXIFS(Payments!$C$5:$C$2500,Payments!$G$5:$G$2500,$K1348)))</f>
      </c>
      <c r="F1348" s="34">
        <f>IF(OR($D1348="",$K1348=""),"",SUMIF(Payments!$G$5:$G$2500,$K1348,Payments!$D$5:$D$2500))</f>
      </c>
      <c r="G1348" s="36">
        <f>IF($D1348="","",ROUND($D1348-IF($F1348="",0,$F1348),2))</f>
      </c>
      <c r="H1348" s="35">
        <f>IF(OR($D1348="",$K1348=""),"",COUNTIF(Payments!$G$5:$G$2500,$K1348))</f>
      </c>
      <c r="I1348" s="37">
        <f>IF($D1348="","",IF(OR($F1348="",$F1348=0),"Pending",IF(ROUND($F1348-$D1348,2)&gt;0,"Overpaid",IF(ROUND($F1348-$D1348,2)=0,"Paid","Partial"))))</f>
      </c>
      <c r="J1348" s="29"/>
      <c r="K1348">
        <f>IF($A1348="","","#"&amp;TRIM(SUBSTITUTE(SUBSTITUTE(SUBSTITUTE(SUBSTITUTE(SUBSTITUTE(SUBSTITUTE($A1348,"-",""),"(",""),")",""),".",""),"+","")," ","")))</f>
      </c>
    </row>
    <row r="1349" spans="1:11" x14ac:dyDescent="0.3">
      <c r="A1349" s="28"/>
      <c r="B1349" s="29"/>
      <c r="C1349" s="30"/>
      <c r="D1349" s="31"/>
      <c r="E1349" s="33">
        <f>IF(OR($D1349="",$K1349=""),"",IF(COUNTIFS(Payments!$G$5:$G$2500,$K1349,Payments!$C$5:$C$2500,"&lt;&gt;")=0,"",_xlfn.MAXIFS(Payments!$C$5:$C$2500,Payments!$G$5:$G$2500,$K1349)))</f>
      </c>
      <c r="F1349" s="34">
        <f>IF(OR($D1349="",$K1349=""),"",SUMIF(Payments!$G$5:$G$2500,$K1349,Payments!$D$5:$D$2500))</f>
      </c>
      <c r="G1349" s="36">
        <f>IF($D1349="","",ROUND($D1349-IF($F1349="",0,$F1349),2))</f>
      </c>
      <c r="H1349" s="35">
        <f>IF(OR($D1349="",$K1349=""),"",COUNTIF(Payments!$G$5:$G$2500,$K1349))</f>
      </c>
      <c r="I1349" s="37">
        <f>IF($D1349="","",IF(OR($F1349="",$F1349=0),"Pending",IF(ROUND($F1349-$D1349,2)&gt;0,"Overpaid",IF(ROUND($F1349-$D1349,2)=0,"Paid","Partial"))))</f>
      </c>
      <c r="J1349" s="29"/>
      <c r="K1349">
        <f>IF($A1349="","","#"&amp;TRIM(SUBSTITUTE(SUBSTITUTE(SUBSTITUTE(SUBSTITUTE(SUBSTITUTE(SUBSTITUTE($A1349,"-",""),"(",""),")",""),".",""),"+","")," ","")))</f>
      </c>
    </row>
    <row r="1350" spans="1:11" x14ac:dyDescent="0.3">
      <c r="A1350" s="28"/>
      <c r="B1350" s="29"/>
      <c r="C1350" s="30"/>
      <c r="D1350" s="31"/>
      <c r="E1350" s="33">
        <f>IF(OR($D1350="",$K1350=""),"",IF(COUNTIFS(Payments!$G$5:$G$2500,$K1350,Payments!$C$5:$C$2500,"&lt;&gt;")=0,"",_xlfn.MAXIFS(Payments!$C$5:$C$2500,Payments!$G$5:$G$2500,$K1350)))</f>
      </c>
      <c r="F1350" s="34">
        <f>IF(OR($D1350="",$K1350=""),"",SUMIF(Payments!$G$5:$G$2500,$K1350,Payments!$D$5:$D$2500))</f>
      </c>
      <c r="G1350" s="36">
        <f>IF($D1350="","",ROUND($D1350-IF($F1350="",0,$F1350),2))</f>
      </c>
      <c r="H1350" s="35">
        <f>IF(OR($D1350="",$K1350=""),"",COUNTIF(Payments!$G$5:$G$2500,$K1350))</f>
      </c>
      <c r="I1350" s="37">
        <f>IF($D1350="","",IF(OR($F1350="",$F1350=0),"Pending",IF(ROUND($F1350-$D1350,2)&gt;0,"Overpaid",IF(ROUND($F1350-$D1350,2)=0,"Paid","Partial"))))</f>
      </c>
      <c r="J1350" s="29"/>
      <c r="K1350">
        <f>IF($A1350="","","#"&amp;TRIM(SUBSTITUTE(SUBSTITUTE(SUBSTITUTE(SUBSTITUTE(SUBSTITUTE(SUBSTITUTE($A1350,"-",""),"(",""),")",""),".",""),"+","")," ","")))</f>
      </c>
    </row>
    <row r="1351" spans="1:11" x14ac:dyDescent="0.3">
      <c r="A1351" s="28"/>
      <c r="B1351" s="29"/>
      <c r="C1351" s="30"/>
      <c r="D1351" s="31"/>
      <c r="E1351" s="33">
        <f>IF(OR($D1351="",$K1351=""),"",IF(COUNTIFS(Payments!$G$5:$G$2500,$K1351,Payments!$C$5:$C$2500,"&lt;&gt;")=0,"",_xlfn.MAXIFS(Payments!$C$5:$C$2500,Payments!$G$5:$G$2500,$K1351)))</f>
      </c>
      <c r="F1351" s="34">
        <f>IF(OR($D1351="",$K1351=""),"",SUMIF(Payments!$G$5:$G$2500,$K1351,Payments!$D$5:$D$2500))</f>
      </c>
      <c r="G1351" s="36">
        <f>IF($D1351="","",ROUND($D1351-IF($F1351="",0,$F1351),2))</f>
      </c>
      <c r="H1351" s="35">
        <f>IF(OR($D1351="",$K1351=""),"",COUNTIF(Payments!$G$5:$G$2500,$K1351))</f>
      </c>
      <c r="I1351" s="37">
        <f>IF($D1351="","",IF(OR($F1351="",$F1351=0),"Pending",IF(ROUND($F1351-$D1351,2)&gt;0,"Overpaid",IF(ROUND($F1351-$D1351,2)=0,"Paid","Partial"))))</f>
      </c>
      <c r="J1351" s="29"/>
      <c r="K1351">
        <f>IF($A1351="","","#"&amp;TRIM(SUBSTITUTE(SUBSTITUTE(SUBSTITUTE(SUBSTITUTE(SUBSTITUTE(SUBSTITUTE($A1351,"-",""),"(",""),")",""),".",""),"+","")," ","")))</f>
      </c>
    </row>
    <row r="1352" spans="1:11" x14ac:dyDescent="0.3">
      <c r="A1352" s="28"/>
      <c r="B1352" s="29"/>
      <c r="C1352" s="30"/>
      <c r="D1352" s="31"/>
      <c r="E1352" s="33">
        <f>IF(OR($D1352="",$K1352=""),"",IF(COUNTIFS(Payments!$G$5:$G$2500,$K1352,Payments!$C$5:$C$2500,"&lt;&gt;")=0,"",_xlfn.MAXIFS(Payments!$C$5:$C$2500,Payments!$G$5:$G$2500,$K1352)))</f>
      </c>
      <c r="F1352" s="34">
        <f>IF(OR($D1352="",$K1352=""),"",SUMIF(Payments!$G$5:$G$2500,$K1352,Payments!$D$5:$D$2500))</f>
      </c>
      <c r="G1352" s="36">
        <f>IF($D1352="","",ROUND($D1352-IF($F1352="",0,$F1352),2))</f>
      </c>
      <c r="H1352" s="35">
        <f>IF(OR($D1352="",$K1352=""),"",COUNTIF(Payments!$G$5:$G$2500,$K1352))</f>
      </c>
      <c r="I1352" s="37">
        <f>IF($D1352="","",IF(OR($F1352="",$F1352=0),"Pending",IF(ROUND($F1352-$D1352,2)&gt;0,"Overpaid",IF(ROUND($F1352-$D1352,2)=0,"Paid","Partial"))))</f>
      </c>
      <c r="J1352" s="29"/>
      <c r="K1352">
        <f>IF($A1352="","","#"&amp;TRIM(SUBSTITUTE(SUBSTITUTE(SUBSTITUTE(SUBSTITUTE(SUBSTITUTE(SUBSTITUTE($A1352,"-",""),"(",""),")",""),".",""),"+","")," ","")))</f>
      </c>
    </row>
    <row r="1353" spans="1:11" x14ac:dyDescent="0.3">
      <c r="A1353" s="28"/>
      <c r="B1353" s="29"/>
      <c r="C1353" s="30"/>
      <c r="D1353" s="31"/>
      <c r="E1353" s="33">
        <f>IF(OR($D1353="",$K1353=""),"",IF(COUNTIFS(Payments!$G$5:$G$2500,$K1353,Payments!$C$5:$C$2500,"&lt;&gt;")=0,"",_xlfn.MAXIFS(Payments!$C$5:$C$2500,Payments!$G$5:$G$2500,$K1353)))</f>
      </c>
      <c r="F1353" s="34">
        <f>IF(OR($D1353="",$K1353=""),"",SUMIF(Payments!$G$5:$G$2500,$K1353,Payments!$D$5:$D$2500))</f>
      </c>
      <c r="G1353" s="36">
        <f>IF($D1353="","",ROUND($D1353-IF($F1353="",0,$F1353),2))</f>
      </c>
      <c r="H1353" s="35">
        <f>IF(OR($D1353="",$K1353=""),"",COUNTIF(Payments!$G$5:$G$2500,$K1353))</f>
      </c>
      <c r="I1353" s="37">
        <f>IF($D1353="","",IF(OR($F1353="",$F1353=0),"Pending",IF(ROUND($F1353-$D1353,2)&gt;0,"Overpaid",IF(ROUND($F1353-$D1353,2)=0,"Paid","Partial"))))</f>
      </c>
      <c r="J1353" s="29"/>
      <c r="K1353">
        <f>IF($A1353="","","#"&amp;TRIM(SUBSTITUTE(SUBSTITUTE(SUBSTITUTE(SUBSTITUTE(SUBSTITUTE(SUBSTITUTE($A1353,"-",""),"(",""),")",""),".",""),"+","")," ","")))</f>
      </c>
    </row>
    <row r="1354" spans="1:11" x14ac:dyDescent="0.3">
      <c r="A1354" s="28"/>
      <c r="B1354" s="29"/>
      <c r="C1354" s="30"/>
      <c r="D1354" s="31"/>
      <c r="E1354" s="33">
        <f>IF(OR($D1354="",$K1354=""),"",IF(COUNTIFS(Payments!$G$5:$G$2500,$K1354,Payments!$C$5:$C$2500,"&lt;&gt;")=0,"",_xlfn.MAXIFS(Payments!$C$5:$C$2500,Payments!$G$5:$G$2500,$K1354)))</f>
      </c>
      <c r="F1354" s="34">
        <f>IF(OR($D1354="",$K1354=""),"",SUMIF(Payments!$G$5:$G$2500,$K1354,Payments!$D$5:$D$2500))</f>
      </c>
      <c r="G1354" s="36">
        <f>IF($D1354="","",ROUND($D1354-IF($F1354="",0,$F1354),2))</f>
      </c>
      <c r="H1354" s="35">
        <f>IF(OR($D1354="",$K1354=""),"",COUNTIF(Payments!$G$5:$G$2500,$K1354))</f>
      </c>
      <c r="I1354" s="37">
        <f>IF($D1354="","",IF(OR($F1354="",$F1354=0),"Pending",IF(ROUND($F1354-$D1354,2)&gt;0,"Overpaid",IF(ROUND($F1354-$D1354,2)=0,"Paid","Partial"))))</f>
      </c>
      <c r="J1354" s="29"/>
      <c r="K1354">
        <f>IF($A1354="","","#"&amp;TRIM(SUBSTITUTE(SUBSTITUTE(SUBSTITUTE(SUBSTITUTE(SUBSTITUTE(SUBSTITUTE($A1354,"-",""),"(",""),")",""),".",""),"+","")," ","")))</f>
      </c>
    </row>
    <row r="1355" spans="1:11" x14ac:dyDescent="0.3">
      <c r="A1355" s="28"/>
      <c r="B1355" s="29"/>
      <c r="C1355" s="30"/>
      <c r="D1355" s="31"/>
      <c r="E1355" s="33">
        <f>IF(OR($D1355="",$K1355=""),"",IF(COUNTIFS(Payments!$G$5:$G$2500,$K1355,Payments!$C$5:$C$2500,"&lt;&gt;")=0,"",_xlfn.MAXIFS(Payments!$C$5:$C$2500,Payments!$G$5:$G$2500,$K1355)))</f>
      </c>
      <c r="F1355" s="34">
        <f>IF(OR($D1355="",$K1355=""),"",SUMIF(Payments!$G$5:$G$2500,$K1355,Payments!$D$5:$D$2500))</f>
      </c>
      <c r="G1355" s="36">
        <f>IF($D1355="","",ROUND($D1355-IF($F1355="",0,$F1355),2))</f>
      </c>
      <c r="H1355" s="35">
        <f>IF(OR($D1355="",$K1355=""),"",COUNTIF(Payments!$G$5:$G$2500,$K1355))</f>
      </c>
      <c r="I1355" s="37">
        <f>IF($D1355="","",IF(OR($F1355="",$F1355=0),"Pending",IF(ROUND($F1355-$D1355,2)&gt;0,"Overpaid",IF(ROUND($F1355-$D1355,2)=0,"Paid","Partial"))))</f>
      </c>
      <c r="J1355" s="29"/>
      <c r="K1355">
        <f>IF($A1355="","","#"&amp;TRIM(SUBSTITUTE(SUBSTITUTE(SUBSTITUTE(SUBSTITUTE(SUBSTITUTE(SUBSTITUTE($A1355,"-",""),"(",""),")",""),".",""),"+","")," ","")))</f>
      </c>
    </row>
    <row r="1356" spans="1:11" x14ac:dyDescent="0.3">
      <c r="A1356" s="28"/>
      <c r="B1356" s="29"/>
      <c r="C1356" s="30"/>
      <c r="D1356" s="31"/>
      <c r="E1356" s="33">
        <f>IF(OR($D1356="",$K1356=""),"",IF(COUNTIFS(Payments!$G$5:$G$2500,$K1356,Payments!$C$5:$C$2500,"&lt;&gt;")=0,"",_xlfn.MAXIFS(Payments!$C$5:$C$2500,Payments!$G$5:$G$2500,$K1356)))</f>
      </c>
      <c r="F1356" s="34">
        <f>IF(OR($D1356="",$K1356=""),"",SUMIF(Payments!$G$5:$G$2500,$K1356,Payments!$D$5:$D$2500))</f>
      </c>
      <c r="G1356" s="36">
        <f>IF($D1356="","",ROUND($D1356-IF($F1356="",0,$F1356),2))</f>
      </c>
      <c r="H1356" s="35">
        <f>IF(OR($D1356="",$K1356=""),"",COUNTIF(Payments!$G$5:$G$2500,$K1356))</f>
      </c>
      <c r="I1356" s="37">
        <f>IF($D1356="","",IF(OR($F1356="",$F1356=0),"Pending",IF(ROUND($F1356-$D1356,2)&gt;0,"Overpaid",IF(ROUND($F1356-$D1356,2)=0,"Paid","Partial"))))</f>
      </c>
      <c r="J1356" s="29"/>
      <c r="K1356">
        <f>IF($A1356="","","#"&amp;TRIM(SUBSTITUTE(SUBSTITUTE(SUBSTITUTE(SUBSTITUTE(SUBSTITUTE(SUBSTITUTE($A1356,"-",""),"(",""),")",""),".",""),"+","")," ","")))</f>
      </c>
    </row>
    <row r="1357" spans="1:11" x14ac:dyDescent="0.3">
      <c r="A1357" s="28"/>
      <c r="B1357" s="29"/>
      <c r="C1357" s="30"/>
      <c r="D1357" s="31"/>
      <c r="E1357" s="33">
        <f>IF(OR($D1357="",$K1357=""),"",IF(COUNTIFS(Payments!$G$5:$G$2500,$K1357,Payments!$C$5:$C$2500,"&lt;&gt;")=0,"",_xlfn.MAXIFS(Payments!$C$5:$C$2500,Payments!$G$5:$G$2500,$K1357)))</f>
      </c>
      <c r="F1357" s="34">
        <f>IF(OR($D1357="",$K1357=""),"",SUMIF(Payments!$G$5:$G$2500,$K1357,Payments!$D$5:$D$2500))</f>
      </c>
      <c r="G1357" s="36">
        <f>IF($D1357="","",ROUND($D1357-IF($F1357="",0,$F1357),2))</f>
      </c>
      <c r="H1357" s="35">
        <f>IF(OR($D1357="",$K1357=""),"",COUNTIF(Payments!$G$5:$G$2500,$K1357))</f>
      </c>
      <c r="I1357" s="37">
        <f>IF($D1357="","",IF(OR($F1357="",$F1357=0),"Pending",IF(ROUND($F1357-$D1357,2)&gt;0,"Overpaid",IF(ROUND($F1357-$D1357,2)=0,"Paid","Partial"))))</f>
      </c>
      <c r="J1357" s="29"/>
      <c r="K1357">
        <f>IF($A1357="","","#"&amp;TRIM(SUBSTITUTE(SUBSTITUTE(SUBSTITUTE(SUBSTITUTE(SUBSTITUTE(SUBSTITUTE($A1357,"-",""),"(",""),")",""),".",""),"+","")," ","")))</f>
      </c>
    </row>
    <row r="1358" spans="1:11" x14ac:dyDescent="0.3">
      <c r="A1358" s="28"/>
      <c r="B1358" s="29"/>
      <c r="C1358" s="30"/>
      <c r="D1358" s="31"/>
      <c r="E1358" s="33">
        <f>IF(OR($D1358="",$K1358=""),"",IF(COUNTIFS(Payments!$G$5:$G$2500,$K1358,Payments!$C$5:$C$2500,"&lt;&gt;")=0,"",_xlfn.MAXIFS(Payments!$C$5:$C$2500,Payments!$G$5:$G$2500,$K1358)))</f>
      </c>
      <c r="F1358" s="34">
        <f>IF(OR($D1358="",$K1358=""),"",SUMIF(Payments!$G$5:$G$2500,$K1358,Payments!$D$5:$D$2500))</f>
      </c>
      <c r="G1358" s="36">
        <f>IF($D1358="","",ROUND($D1358-IF($F1358="",0,$F1358),2))</f>
      </c>
      <c r="H1358" s="35">
        <f>IF(OR($D1358="",$K1358=""),"",COUNTIF(Payments!$G$5:$G$2500,$K1358))</f>
      </c>
      <c r="I1358" s="37">
        <f>IF($D1358="","",IF(OR($F1358="",$F1358=0),"Pending",IF(ROUND($F1358-$D1358,2)&gt;0,"Overpaid",IF(ROUND($F1358-$D1358,2)=0,"Paid","Partial"))))</f>
      </c>
      <c r="J1358" s="29"/>
      <c r="K1358">
        <f>IF($A1358="","","#"&amp;TRIM(SUBSTITUTE(SUBSTITUTE(SUBSTITUTE(SUBSTITUTE(SUBSTITUTE(SUBSTITUTE($A1358,"-",""),"(",""),")",""),".",""),"+","")," ","")))</f>
      </c>
    </row>
    <row r="1359" spans="1:11" x14ac:dyDescent="0.3">
      <c r="A1359" s="28"/>
      <c r="B1359" s="29"/>
      <c r="C1359" s="30"/>
      <c r="D1359" s="31"/>
      <c r="E1359" s="33">
        <f>IF(OR($D1359="",$K1359=""),"",IF(COUNTIFS(Payments!$G$5:$G$2500,$K1359,Payments!$C$5:$C$2500,"&lt;&gt;")=0,"",_xlfn.MAXIFS(Payments!$C$5:$C$2500,Payments!$G$5:$G$2500,$K1359)))</f>
      </c>
      <c r="F1359" s="34">
        <f>IF(OR($D1359="",$K1359=""),"",SUMIF(Payments!$G$5:$G$2500,$K1359,Payments!$D$5:$D$2500))</f>
      </c>
      <c r="G1359" s="36">
        <f>IF($D1359="","",ROUND($D1359-IF($F1359="",0,$F1359),2))</f>
      </c>
      <c r="H1359" s="35">
        <f>IF(OR($D1359="",$K1359=""),"",COUNTIF(Payments!$G$5:$G$2500,$K1359))</f>
      </c>
      <c r="I1359" s="37">
        <f>IF($D1359="","",IF(OR($F1359="",$F1359=0),"Pending",IF(ROUND($F1359-$D1359,2)&gt;0,"Overpaid",IF(ROUND($F1359-$D1359,2)=0,"Paid","Partial"))))</f>
      </c>
      <c r="J1359" s="29"/>
      <c r="K1359">
        <f>IF($A1359="","","#"&amp;TRIM(SUBSTITUTE(SUBSTITUTE(SUBSTITUTE(SUBSTITUTE(SUBSTITUTE(SUBSTITUTE($A1359,"-",""),"(",""),")",""),".",""),"+","")," ","")))</f>
      </c>
    </row>
    <row r="1360" spans="1:11" x14ac:dyDescent="0.3">
      <c r="A1360" s="28"/>
      <c r="B1360" s="29"/>
      <c r="C1360" s="30"/>
      <c r="D1360" s="31"/>
      <c r="E1360" s="33">
        <f>IF(OR($D1360="",$K1360=""),"",IF(COUNTIFS(Payments!$G$5:$G$2500,$K1360,Payments!$C$5:$C$2500,"&lt;&gt;")=0,"",_xlfn.MAXIFS(Payments!$C$5:$C$2500,Payments!$G$5:$G$2500,$K1360)))</f>
      </c>
      <c r="F1360" s="34">
        <f>IF(OR($D1360="",$K1360=""),"",SUMIF(Payments!$G$5:$G$2500,$K1360,Payments!$D$5:$D$2500))</f>
      </c>
      <c r="G1360" s="36">
        <f>IF($D1360="","",ROUND($D1360-IF($F1360="",0,$F1360),2))</f>
      </c>
      <c r="H1360" s="35">
        <f>IF(OR($D1360="",$K1360=""),"",COUNTIF(Payments!$G$5:$G$2500,$K1360))</f>
      </c>
      <c r="I1360" s="37">
        <f>IF($D1360="","",IF(OR($F1360="",$F1360=0),"Pending",IF(ROUND($F1360-$D1360,2)&gt;0,"Overpaid",IF(ROUND($F1360-$D1360,2)=0,"Paid","Partial"))))</f>
      </c>
      <c r="J1360" s="29"/>
      <c r="K1360">
        <f>IF($A1360="","","#"&amp;TRIM(SUBSTITUTE(SUBSTITUTE(SUBSTITUTE(SUBSTITUTE(SUBSTITUTE(SUBSTITUTE($A1360,"-",""),"(",""),")",""),".",""),"+","")," ","")))</f>
      </c>
    </row>
    <row r="1361" spans="1:11" x14ac:dyDescent="0.3">
      <c r="A1361" s="28"/>
      <c r="B1361" s="29"/>
      <c r="C1361" s="30"/>
      <c r="D1361" s="31"/>
      <c r="E1361" s="33">
        <f>IF(OR($D1361="",$K1361=""),"",IF(COUNTIFS(Payments!$G$5:$G$2500,$K1361,Payments!$C$5:$C$2500,"&lt;&gt;")=0,"",_xlfn.MAXIFS(Payments!$C$5:$C$2500,Payments!$G$5:$G$2500,$K1361)))</f>
      </c>
      <c r="F1361" s="34">
        <f>IF(OR($D1361="",$K1361=""),"",SUMIF(Payments!$G$5:$G$2500,$K1361,Payments!$D$5:$D$2500))</f>
      </c>
      <c r="G1361" s="36">
        <f>IF($D1361="","",ROUND($D1361-IF($F1361="",0,$F1361),2))</f>
      </c>
      <c r="H1361" s="35">
        <f>IF(OR($D1361="",$K1361=""),"",COUNTIF(Payments!$G$5:$G$2500,$K1361))</f>
      </c>
      <c r="I1361" s="37">
        <f>IF($D1361="","",IF(OR($F1361="",$F1361=0),"Pending",IF(ROUND($F1361-$D1361,2)&gt;0,"Overpaid",IF(ROUND($F1361-$D1361,2)=0,"Paid","Partial"))))</f>
      </c>
      <c r="J1361" s="29"/>
      <c r="K1361">
        <f>IF($A1361="","","#"&amp;TRIM(SUBSTITUTE(SUBSTITUTE(SUBSTITUTE(SUBSTITUTE(SUBSTITUTE(SUBSTITUTE($A1361,"-",""),"(",""),")",""),".",""),"+","")," ","")))</f>
      </c>
    </row>
    <row r="1362" spans="1:11" x14ac:dyDescent="0.3">
      <c r="A1362" s="28"/>
      <c r="B1362" s="29"/>
      <c r="C1362" s="30"/>
      <c r="D1362" s="31"/>
      <c r="E1362" s="33">
        <f>IF(OR($D1362="",$K1362=""),"",IF(COUNTIFS(Payments!$G$5:$G$2500,$K1362,Payments!$C$5:$C$2500,"&lt;&gt;")=0,"",_xlfn.MAXIFS(Payments!$C$5:$C$2500,Payments!$G$5:$G$2500,$K1362)))</f>
      </c>
      <c r="F1362" s="34">
        <f>IF(OR($D1362="",$K1362=""),"",SUMIF(Payments!$G$5:$G$2500,$K1362,Payments!$D$5:$D$2500))</f>
      </c>
      <c r="G1362" s="36">
        <f>IF($D1362="","",ROUND($D1362-IF($F1362="",0,$F1362),2))</f>
      </c>
      <c r="H1362" s="35">
        <f>IF(OR($D1362="",$K1362=""),"",COUNTIF(Payments!$G$5:$G$2500,$K1362))</f>
      </c>
      <c r="I1362" s="37">
        <f>IF($D1362="","",IF(OR($F1362="",$F1362=0),"Pending",IF(ROUND($F1362-$D1362,2)&gt;0,"Overpaid",IF(ROUND($F1362-$D1362,2)=0,"Paid","Partial"))))</f>
      </c>
      <c r="J1362" s="29"/>
      <c r="K1362">
        <f>IF($A1362="","","#"&amp;TRIM(SUBSTITUTE(SUBSTITUTE(SUBSTITUTE(SUBSTITUTE(SUBSTITUTE(SUBSTITUTE($A1362,"-",""),"(",""),")",""),".",""),"+","")," ","")))</f>
      </c>
    </row>
    <row r="1363" spans="1:11" x14ac:dyDescent="0.3">
      <c r="A1363" s="28"/>
      <c r="B1363" s="29"/>
      <c r="C1363" s="30"/>
      <c r="D1363" s="31"/>
      <c r="E1363" s="33">
        <f>IF(OR($D1363="",$K1363=""),"",IF(COUNTIFS(Payments!$G$5:$G$2500,$K1363,Payments!$C$5:$C$2500,"&lt;&gt;")=0,"",_xlfn.MAXIFS(Payments!$C$5:$C$2500,Payments!$G$5:$G$2500,$K1363)))</f>
      </c>
      <c r="F1363" s="34">
        <f>IF(OR($D1363="",$K1363=""),"",SUMIF(Payments!$G$5:$G$2500,$K1363,Payments!$D$5:$D$2500))</f>
      </c>
      <c r="G1363" s="36">
        <f>IF($D1363="","",ROUND($D1363-IF($F1363="",0,$F1363),2))</f>
      </c>
      <c r="H1363" s="35">
        <f>IF(OR($D1363="",$K1363=""),"",COUNTIF(Payments!$G$5:$G$2500,$K1363))</f>
      </c>
      <c r="I1363" s="37">
        <f>IF($D1363="","",IF(OR($F1363="",$F1363=0),"Pending",IF(ROUND($F1363-$D1363,2)&gt;0,"Overpaid",IF(ROUND($F1363-$D1363,2)=0,"Paid","Partial"))))</f>
      </c>
      <c r="J1363" s="29"/>
      <c r="K1363">
        <f>IF($A1363="","","#"&amp;TRIM(SUBSTITUTE(SUBSTITUTE(SUBSTITUTE(SUBSTITUTE(SUBSTITUTE(SUBSTITUTE($A1363,"-",""),"(",""),")",""),".",""),"+","")," ","")))</f>
      </c>
    </row>
    <row r="1364" spans="1:11" x14ac:dyDescent="0.3">
      <c r="A1364" s="28"/>
      <c r="B1364" s="29"/>
      <c r="C1364" s="30"/>
      <c r="D1364" s="31"/>
      <c r="E1364" s="33">
        <f>IF(OR($D1364="",$K1364=""),"",IF(COUNTIFS(Payments!$G$5:$G$2500,$K1364,Payments!$C$5:$C$2500,"&lt;&gt;")=0,"",_xlfn.MAXIFS(Payments!$C$5:$C$2500,Payments!$G$5:$G$2500,$K1364)))</f>
      </c>
      <c r="F1364" s="34">
        <f>IF(OR($D1364="",$K1364=""),"",SUMIF(Payments!$G$5:$G$2500,$K1364,Payments!$D$5:$D$2500))</f>
      </c>
      <c r="G1364" s="36">
        <f>IF($D1364="","",ROUND($D1364-IF($F1364="",0,$F1364),2))</f>
      </c>
      <c r="H1364" s="35">
        <f>IF(OR($D1364="",$K1364=""),"",COUNTIF(Payments!$G$5:$G$2500,$K1364))</f>
      </c>
      <c r="I1364" s="37">
        <f>IF($D1364="","",IF(OR($F1364="",$F1364=0),"Pending",IF(ROUND($F1364-$D1364,2)&gt;0,"Overpaid",IF(ROUND($F1364-$D1364,2)=0,"Paid","Partial"))))</f>
      </c>
      <c r="J1364" s="29"/>
      <c r="K1364">
        <f>IF($A1364="","","#"&amp;TRIM(SUBSTITUTE(SUBSTITUTE(SUBSTITUTE(SUBSTITUTE(SUBSTITUTE(SUBSTITUTE($A1364,"-",""),"(",""),")",""),".",""),"+","")," ","")))</f>
      </c>
    </row>
    <row r="1365" spans="1:11" x14ac:dyDescent="0.3">
      <c r="A1365" s="28"/>
      <c r="B1365" s="29"/>
      <c r="C1365" s="30"/>
      <c r="D1365" s="31"/>
      <c r="E1365" s="33">
        <f>IF(OR($D1365="",$K1365=""),"",IF(COUNTIFS(Payments!$G$5:$G$2500,$K1365,Payments!$C$5:$C$2500,"&lt;&gt;")=0,"",_xlfn.MAXIFS(Payments!$C$5:$C$2500,Payments!$G$5:$G$2500,$K1365)))</f>
      </c>
      <c r="F1365" s="34">
        <f>IF(OR($D1365="",$K1365=""),"",SUMIF(Payments!$G$5:$G$2500,$K1365,Payments!$D$5:$D$2500))</f>
      </c>
      <c r="G1365" s="36">
        <f>IF($D1365="","",ROUND($D1365-IF($F1365="",0,$F1365),2))</f>
      </c>
      <c r="H1365" s="35">
        <f>IF(OR($D1365="",$K1365=""),"",COUNTIF(Payments!$G$5:$G$2500,$K1365))</f>
      </c>
      <c r="I1365" s="37">
        <f>IF($D1365="","",IF(OR($F1365="",$F1365=0),"Pending",IF(ROUND($F1365-$D1365,2)&gt;0,"Overpaid",IF(ROUND($F1365-$D1365,2)=0,"Paid","Partial"))))</f>
      </c>
      <c r="J1365" s="29"/>
      <c r="K1365">
        <f>IF($A1365="","","#"&amp;TRIM(SUBSTITUTE(SUBSTITUTE(SUBSTITUTE(SUBSTITUTE(SUBSTITUTE(SUBSTITUTE($A1365,"-",""),"(",""),")",""),".",""),"+","")," ","")))</f>
      </c>
    </row>
    <row r="1366" spans="1:11" x14ac:dyDescent="0.3">
      <c r="A1366" s="28"/>
      <c r="B1366" s="29"/>
      <c r="C1366" s="30"/>
      <c r="D1366" s="31"/>
      <c r="E1366" s="33">
        <f>IF(OR($D1366="",$K1366=""),"",IF(COUNTIFS(Payments!$G$5:$G$2500,$K1366,Payments!$C$5:$C$2500,"&lt;&gt;")=0,"",_xlfn.MAXIFS(Payments!$C$5:$C$2500,Payments!$G$5:$G$2500,$K1366)))</f>
      </c>
      <c r="F1366" s="34">
        <f>IF(OR($D1366="",$K1366=""),"",SUMIF(Payments!$G$5:$G$2500,$K1366,Payments!$D$5:$D$2500))</f>
      </c>
      <c r="G1366" s="36">
        <f>IF($D1366="","",ROUND($D1366-IF($F1366="",0,$F1366),2))</f>
      </c>
      <c r="H1366" s="35">
        <f>IF(OR($D1366="",$K1366=""),"",COUNTIF(Payments!$G$5:$G$2500,$K1366))</f>
      </c>
      <c r="I1366" s="37">
        <f>IF($D1366="","",IF(OR($F1366="",$F1366=0),"Pending",IF(ROUND($F1366-$D1366,2)&gt;0,"Overpaid",IF(ROUND($F1366-$D1366,2)=0,"Paid","Partial"))))</f>
      </c>
      <c r="J1366" s="29"/>
      <c r="K1366">
        <f>IF($A1366="","","#"&amp;TRIM(SUBSTITUTE(SUBSTITUTE(SUBSTITUTE(SUBSTITUTE(SUBSTITUTE(SUBSTITUTE($A1366,"-",""),"(",""),")",""),".",""),"+","")," ","")))</f>
      </c>
    </row>
    <row r="1367" spans="1:11" x14ac:dyDescent="0.3">
      <c r="A1367" s="28"/>
      <c r="B1367" s="29"/>
      <c r="C1367" s="30"/>
      <c r="D1367" s="31"/>
      <c r="E1367" s="33">
        <f>IF(OR($D1367="",$K1367=""),"",IF(COUNTIFS(Payments!$G$5:$G$2500,$K1367,Payments!$C$5:$C$2500,"&lt;&gt;")=0,"",_xlfn.MAXIFS(Payments!$C$5:$C$2500,Payments!$G$5:$G$2500,$K1367)))</f>
      </c>
      <c r="F1367" s="34">
        <f>IF(OR($D1367="",$K1367=""),"",SUMIF(Payments!$G$5:$G$2500,$K1367,Payments!$D$5:$D$2500))</f>
      </c>
      <c r="G1367" s="36">
        <f>IF($D1367="","",ROUND($D1367-IF($F1367="",0,$F1367),2))</f>
      </c>
      <c r="H1367" s="35">
        <f>IF(OR($D1367="",$K1367=""),"",COUNTIF(Payments!$G$5:$G$2500,$K1367))</f>
      </c>
      <c r="I1367" s="37">
        <f>IF($D1367="","",IF(OR($F1367="",$F1367=0),"Pending",IF(ROUND($F1367-$D1367,2)&gt;0,"Overpaid",IF(ROUND($F1367-$D1367,2)=0,"Paid","Partial"))))</f>
      </c>
      <c r="J1367" s="29"/>
      <c r="K1367">
        <f>IF($A1367="","","#"&amp;TRIM(SUBSTITUTE(SUBSTITUTE(SUBSTITUTE(SUBSTITUTE(SUBSTITUTE(SUBSTITUTE($A1367,"-",""),"(",""),")",""),".",""),"+","")," ","")))</f>
      </c>
    </row>
    <row r="1368" spans="1:11" x14ac:dyDescent="0.3">
      <c r="A1368" s="28"/>
      <c r="B1368" s="29"/>
      <c r="C1368" s="30"/>
      <c r="D1368" s="31"/>
      <c r="E1368" s="33">
        <f>IF(OR($D1368="",$K1368=""),"",IF(COUNTIFS(Payments!$G$5:$G$2500,$K1368,Payments!$C$5:$C$2500,"&lt;&gt;")=0,"",_xlfn.MAXIFS(Payments!$C$5:$C$2500,Payments!$G$5:$G$2500,$K1368)))</f>
      </c>
      <c r="F1368" s="34">
        <f>IF(OR($D1368="",$K1368=""),"",SUMIF(Payments!$G$5:$G$2500,$K1368,Payments!$D$5:$D$2500))</f>
      </c>
      <c r="G1368" s="36">
        <f>IF($D1368="","",ROUND($D1368-IF($F1368="",0,$F1368),2))</f>
      </c>
      <c r="H1368" s="35">
        <f>IF(OR($D1368="",$K1368=""),"",COUNTIF(Payments!$G$5:$G$2500,$K1368))</f>
      </c>
      <c r="I1368" s="37">
        <f>IF($D1368="","",IF(OR($F1368="",$F1368=0),"Pending",IF(ROUND($F1368-$D1368,2)&gt;0,"Overpaid",IF(ROUND($F1368-$D1368,2)=0,"Paid","Partial"))))</f>
      </c>
      <c r="J1368" s="29"/>
      <c r="K1368">
        <f>IF($A1368="","","#"&amp;TRIM(SUBSTITUTE(SUBSTITUTE(SUBSTITUTE(SUBSTITUTE(SUBSTITUTE(SUBSTITUTE($A1368,"-",""),"(",""),")",""),".",""),"+","")," ","")))</f>
      </c>
    </row>
    <row r="1369" spans="1:11" x14ac:dyDescent="0.3">
      <c r="A1369" s="28"/>
      <c r="B1369" s="29"/>
      <c r="C1369" s="30"/>
      <c r="D1369" s="31"/>
      <c r="E1369" s="33">
        <f>IF(OR($D1369="",$K1369=""),"",IF(COUNTIFS(Payments!$G$5:$G$2500,$K1369,Payments!$C$5:$C$2500,"&lt;&gt;")=0,"",_xlfn.MAXIFS(Payments!$C$5:$C$2500,Payments!$G$5:$G$2500,$K1369)))</f>
      </c>
      <c r="F1369" s="34">
        <f>IF(OR($D1369="",$K1369=""),"",SUMIF(Payments!$G$5:$G$2500,$K1369,Payments!$D$5:$D$2500))</f>
      </c>
      <c r="G1369" s="36">
        <f>IF($D1369="","",ROUND($D1369-IF($F1369="",0,$F1369),2))</f>
      </c>
      <c r="H1369" s="35">
        <f>IF(OR($D1369="",$K1369=""),"",COUNTIF(Payments!$G$5:$G$2500,$K1369))</f>
      </c>
      <c r="I1369" s="37">
        <f>IF($D1369="","",IF(OR($F1369="",$F1369=0),"Pending",IF(ROUND($F1369-$D1369,2)&gt;0,"Overpaid",IF(ROUND($F1369-$D1369,2)=0,"Paid","Partial"))))</f>
      </c>
      <c r="J1369" s="29"/>
      <c r="K1369">
        <f>IF($A1369="","","#"&amp;TRIM(SUBSTITUTE(SUBSTITUTE(SUBSTITUTE(SUBSTITUTE(SUBSTITUTE(SUBSTITUTE($A1369,"-",""),"(",""),")",""),".",""),"+","")," ","")))</f>
      </c>
    </row>
    <row r="1370" spans="1:11" x14ac:dyDescent="0.3">
      <c r="A1370" s="28"/>
      <c r="B1370" s="29"/>
      <c r="C1370" s="30"/>
      <c r="D1370" s="31"/>
      <c r="E1370" s="33">
        <f>IF(OR($D1370="",$K1370=""),"",IF(COUNTIFS(Payments!$G$5:$G$2500,$K1370,Payments!$C$5:$C$2500,"&lt;&gt;")=0,"",_xlfn.MAXIFS(Payments!$C$5:$C$2500,Payments!$G$5:$G$2500,$K1370)))</f>
      </c>
      <c r="F1370" s="34">
        <f>IF(OR($D1370="",$K1370=""),"",SUMIF(Payments!$G$5:$G$2500,$K1370,Payments!$D$5:$D$2500))</f>
      </c>
      <c r="G1370" s="36">
        <f>IF($D1370="","",ROUND($D1370-IF($F1370="",0,$F1370),2))</f>
      </c>
      <c r="H1370" s="35">
        <f>IF(OR($D1370="",$K1370=""),"",COUNTIF(Payments!$G$5:$G$2500,$K1370))</f>
      </c>
      <c r="I1370" s="37">
        <f>IF($D1370="","",IF(OR($F1370="",$F1370=0),"Pending",IF(ROUND($F1370-$D1370,2)&gt;0,"Overpaid",IF(ROUND($F1370-$D1370,2)=0,"Paid","Partial"))))</f>
      </c>
      <c r="J1370" s="29"/>
      <c r="K1370">
        <f>IF($A1370="","","#"&amp;TRIM(SUBSTITUTE(SUBSTITUTE(SUBSTITUTE(SUBSTITUTE(SUBSTITUTE(SUBSTITUTE($A1370,"-",""),"(",""),")",""),".",""),"+","")," ","")))</f>
      </c>
    </row>
    <row r="1371" spans="1:11" x14ac:dyDescent="0.3">
      <c r="A1371" s="28"/>
      <c r="B1371" s="29"/>
      <c r="C1371" s="30"/>
      <c r="D1371" s="31"/>
      <c r="E1371" s="33">
        <f>IF(OR($D1371="",$K1371=""),"",IF(COUNTIFS(Payments!$G$5:$G$2500,$K1371,Payments!$C$5:$C$2500,"&lt;&gt;")=0,"",_xlfn.MAXIFS(Payments!$C$5:$C$2500,Payments!$G$5:$G$2500,$K1371)))</f>
      </c>
      <c r="F1371" s="34">
        <f>IF(OR($D1371="",$K1371=""),"",SUMIF(Payments!$G$5:$G$2500,$K1371,Payments!$D$5:$D$2500))</f>
      </c>
      <c r="G1371" s="36">
        <f>IF($D1371="","",ROUND($D1371-IF($F1371="",0,$F1371),2))</f>
      </c>
      <c r="H1371" s="35">
        <f>IF(OR($D1371="",$K1371=""),"",COUNTIF(Payments!$G$5:$G$2500,$K1371))</f>
      </c>
      <c r="I1371" s="37">
        <f>IF($D1371="","",IF(OR($F1371="",$F1371=0),"Pending",IF(ROUND($F1371-$D1371,2)&gt;0,"Overpaid",IF(ROUND($F1371-$D1371,2)=0,"Paid","Partial"))))</f>
      </c>
      <c r="J1371" s="29"/>
      <c r="K1371">
        <f>IF($A1371="","","#"&amp;TRIM(SUBSTITUTE(SUBSTITUTE(SUBSTITUTE(SUBSTITUTE(SUBSTITUTE(SUBSTITUTE($A1371,"-",""),"(",""),")",""),".",""),"+","")," ","")))</f>
      </c>
    </row>
    <row r="1372" spans="1:11" x14ac:dyDescent="0.3">
      <c r="A1372" s="28"/>
      <c r="B1372" s="29"/>
      <c r="C1372" s="30"/>
      <c r="D1372" s="31"/>
      <c r="E1372" s="33">
        <f>IF(OR($D1372="",$K1372=""),"",IF(COUNTIFS(Payments!$G$5:$G$2500,$K1372,Payments!$C$5:$C$2500,"&lt;&gt;")=0,"",_xlfn.MAXIFS(Payments!$C$5:$C$2500,Payments!$G$5:$G$2500,$K1372)))</f>
      </c>
      <c r="F1372" s="34">
        <f>IF(OR($D1372="",$K1372=""),"",SUMIF(Payments!$G$5:$G$2500,$K1372,Payments!$D$5:$D$2500))</f>
      </c>
      <c r="G1372" s="36">
        <f>IF($D1372="","",ROUND($D1372-IF($F1372="",0,$F1372),2))</f>
      </c>
      <c r="H1372" s="35">
        <f>IF(OR($D1372="",$K1372=""),"",COUNTIF(Payments!$G$5:$G$2500,$K1372))</f>
      </c>
      <c r="I1372" s="37">
        <f>IF($D1372="","",IF(OR($F1372="",$F1372=0),"Pending",IF(ROUND($F1372-$D1372,2)&gt;0,"Overpaid",IF(ROUND($F1372-$D1372,2)=0,"Paid","Partial"))))</f>
      </c>
      <c r="J1372" s="29"/>
      <c r="K1372">
        <f>IF($A1372="","","#"&amp;TRIM(SUBSTITUTE(SUBSTITUTE(SUBSTITUTE(SUBSTITUTE(SUBSTITUTE(SUBSTITUTE($A1372,"-",""),"(",""),")",""),".",""),"+","")," ","")))</f>
      </c>
    </row>
    <row r="1373" spans="1:11" x14ac:dyDescent="0.3">
      <c r="A1373" s="28"/>
      <c r="B1373" s="29"/>
      <c r="C1373" s="30"/>
      <c r="D1373" s="31"/>
      <c r="E1373" s="33">
        <f>IF(OR($D1373="",$K1373=""),"",IF(COUNTIFS(Payments!$G$5:$G$2500,$K1373,Payments!$C$5:$C$2500,"&lt;&gt;")=0,"",_xlfn.MAXIFS(Payments!$C$5:$C$2500,Payments!$G$5:$G$2500,$K1373)))</f>
      </c>
      <c r="F1373" s="34">
        <f>IF(OR($D1373="",$K1373=""),"",SUMIF(Payments!$G$5:$G$2500,$K1373,Payments!$D$5:$D$2500))</f>
      </c>
      <c r="G1373" s="36">
        <f>IF($D1373="","",ROUND($D1373-IF($F1373="",0,$F1373),2))</f>
      </c>
      <c r="H1373" s="35">
        <f>IF(OR($D1373="",$K1373=""),"",COUNTIF(Payments!$G$5:$G$2500,$K1373))</f>
      </c>
      <c r="I1373" s="37">
        <f>IF($D1373="","",IF(OR($F1373="",$F1373=0),"Pending",IF(ROUND($F1373-$D1373,2)&gt;0,"Overpaid",IF(ROUND($F1373-$D1373,2)=0,"Paid","Partial"))))</f>
      </c>
      <c r="J1373" s="29"/>
      <c r="K1373">
        <f>IF($A1373="","","#"&amp;TRIM(SUBSTITUTE(SUBSTITUTE(SUBSTITUTE(SUBSTITUTE(SUBSTITUTE(SUBSTITUTE($A1373,"-",""),"(",""),")",""),".",""),"+","")," ","")))</f>
      </c>
    </row>
    <row r="1374" spans="1:11" x14ac:dyDescent="0.3">
      <c r="A1374" s="28"/>
      <c r="B1374" s="29"/>
      <c r="C1374" s="30"/>
      <c r="D1374" s="31"/>
      <c r="E1374" s="33">
        <f>IF(OR($D1374="",$K1374=""),"",IF(COUNTIFS(Payments!$G$5:$G$2500,$K1374,Payments!$C$5:$C$2500,"&lt;&gt;")=0,"",_xlfn.MAXIFS(Payments!$C$5:$C$2500,Payments!$G$5:$G$2500,$K1374)))</f>
      </c>
      <c r="F1374" s="34">
        <f>IF(OR($D1374="",$K1374=""),"",SUMIF(Payments!$G$5:$G$2500,$K1374,Payments!$D$5:$D$2500))</f>
      </c>
      <c r="G1374" s="36">
        <f>IF($D1374="","",ROUND($D1374-IF($F1374="",0,$F1374),2))</f>
      </c>
      <c r="H1374" s="35">
        <f>IF(OR($D1374="",$K1374=""),"",COUNTIF(Payments!$G$5:$G$2500,$K1374))</f>
      </c>
      <c r="I1374" s="37">
        <f>IF($D1374="","",IF(OR($F1374="",$F1374=0),"Pending",IF(ROUND($F1374-$D1374,2)&gt;0,"Overpaid",IF(ROUND($F1374-$D1374,2)=0,"Paid","Partial"))))</f>
      </c>
      <c r="J1374" s="29"/>
      <c r="K1374">
        <f>IF($A1374="","","#"&amp;TRIM(SUBSTITUTE(SUBSTITUTE(SUBSTITUTE(SUBSTITUTE(SUBSTITUTE(SUBSTITUTE($A1374,"-",""),"(",""),")",""),".",""),"+","")," ","")))</f>
      </c>
    </row>
    <row r="1375" spans="1:11" x14ac:dyDescent="0.3">
      <c r="A1375" s="28"/>
      <c r="B1375" s="29"/>
      <c r="C1375" s="30"/>
      <c r="D1375" s="31"/>
      <c r="E1375" s="33">
        <f>IF(OR($D1375="",$K1375=""),"",IF(COUNTIFS(Payments!$G$5:$G$2500,$K1375,Payments!$C$5:$C$2500,"&lt;&gt;")=0,"",_xlfn.MAXIFS(Payments!$C$5:$C$2500,Payments!$G$5:$G$2500,$K1375)))</f>
      </c>
      <c r="F1375" s="34">
        <f>IF(OR($D1375="",$K1375=""),"",SUMIF(Payments!$G$5:$G$2500,$K1375,Payments!$D$5:$D$2500))</f>
      </c>
      <c r="G1375" s="36">
        <f>IF($D1375="","",ROUND($D1375-IF($F1375="",0,$F1375),2))</f>
      </c>
      <c r="H1375" s="35">
        <f>IF(OR($D1375="",$K1375=""),"",COUNTIF(Payments!$G$5:$G$2500,$K1375))</f>
      </c>
      <c r="I1375" s="37">
        <f>IF($D1375="","",IF(OR($F1375="",$F1375=0),"Pending",IF(ROUND($F1375-$D1375,2)&gt;0,"Overpaid",IF(ROUND($F1375-$D1375,2)=0,"Paid","Partial"))))</f>
      </c>
      <c r="J1375" s="29"/>
      <c r="K1375">
        <f>IF($A1375="","","#"&amp;TRIM(SUBSTITUTE(SUBSTITUTE(SUBSTITUTE(SUBSTITUTE(SUBSTITUTE(SUBSTITUTE($A1375,"-",""),"(",""),")",""),".",""),"+","")," ","")))</f>
      </c>
    </row>
    <row r="1376" spans="1:11" x14ac:dyDescent="0.3">
      <c r="A1376" s="28"/>
      <c r="B1376" s="29"/>
      <c r="C1376" s="30"/>
      <c r="D1376" s="31"/>
      <c r="E1376" s="33">
        <f>IF(OR($D1376="",$K1376=""),"",IF(COUNTIFS(Payments!$G$5:$G$2500,$K1376,Payments!$C$5:$C$2500,"&lt;&gt;")=0,"",_xlfn.MAXIFS(Payments!$C$5:$C$2500,Payments!$G$5:$G$2500,$K1376)))</f>
      </c>
      <c r="F1376" s="34">
        <f>IF(OR($D1376="",$K1376=""),"",SUMIF(Payments!$G$5:$G$2500,$K1376,Payments!$D$5:$D$2500))</f>
      </c>
      <c r="G1376" s="36">
        <f>IF($D1376="","",ROUND($D1376-IF($F1376="",0,$F1376),2))</f>
      </c>
      <c r="H1376" s="35">
        <f>IF(OR($D1376="",$K1376=""),"",COUNTIF(Payments!$G$5:$G$2500,$K1376))</f>
      </c>
      <c r="I1376" s="37">
        <f>IF($D1376="","",IF(OR($F1376="",$F1376=0),"Pending",IF(ROUND($F1376-$D1376,2)&gt;0,"Overpaid",IF(ROUND($F1376-$D1376,2)=0,"Paid","Partial"))))</f>
      </c>
      <c r="J1376" s="29"/>
      <c r="K1376">
        <f>IF($A1376="","","#"&amp;TRIM(SUBSTITUTE(SUBSTITUTE(SUBSTITUTE(SUBSTITUTE(SUBSTITUTE(SUBSTITUTE($A1376,"-",""),"(",""),")",""),".",""),"+","")," ","")))</f>
      </c>
    </row>
    <row r="1377" spans="1:11" x14ac:dyDescent="0.3">
      <c r="A1377" s="28"/>
      <c r="B1377" s="29"/>
      <c r="C1377" s="30"/>
      <c r="D1377" s="31"/>
      <c r="E1377" s="33">
        <f>IF(OR($D1377="",$K1377=""),"",IF(COUNTIFS(Payments!$G$5:$G$2500,$K1377,Payments!$C$5:$C$2500,"&lt;&gt;")=0,"",_xlfn.MAXIFS(Payments!$C$5:$C$2500,Payments!$G$5:$G$2500,$K1377)))</f>
      </c>
      <c r="F1377" s="34">
        <f>IF(OR($D1377="",$K1377=""),"",SUMIF(Payments!$G$5:$G$2500,$K1377,Payments!$D$5:$D$2500))</f>
      </c>
      <c r="G1377" s="36">
        <f>IF($D1377="","",ROUND($D1377-IF($F1377="",0,$F1377),2))</f>
      </c>
      <c r="H1377" s="35">
        <f>IF(OR($D1377="",$K1377=""),"",COUNTIF(Payments!$G$5:$G$2500,$K1377))</f>
      </c>
      <c r="I1377" s="37">
        <f>IF($D1377="","",IF(OR($F1377="",$F1377=0),"Pending",IF(ROUND($F1377-$D1377,2)&gt;0,"Overpaid",IF(ROUND($F1377-$D1377,2)=0,"Paid","Partial"))))</f>
      </c>
      <c r="J1377" s="29"/>
      <c r="K1377">
        <f>IF($A1377="","","#"&amp;TRIM(SUBSTITUTE(SUBSTITUTE(SUBSTITUTE(SUBSTITUTE(SUBSTITUTE(SUBSTITUTE($A1377,"-",""),"(",""),")",""),".",""),"+","")," ","")))</f>
      </c>
    </row>
    <row r="1378" spans="1:11" x14ac:dyDescent="0.3">
      <c r="A1378" s="28"/>
      <c r="B1378" s="29"/>
      <c r="C1378" s="30"/>
      <c r="D1378" s="31"/>
      <c r="E1378" s="33">
        <f>IF(OR($D1378="",$K1378=""),"",IF(COUNTIFS(Payments!$G$5:$G$2500,$K1378,Payments!$C$5:$C$2500,"&lt;&gt;")=0,"",_xlfn.MAXIFS(Payments!$C$5:$C$2500,Payments!$G$5:$G$2500,$K1378)))</f>
      </c>
      <c r="F1378" s="34">
        <f>IF(OR($D1378="",$K1378=""),"",SUMIF(Payments!$G$5:$G$2500,$K1378,Payments!$D$5:$D$2500))</f>
      </c>
      <c r="G1378" s="36">
        <f>IF($D1378="","",ROUND($D1378-IF($F1378="",0,$F1378),2))</f>
      </c>
      <c r="H1378" s="35">
        <f>IF(OR($D1378="",$K1378=""),"",COUNTIF(Payments!$G$5:$G$2500,$K1378))</f>
      </c>
      <c r="I1378" s="37">
        <f>IF($D1378="","",IF(OR($F1378="",$F1378=0),"Pending",IF(ROUND($F1378-$D1378,2)&gt;0,"Overpaid",IF(ROUND($F1378-$D1378,2)=0,"Paid","Partial"))))</f>
      </c>
      <c r="J1378" s="29"/>
      <c r="K1378">
        <f>IF($A1378="","","#"&amp;TRIM(SUBSTITUTE(SUBSTITUTE(SUBSTITUTE(SUBSTITUTE(SUBSTITUTE(SUBSTITUTE($A1378,"-",""),"(",""),")",""),".",""),"+","")," ","")))</f>
      </c>
    </row>
    <row r="1379" spans="1:11" x14ac:dyDescent="0.3">
      <c r="A1379" s="28"/>
      <c r="B1379" s="29"/>
      <c r="C1379" s="30"/>
      <c r="D1379" s="31"/>
      <c r="E1379" s="33">
        <f>IF(OR($D1379="",$K1379=""),"",IF(COUNTIFS(Payments!$G$5:$G$2500,$K1379,Payments!$C$5:$C$2500,"&lt;&gt;")=0,"",_xlfn.MAXIFS(Payments!$C$5:$C$2500,Payments!$G$5:$G$2500,$K1379)))</f>
      </c>
      <c r="F1379" s="34">
        <f>IF(OR($D1379="",$K1379=""),"",SUMIF(Payments!$G$5:$G$2500,$K1379,Payments!$D$5:$D$2500))</f>
      </c>
      <c r="G1379" s="36">
        <f>IF($D1379="","",ROUND($D1379-IF($F1379="",0,$F1379),2))</f>
      </c>
      <c r="H1379" s="35">
        <f>IF(OR($D1379="",$K1379=""),"",COUNTIF(Payments!$G$5:$G$2500,$K1379))</f>
      </c>
      <c r="I1379" s="37">
        <f>IF($D1379="","",IF(OR($F1379="",$F1379=0),"Pending",IF(ROUND($F1379-$D1379,2)&gt;0,"Overpaid",IF(ROUND($F1379-$D1379,2)=0,"Paid","Partial"))))</f>
      </c>
      <c r="J1379" s="29"/>
      <c r="K1379">
        <f>IF($A1379="","","#"&amp;TRIM(SUBSTITUTE(SUBSTITUTE(SUBSTITUTE(SUBSTITUTE(SUBSTITUTE(SUBSTITUTE($A1379,"-",""),"(",""),")",""),".",""),"+","")," ","")))</f>
      </c>
    </row>
    <row r="1380" spans="1:11" x14ac:dyDescent="0.3">
      <c r="A1380" s="28"/>
      <c r="B1380" s="29"/>
      <c r="C1380" s="30"/>
      <c r="D1380" s="31"/>
      <c r="E1380" s="33">
        <f>IF(OR($D1380="",$K1380=""),"",IF(COUNTIFS(Payments!$G$5:$G$2500,$K1380,Payments!$C$5:$C$2500,"&lt;&gt;")=0,"",_xlfn.MAXIFS(Payments!$C$5:$C$2500,Payments!$G$5:$G$2500,$K1380)))</f>
      </c>
      <c r="F1380" s="34">
        <f>IF(OR($D1380="",$K1380=""),"",SUMIF(Payments!$G$5:$G$2500,$K1380,Payments!$D$5:$D$2500))</f>
      </c>
      <c r="G1380" s="36">
        <f>IF($D1380="","",ROUND($D1380-IF($F1380="",0,$F1380),2))</f>
      </c>
      <c r="H1380" s="35">
        <f>IF(OR($D1380="",$K1380=""),"",COUNTIF(Payments!$G$5:$G$2500,$K1380))</f>
      </c>
      <c r="I1380" s="37">
        <f>IF($D1380="","",IF(OR($F1380="",$F1380=0),"Pending",IF(ROUND($F1380-$D1380,2)&gt;0,"Overpaid",IF(ROUND($F1380-$D1380,2)=0,"Paid","Partial"))))</f>
      </c>
      <c r="J1380" s="29"/>
      <c r="K1380">
        <f>IF($A1380="","","#"&amp;TRIM(SUBSTITUTE(SUBSTITUTE(SUBSTITUTE(SUBSTITUTE(SUBSTITUTE(SUBSTITUTE($A1380,"-",""),"(",""),")",""),".",""),"+","")," ","")))</f>
      </c>
    </row>
    <row r="1381" spans="1:11" x14ac:dyDescent="0.3">
      <c r="A1381" s="28"/>
      <c r="B1381" s="29"/>
      <c r="C1381" s="30"/>
      <c r="D1381" s="31"/>
      <c r="E1381" s="33">
        <f>IF(OR($D1381="",$K1381=""),"",IF(COUNTIFS(Payments!$G$5:$G$2500,$K1381,Payments!$C$5:$C$2500,"&lt;&gt;")=0,"",_xlfn.MAXIFS(Payments!$C$5:$C$2500,Payments!$G$5:$G$2500,$K1381)))</f>
      </c>
      <c r="F1381" s="34">
        <f>IF(OR($D1381="",$K1381=""),"",SUMIF(Payments!$G$5:$G$2500,$K1381,Payments!$D$5:$D$2500))</f>
      </c>
      <c r="G1381" s="36">
        <f>IF($D1381="","",ROUND($D1381-IF($F1381="",0,$F1381),2))</f>
      </c>
      <c r="H1381" s="35">
        <f>IF(OR($D1381="",$K1381=""),"",COUNTIF(Payments!$G$5:$G$2500,$K1381))</f>
      </c>
      <c r="I1381" s="37">
        <f>IF($D1381="","",IF(OR($F1381="",$F1381=0),"Pending",IF(ROUND($F1381-$D1381,2)&gt;0,"Overpaid",IF(ROUND($F1381-$D1381,2)=0,"Paid","Partial"))))</f>
      </c>
      <c r="J1381" s="29"/>
      <c r="K1381">
        <f>IF($A1381="","","#"&amp;TRIM(SUBSTITUTE(SUBSTITUTE(SUBSTITUTE(SUBSTITUTE(SUBSTITUTE(SUBSTITUTE($A1381,"-",""),"(",""),")",""),".",""),"+","")," ","")))</f>
      </c>
    </row>
    <row r="1382" spans="1:11" x14ac:dyDescent="0.3">
      <c r="A1382" s="28"/>
      <c r="B1382" s="29"/>
      <c r="C1382" s="30"/>
      <c r="D1382" s="31"/>
      <c r="E1382" s="33">
        <f>IF(OR($D1382="",$K1382=""),"",IF(COUNTIFS(Payments!$G$5:$G$2500,$K1382,Payments!$C$5:$C$2500,"&lt;&gt;")=0,"",_xlfn.MAXIFS(Payments!$C$5:$C$2500,Payments!$G$5:$G$2500,$K1382)))</f>
      </c>
      <c r="F1382" s="34">
        <f>IF(OR($D1382="",$K1382=""),"",SUMIF(Payments!$G$5:$G$2500,$K1382,Payments!$D$5:$D$2500))</f>
      </c>
      <c r="G1382" s="36">
        <f>IF($D1382="","",ROUND($D1382-IF($F1382="",0,$F1382),2))</f>
      </c>
      <c r="H1382" s="35">
        <f>IF(OR($D1382="",$K1382=""),"",COUNTIF(Payments!$G$5:$G$2500,$K1382))</f>
      </c>
      <c r="I1382" s="37">
        <f>IF($D1382="","",IF(OR($F1382="",$F1382=0),"Pending",IF(ROUND($F1382-$D1382,2)&gt;0,"Overpaid",IF(ROUND($F1382-$D1382,2)=0,"Paid","Partial"))))</f>
      </c>
      <c r="J1382" s="29"/>
      <c r="K1382">
        <f>IF($A1382="","","#"&amp;TRIM(SUBSTITUTE(SUBSTITUTE(SUBSTITUTE(SUBSTITUTE(SUBSTITUTE(SUBSTITUTE($A1382,"-",""),"(",""),")",""),".",""),"+","")," ","")))</f>
      </c>
    </row>
    <row r="1383" spans="1:11" x14ac:dyDescent="0.3">
      <c r="A1383" s="28"/>
      <c r="B1383" s="29"/>
      <c r="C1383" s="30"/>
      <c r="D1383" s="31"/>
      <c r="E1383" s="33">
        <f>IF(OR($D1383="",$K1383=""),"",IF(COUNTIFS(Payments!$G$5:$G$2500,$K1383,Payments!$C$5:$C$2500,"&lt;&gt;")=0,"",_xlfn.MAXIFS(Payments!$C$5:$C$2500,Payments!$G$5:$G$2500,$K1383)))</f>
      </c>
      <c r="F1383" s="34">
        <f>IF(OR($D1383="",$K1383=""),"",SUMIF(Payments!$G$5:$G$2500,$K1383,Payments!$D$5:$D$2500))</f>
      </c>
      <c r="G1383" s="36">
        <f>IF($D1383="","",ROUND($D1383-IF($F1383="",0,$F1383),2))</f>
      </c>
      <c r="H1383" s="35">
        <f>IF(OR($D1383="",$K1383=""),"",COUNTIF(Payments!$G$5:$G$2500,$K1383))</f>
      </c>
      <c r="I1383" s="37">
        <f>IF($D1383="","",IF(OR($F1383="",$F1383=0),"Pending",IF(ROUND($F1383-$D1383,2)&gt;0,"Overpaid",IF(ROUND($F1383-$D1383,2)=0,"Paid","Partial"))))</f>
      </c>
      <c r="J1383" s="29"/>
      <c r="K1383">
        <f>IF($A1383="","","#"&amp;TRIM(SUBSTITUTE(SUBSTITUTE(SUBSTITUTE(SUBSTITUTE(SUBSTITUTE(SUBSTITUTE($A1383,"-",""),"(",""),")",""),".",""),"+","")," ","")))</f>
      </c>
    </row>
    <row r="1384" spans="1:11" x14ac:dyDescent="0.3">
      <c r="A1384" s="28"/>
      <c r="B1384" s="29"/>
      <c r="C1384" s="30"/>
      <c r="D1384" s="31"/>
      <c r="E1384" s="33">
        <f>IF(OR($D1384="",$K1384=""),"",IF(COUNTIFS(Payments!$G$5:$G$2500,$K1384,Payments!$C$5:$C$2500,"&lt;&gt;")=0,"",_xlfn.MAXIFS(Payments!$C$5:$C$2500,Payments!$G$5:$G$2500,$K1384)))</f>
      </c>
      <c r="F1384" s="34">
        <f>IF(OR($D1384="",$K1384=""),"",SUMIF(Payments!$G$5:$G$2500,$K1384,Payments!$D$5:$D$2500))</f>
      </c>
      <c r="G1384" s="36">
        <f>IF($D1384="","",ROUND($D1384-IF($F1384="",0,$F1384),2))</f>
      </c>
      <c r="H1384" s="35">
        <f>IF(OR($D1384="",$K1384=""),"",COUNTIF(Payments!$G$5:$G$2500,$K1384))</f>
      </c>
      <c r="I1384" s="37">
        <f>IF($D1384="","",IF(OR($F1384="",$F1384=0),"Pending",IF(ROUND($F1384-$D1384,2)&gt;0,"Overpaid",IF(ROUND($F1384-$D1384,2)=0,"Paid","Partial"))))</f>
      </c>
      <c r="J1384" s="29"/>
      <c r="K1384">
        <f>IF($A1384="","","#"&amp;TRIM(SUBSTITUTE(SUBSTITUTE(SUBSTITUTE(SUBSTITUTE(SUBSTITUTE(SUBSTITUTE($A1384,"-",""),"(",""),")",""),".",""),"+","")," ","")))</f>
      </c>
    </row>
    <row r="1385" spans="1:11" x14ac:dyDescent="0.3">
      <c r="A1385" s="28"/>
      <c r="B1385" s="29"/>
      <c r="C1385" s="30"/>
      <c r="D1385" s="31"/>
      <c r="E1385" s="33">
        <f>IF(OR($D1385="",$K1385=""),"",IF(COUNTIFS(Payments!$G$5:$G$2500,$K1385,Payments!$C$5:$C$2500,"&lt;&gt;")=0,"",_xlfn.MAXIFS(Payments!$C$5:$C$2500,Payments!$G$5:$G$2500,$K1385)))</f>
      </c>
      <c r="F1385" s="34">
        <f>IF(OR($D1385="",$K1385=""),"",SUMIF(Payments!$G$5:$G$2500,$K1385,Payments!$D$5:$D$2500))</f>
      </c>
      <c r="G1385" s="36">
        <f>IF($D1385="","",ROUND($D1385-IF($F1385="",0,$F1385),2))</f>
      </c>
      <c r="H1385" s="35">
        <f>IF(OR($D1385="",$K1385=""),"",COUNTIF(Payments!$G$5:$G$2500,$K1385))</f>
      </c>
      <c r="I1385" s="37">
        <f>IF($D1385="","",IF(OR($F1385="",$F1385=0),"Pending",IF(ROUND($F1385-$D1385,2)&gt;0,"Overpaid",IF(ROUND($F1385-$D1385,2)=0,"Paid","Partial"))))</f>
      </c>
      <c r="J1385" s="29"/>
      <c r="K1385">
        <f>IF($A1385="","","#"&amp;TRIM(SUBSTITUTE(SUBSTITUTE(SUBSTITUTE(SUBSTITUTE(SUBSTITUTE(SUBSTITUTE($A1385,"-",""),"(",""),")",""),".",""),"+","")," ","")))</f>
      </c>
    </row>
    <row r="1386" spans="1:11" x14ac:dyDescent="0.3">
      <c r="A1386" s="28"/>
      <c r="B1386" s="29"/>
      <c r="C1386" s="30"/>
      <c r="D1386" s="31"/>
      <c r="E1386" s="33">
        <f>IF(OR($D1386="",$K1386=""),"",IF(COUNTIFS(Payments!$G$5:$G$2500,$K1386,Payments!$C$5:$C$2500,"&lt;&gt;")=0,"",_xlfn.MAXIFS(Payments!$C$5:$C$2500,Payments!$G$5:$G$2500,$K1386)))</f>
      </c>
      <c r="F1386" s="34">
        <f>IF(OR($D1386="",$K1386=""),"",SUMIF(Payments!$G$5:$G$2500,$K1386,Payments!$D$5:$D$2500))</f>
      </c>
      <c r="G1386" s="36">
        <f>IF($D1386="","",ROUND($D1386-IF($F1386="",0,$F1386),2))</f>
      </c>
      <c r="H1386" s="35">
        <f>IF(OR($D1386="",$K1386=""),"",COUNTIF(Payments!$G$5:$G$2500,$K1386))</f>
      </c>
      <c r="I1386" s="37">
        <f>IF($D1386="","",IF(OR($F1386="",$F1386=0),"Pending",IF(ROUND($F1386-$D1386,2)&gt;0,"Overpaid",IF(ROUND($F1386-$D1386,2)=0,"Paid","Partial"))))</f>
      </c>
      <c r="J1386" s="29"/>
      <c r="K1386">
        <f>IF($A1386="","","#"&amp;TRIM(SUBSTITUTE(SUBSTITUTE(SUBSTITUTE(SUBSTITUTE(SUBSTITUTE(SUBSTITUTE($A1386,"-",""),"(",""),")",""),".",""),"+","")," ","")))</f>
      </c>
    </row>
    <row r="1387" spans="1:11" x14ac:dyDescent="0.3">
      <c r="A1387" s="28"/>
      <c r="B1387" s="29"/>
      <c r="C1387" s="30"/>
      <c r="D1387" s="31"/>
      <c r="E1387" s="33">
        <f>IF(OR($D1387="",$K1387=""),"",IF(COUNTIFS(Payments!$G$5:$G$2500,$K1387,Payments!$C$5:$C$2500,"&lt;&gt;")=0,"",_xlfn.MAXIFS(Payments!$C$5:$C$2500,Payments!$G$5:$G$2500,$K1387)))</f>
      </c>
      <c r="F1387" s="34">
        <f>IF(OR($D1387="",$K1387=""),"",SUMIF(Payments!$G$5:$G$2500,$K1387,Payments!$D$5:$D$2500))</f>
      </c>
      <c r="G1387" s="36">
        <f>IF($D1387="","",ROUND($D1387-IF($F1387="",0,$F1387),2))</f>
      </c>
      <c r="H1387" s="35">
        <f>IF(OR($D1387="",$K1387=""),"",COUNTIF(Payments!$G$5:$G$2500,$K1387))</f>
      </c>
      <c r="I1387" s="37">
        <f>IF($D1387="","",IF(OR($F1387="",$F1387=0),"Pending",IF(ROUND($F1387-$D1387,2)&gt;0,"Overpaid",IF(ROUND($F1387-$D1387,2)=0,"Paid","Partial"))))</f>
      </c>
      <c r="J1387" s="29"/>
      <c r="K1387">
        <f>IF($A1387="","","#"&amp;TRIM(SUBSTITUTE(SUBSTITUTE(SUBSTITUTE(SUBSTITUTE(SUBSTITUTE(SUBSTITUTE($A1387,"-",""),"(",""),")",""),".",""),"+","")," ","")))</f>
      </c>
    </row>
    <row r="1388" spans="1:11" x14ac:dyDescent="0.3">
      <c r="A1388" s="28"/>
      <c r="B1388" s="29"/>
      <c r="C1388" s="30"/>
      <c r="D1388" s="31"/>
      <c r="E1388" s="33">
        <f>IF(OR($D1388="",$K1388=""),"",IF(COUNTIFS(Payments!$G$5:$G$2500,$K1388,Payments!$C$5:$C$2500,"&lt;&gt;")=0,"",_xlfn.MAXIFS(Payments!$C$5:$C$2500,Payments!$G$5:$G$2500,$K1388)))</f>
      </c>
      <c r="F1388" s="34">
        <f>IF(OR($D1388="",$K1388=""),"",SUMIF(Payments!$G$5:$G$2500,$K1388,Payments!$D$5:$D$2500))</f>
      </c>
      <c r="G1388" s="36">
        <f>IF($D1388="","",ROUND($D1388-IF($F1388="",0,$F1388),2))</f>
      </c>
      <c r="H1388" s="35">
        <f>IF(OR($D1388="",$K1388=""),"",COUNTIF(Payments!$G$5:$G$2500,$K1388))</f>
      </c>
      <c r="I1388" s="37">
        <f>IF($D1388="","",IF(OR($F1388="",$F1388=0),"Pending",IF(ROUND($F1388-$D1388,2)&gt;0,"Overpaid",IF(ROUND($F1388-$D1388,2)=0,"Paid","Partial"))))</f>
      </c>
      <c r="J1388" s="29"/>
      <c r="K1388">
        <f>IF($A1388="","","#"&amp;TRIM(SUBSTITUTE(SUBSTITUTE(SUBSTITUTE(SUBSTITUTE(SUBSTITUTE(SUBSTITUTE($A1388,"-",""),"(",""),")",""),".",""),"+","")," ","")))</f>
      </c>
    </row>
    <row r="1389" spans="1:11" x14ac:dyDescent="0.3">
      <c r="A1389" s="28"/>
      <c r="B1389" s="29"/>
      <c r="C1389" s="30"/>
      <c r="D1389" s="31"/>
      <c r="E1389" s="33">
        <f>IF(OR($D1389="",$K1389=""),"",IF(COUNTIFS(Payments!$G$5:$G$2500,$K1389,Payments!$C$5:$C$2500,"&lt;&gt;")=0,"",_xlfn.MAXIFS(Payments!$C$5:$C$2500,Payments!$G$5:$G$2500,$K1389)))</f>
      </c>
      <c r="F1389" s="34">
        <f>IF(OR($D1389="",$K1389=""),"",SUMIF(Payments!$G$5:$G$2500,$K1389,Payments!$D$5:$D$2500))</f>
      </c>
      <c r="G1389" s="36">
        <f>IF($D1389="","",ROUND($D1389-IF($F1389="",0,$F1389),2))</f>
      </c>
      <c r="H1389" s="35">
        <f>IF(OR($D1389="",$K1389=""),"",COUNTIF(Payments!$G$5:$G$2500,$K1389))</f>
      </c>
      <c r="I1389" s="37">
        <f>IF($D1389="","",IF(OR($F1389="",$F1389=0),"Pending",IF(ROUND($F1389-$D1389,2)&gt;0,"Overpaid",IF(ROUND($F1389-$D1389,2)=0,"Paid","Partial"))))</f>
      </c>
      <c r="J1389" s="29"/>
      <c r="K1389">
        <f>IF($A1389="","","#"&amp;TRIM(SUBSTITUTE(SUBSTITUTE(SUBSTITUTE(SUBSTITUTE(SUBSTITUTE(SUBSTITUTE($A1389,"-",""),"(",""),")",""),".",""),"+","")," ","")))</f>
      </c>
    </row>
    <row r="1390" spans="1:11" x14ac:dyDescent="0.3">
      <c r="A1390" s="28"/>
      <c r="B1390" s="29"/>
      <c r="C1390" s="30"/>
      <c r="D1390" s="31"/>
      <c r="E1390" s="33">
        <f>IF(OR($D1390="",$K1390=""),"",IF(COUNTIFS(Payments!$G$5:$G$2500,$K1390,Payments!$C$5:$C$2500,"&lt;&gt;")=0,"",_xlfn.MAXIFS(Payments!$C$5:$C$2500,Payments!$G$5:$G$2500,$K1390)))</f>
      </c>
      <c r="F1390" s="34">
        <f>IF(OR($D1390="",$K1390=""),"",SUMIF(Payments!$G$5:$G$2500,$K1390,Payments!$D$5:$D$2500))</f>
      </c>
      <c r="G1390" s="36">
        <f>IF($D1390="","",ROUND($D1390-IF($F1390="",0,$F1390),2))</f>
      </c>
      <c r="H1390" s="35">
        <f>IF(OR($D1390="",$K1390=""),"",COUNTIF(Payments!$G$5:$G$2500,$K1390))</f>
      </c>
      <c r="I1390" s="37">
        <f>IF($D1390="","",IF(OR($F1390="",$F1390=0),"Pending",IF(ROUND($F1390-$D1390,2)&gt;0,"Overpaid",IF(ROUND($F1390-$D1390,2)=0,"Paid","Partial"))))</f>
      </c>
      <c r="J1390" s="29"/>
      <c r="K1390">
        <f>IF($A1390="","","#"&amp;TRIM(SUBSTITUTE(SUBSTITUTE(SUBSTITUTE(SUBSTITUTE(SUBSTITUTE(SUBSTITUTE($A1390,"-",""),"(",""),")",""),".",""),"+","")," ","")))</f>
      </c>
    </row>
    <row r="1391" spans="1:11" x14ac:dyDescent="0.3">
      <c r="A1391" s="28"/>
      <c r="B1391" s="29"/>
      <c r="C1391" s="30"/>
      <c r="D1391" s="31"/>
      <c r="E1391" s="33">
        <f>IF(OR($D1391="",$K1391=""),"",IF(COUNTIFS(Payments!$G$5:$G$2500,$K1391,Payments!$C$5:$C$2500,"&lt;&gt;")=0,"",_xlfn.MAXIFS(Payments!$C$5:$C$2500,Payments!$G$5:$G$2500,$K1391)))</f>
      </c>
      <c r="F1391" s="34">
        <f>IF(OR($D1391="",$K1391=""),"",SUMIF(Payments!$G$5:$G$2500,$K1391,Payments!$D$5:$D$2500))</f>
      </c>
      <c r="G1391" s="36">
        <f>IF($D1391="","",ROUND($D1391-IF($F1391="",0,$F1391),2))</f>
      </c>
      <c r="H1391" s="35">
        <f>IF(OR($D1391="",$K1391=""),"",COUNTIF(Payments!$G$5:$G$2500,$K1391))</f>
      </c>
      <c r="I1391" s="37">
        <f>IF($D1391="","",IF(OR($F1391="",$F1391=0),"Pending",IF(ROUND($F1391-$D1391,2)&gt;0,"Overpaid",IF(ROUND($F1391-$D1391,2)=0,"Paid","Partial"))))</f>
      </c>
      <c r="J1391" s="29"/>
      <c r="K1391">
        <f>IF($A1391="","","#"&amp;TRIM(SUBSTITUTE(SUBSTITUTE(SUBSTITUTE(SUBSTITUTE(SUBSTITUTE(SUBSTITUTE($A1391,"-",""),"(",""),")",""),".",""),"+","")," ","")))</f>
      </c>
    </row>
    <row r="1392" spans="1:11" x14ac:dyDescent="0.3">
      <c r="A1392" s="28"/>
      <c r="B1392" s="29"/>
      <c r="C1392" s="30"/>
      <c r="D1392" s="31"/>
      <c r="E1392" s="33">
        <f>IF(OR($D1392="",$K1392=""),"",IF(COUNTIFS(Payments!$G$5:$G$2500,$K1392,Payments!$C$5:$C$2500,"&lt;&gt;")=0,"",_xlfn.MAXIFS(Payments!$C$5:$C$2500,Payments!$G$5:$G$2500,$K1392)))</f>
      </c>
      <c r="F1392" s="34">
        <f>IF(OR($D1392="",$K1392=""),"",SUMIF(Payments!$G$5:$G$2500,$K1392,Payments!$D$5:$D$2500))</f>
      </c>
      <c r="G1392" s="36">
        <f>IF($D1392="","",ROUND($D1392-IF($F1392="",0,$F1392),2))</f>
      </c>
      <c r="H1392" s="35">
        <f>IF(OR($D1392="",$K1392=""),"",COUNTIF(Payments!$G$5:$G$2500,$K1392))</f>
      </c>
      <c r="I1392" s="37">
        <f>IF($D1392="","",IF(OR($F1392="",$F1392=0),"Pending",IF(ROUND($F1392-$D1392,2)&gt;0,"Overpaid",IF(ROUND($F1392-$D1392,2)=0,"Paid","Partial"))))</f>
      </c>
      <c r="J1392" s="29"/>
      <c r="K1392">
        <f>IF($A1392="","","#"&amp;TRIM(SUBSTITUTE(SUBSTITUTE(SUBSTITUTE(SUBSTITUTE(SUBSTITUTE(SUBSTITUTE($A1392,"-",""),"(",""),")",""),".",""),"+","")," ","")))</f>
      </c>
    </row>
    <row r="1393" spans="1:11" x14ac:dyDescent="0.3">
      <c r="A1393" s="28"/>
      <c r="B1393" s="29"/>
      <c r="C1393" s="30"/>
      <c r="D1393" s="31"/>
      <c r="E1393" s="33">
        <f>IF(OR($D1393="",$K1393=""),"",IF(COUNTIFS(Payments!$G$5:$G$2500,$K1393,Payments!$C$5:$C$2500,"&lt;&gt;")=0,"",_xlfn.MAXIFS(Payments!$C$5:$C$2500,Payments!$G$5:$G$2500,$K1393)))</f>
      </c>
      <c r="F1393" s="34">
        <f>IF(OR($D1393="",$K1393=""),"",SUMIF(Payments!$G$5:$G$2500,$K1393,Payments!$D$5:$D$2500))</f>
      </c>
      <c r="G1393" s="36">
        <f>IF($D1393="","",ROUND($D1393-IF($F1393="",0,$F1393),2))</f>
      </c>
      <c r="H1393" s="35">
        <f>IF(OR($D1393="",$K1393=""),"",COUNTIF(Payments!$G$5:$G$2500,$K1393))</f>
      </c>
      <c r="I1393" s="37">
        <f>IF($D1393="","",IF(OR($F1393="",$F1393=0),"Pending",IF(ROUND($F1393-$D1393,2)&gt;0,"Overpaid",IF(ROUND($F1393-$D1393,2)=0,"Paid","Partial"))))</f>
      </c>
      <c r="J1393" s="29"/>
      <c r="K1393">
        <f>IF($A1393="","","#"&amp;TRIM(SUBSTITUTE(SUBSTITUTE(SUBSTITUTE(SUBSTITUTE(SUBSTITUTE(SUBSTITUTE($A1393,"-",""),"(",""),")",""),".",""),"+","")," ","")))</f>
      </c>
    </row>
    <row r="1394" spans="1:11" x14ac:dyDescent="0.3">
      <c r="A1394" s="28"/>
      <c r="B1394" s="29"/>
      <c r="C1394" s="30"/>
      <c r="D1394" s="31"/>
      <c r="E1394" s="33">
        <f>IF(OR($D1394="",$K1394=""),"",IF(COUNTIFS(Payments!$G$5:$G$2500,$K1394,Payments!$C$5:$C$2500,"&lt;&gt;")=0,"",_xlfn.MAXIFS(Payments!$C$5:$C$2500,Payments!$G$5:$G$2500,$K1394)))</f>
      </c>
      <c r="F1394" s="34">
        <f>IF(OR($D1394="",$K1394=""),"",SUMIF(Payments!$G$5:$G$2500,$K1394,Payments!$D$5:$D$2500))</f>
      </c>
      <c r="G1394" s="36">
        <f>IF($D1394="","",ROUND($D1394-IF($F1394="",0,$F1394),2))</f>
      </c>
      <c r="H1394" s="35">
        <f>IF(OR($D1394="",$K1394=""),"",COUNTIF(Payments!$G$5:$G$2500,$K1394))</f>
      </c>
      <c r="I1394" s="37">
        <f>IF($D1394="","",IF(OR($F1394="",$F1394=0),"Pending",IF(ROUND($F1394-$D1394,2)&gt;0,"Overpaid",IF(ROUND($F1394-$D1394,2)=0,"Paid","Partial"))))</f>
      </c>
      <c r="J1394" s="29"/>
      <c r="K1394">
        <f>IF($A1394="","","#"&amp;TRIM(SUBSTITUTE(SUBSTITUTE(SUBSTITUTE(SUBSTITUTE(SUBSTITUTE(SUBSTITUTE($A1394,"-",""),"(",""),")",""),".",""),"+","")," ","")))</f>
      </c>
    </row>
    <row r="1395" spans="1:11" x14ac:dyDescent="0.3">
      <c r="A1395" s="28"/>
      <c r="B1395" s="29"/>
      <c r="C1395" s="30"/>
      <c r="D1395" s="31"/>
      <c r="E1395" s="33">
        <f>IF(OR($D1395="",$K1395=""),"",IF(COUNTIFS(Payments!$G$5:$G$2500,$K1395,Payments!$C$5:$C$2500,"&lt;&gt;")=0,"",_xlfn.MAXIFS(Payments!$C$5:$C$2500,Payments!$G$5:$G$2500,$K1395)))</f>
      </c>
      <c r="F1395" s="34">
        <f>IF(OR($D1395="",$K1395=""),"",SUMIF(Payments!$G$5:$G$2500,$K1395,Payments!$D$5:$D$2500))</f>
      </c>
      <c r="G1395" s="36">
        <f>IF($D1395="","",ROUND($D1395-IF($F1395="",0,$F1395),2))</f>
      </c>
      <c r="H1395" s="35">
        <f>IF(OR($D1395="",$K1395=""),"",COUNTIF(Payments!$G$5:$G$2500,$K1395))</f>
      </c>
      <c r="I1395" s="37">
        <f>IF($D1395="","",IF(OR($F1395="",$F1395=0),"Pending",IF(ROUND($F1395-$D1395,2)&gt;0,"Overpaid",IF(ROUND($F1395-$D1395,2)=0,"Paid","Partial"))))</f>
      </c>
      <c r="J1395" s="29"/>
      <c r="K1395">
        <f>IF($A1395="","","#"&amp;TRIM(SUBSTITUTE(SUBSTITUTE(SUBSTITUTE(SUBSTITUTE(SUBSTITUTE(SUBSTITUTE($A1395,"-",""),"(",""),")",""),".",""),"+","")," ","")))</f>
      </c>
    </row>
    <row r="1396" spans="1:11" x14ac:dyDescent="0.3">
      <c r="A1396" s="28"/>
      <c r="B1396" s="29"/>
      <c r="C1396" s="30"/>
      <c r="D1396" s="31"/>
      <c r="E1396" s="33">
        <f>IF(OR($D1396="",$K1396=""),"",IF(COUNTIFS(Payments!$G$5:$G$2500,$K1396,Payments!$C$5:$C$2500,"&lt;&gt;")=0,"",_xlfn.MAXIFS(Payments!$C$5:$C$2500,Payments!$G$5:$G$2500,$K1396)))</f>
      </c>
      <c r="F1396" s="34">
        <f>IF(OR($D1396="",$K1396=""),"",SUMIF(Payments!$G$5:$G$2500,$K1396,Payments!$D$5:$D$2500))</f>
      </c>
      <c r="G1396" s="36">
        <f>IF($D1396="","",ROUND($D1396-IF($F1396="",0,$F1396),2))</f>
      </c>
      <c r="H1396" s="35">
        <f>IF(OR($D1396="",$K1396=""),"",COUNTIF(Payments!$G$5:$G$2500,$K1396))</f>
      </c>
      <c r="I1396" s="37">
        <f>IF($D1396="","",IF(OR($F1396="",$F1396=0),"Pending",IF(ROUND($F1396-$D1396,2)&gt;0,"Overpaid",IF(ROUND($F1396-$D1396,2)=0,"Paid","Partial"))))</f>
      </c>
      <c r="J1396" s="29"/>
      <c r="K1396">
        <f>IF($A1396="","","#"&amp;TRIM(SUBSTITUTE(SUBSTITUTE(SUBSTITUTE(SUBSTITUTE(SUBSTITUTE(SUBSTITUTE($A1396,"-",""),"(",""),")",""),".",""),"+","")," ","")))</f>
      </c>
    </row>
    <row r="1397" spans="1:11" x14ac:dyDescent="0.3">
      <c r="A1397" s="28"/>
      <c r="B1397" s="29"/>
      <c r="C1397" s="30"/>
      <c r="D1397" s="31"/>
      <c r="E1397" s="33">
        <f>IF(OR($D1397="",$K1397=""),"",IF(COUNTIFS(Payments!$G$5:$G$2500,$K1397,Payments!$C$5:$C$2500,"&lt;&gt;")=0,"",_xlfn.MAXIFS(Payments!$C$5:$C$2500,Payments!$G$5:$G$2500,$K1397)))</f>
      </c>
      <c r="F1397" s="34">
        <f>IF(OR($D1397="",$K1397=""),"",SUMIF(Payments!$G$5:$G$2500,$K1397,Payments!$D$5:$D$2500))</f>
      </c>
      <c r="G1397" s="36">
        <f>IF($D1397="","",ROUND($D1397-IF($F1397="",0,$F1397),2))</f>
      </c>
      <c r="H1397" s="35">
        <f>IF(OR($D1397="",$K1397=""),"",COUNTIF(Payments!$G$5:$G$2500,$K1397))</f>
      </c>
      <c r="I1397" s="37">
        <f>IF($D1397="","",IF(OR($F1397="",$F1397=0),"Pending",IF(ROUND($F1397-$D1397,2)&gt;0,"Overpaid",IF(ROUND($F1397-$D1397,2)=0,"Paid","Partial"))))</f>
      </c>
      <c r="J1397" s="29"/>
      <c r="K1397">
        <f>IF($A1397="","","#"&amp;TRIM(SUBSTITUTE(SUBSTITUTE(SUBSTITUTE(SUBSTITUTE(SUBSTITUTE(SUBSTITUTE($A1397,"-",""),"(",""),")",""),".",""),"+","")," ","")))</f>
      </c>
    </row>
    <row r="1398" spans="1:11" x14ac:dyDescent="0.3">
      <c r="A1398" s="28"/>
      <c r="B1398" s="29"/>
      <c r="C1398" s="30"/>
      <c r="D1398" s="31"/>
      <c r="E1398" s="33">
        <f>IF(OR($D1398="",$K1398=""),"",IF(COUNTIFS(Payments!$G$5:$G$2500,$K1398,Payments!$C$5:$C$2500,"&lt;&gt;")=0,"",_xlfn.MAXIFS(Payments!$C$5:$C$2500,Payments!$G$5:$G$2500,$K1398)))</f>
      </c>
      <c r="F1398" s="34">
        <f>IF(OR($D1398="",$K1398=""),"",SUMIF(Payments!$G$5:$G$2500,$K1398,Payments!$D$5:$D$2500))</f>
      </c>
      <c r="G1398" s="36">
        <f>IF($D1398="","",ROUND($D1398-IF($F1398="",0,$F1398),2))</f>
      </c>
      <c r="H1398" s="35">
        <f>IF(OR($D1398="",$K1398=""),"",COUNTIF(Payments!$G$5:$G$2500,$K1398))</f>
      </c>
      <c r="I1398" s="37">
        <f>IF($D1398="","",IF(OR($F1398="",$F1398=0),"Pending",IF(ROUND($F1398-$D1398,2)&gt;0,"Overpaid",IF(ROUND($F1398-$D1398,2)=0,"Paid","Partial"))))</f>
      </c>
      <c r="J1398" s="29"/>
      <c r="K1398">
        <f>IF($A1398="","","#"&amp;TRIM(SUBSTITUTE(SUBSTITUTE(SUBSTITUTE(SUBSTITUTE(SUBSTITUTE(SUBSTITUTE($A1398,"-",""),"(",""),")",""),".",""),"+","")," ","")))</f>
      </c>
    </row>
    <row r="1399" spans="1:11" x14ac:dyDescent="0.3">
      <c r="A1399" s="28"/>
      <c r="B1399" s="29"/>
      <c r="C1399" s="30"/>
      <c r="D1399" s="31"/>
      <c r="E1399" s="33">
        <f>IF(OR($D1399="",$K1399=""),"",IF(COUNTIFS(Payments!$G$5:$G$2500,$K1399,Payments!$C$5:$C$2500,"&lt;&gt;")=0,"",_xlfn.MAXIFS(Payments!$C$5:$C$2500,Payments!$G$5:$G$2500,$K1399)))</f>
      </c>
      <c r="F1399" s="34">
        <f>IF(OR($D1399="",$K1399=""),"",SUMIF(Payments!$G$5:$G$2500,$K1399,Payments!$D$5:$D$2500))</f>
      </c>
      <c r="G1399" s="36">
        <f>IF($D1399="","",ROUND($D1399-IF($F1399="",0,$F1399),2))</f>
      </c>
      <c r="H1399" s="35">
        <f>IF(OR($D1399="",$K1399=""),"",COUNTIF(Payments!$G$5:$G$2500,$K1399))</f>
      </c>
      <c r="I1399" s="37">
        <f>IF($D1399="","",IF(OR($F1399="",$F1399=0),"Pending",IF(ROUND($F1399-$D1399,2)&gt;0,"Overpaid",IF(ROUND($F1399-$D1399,2)=0,"Paid","Partial"))))</f>
      </c>
      <c r="J1399" s="29"/>
      <c r="K1399">
        <f>IF($A1399="","","#"&amp;TRIM(SUBSTITUTE(SUBSTITUTE(SUBSTITUTE(SUBSTITUTE(SUBSTITUTE(SUBSTITUTE($A1399,"-",""),"(",""),")",""),".",""),"+","")," ","")))</f>
      </c>
    </row>
    <row r="1400" spans="1:11" x14ac:dyDescent="0.3">
      <c r="A1400" s="28"/>
      <c r="B1400" s="29"/>
      <c r="C1400" s="30"/>
      <c r="D1400" s="31"/>
      <c r="E1400" s="33">
        <f>IF(OR($D1400="",$K1400=""),"",IF(COUNTIFS(Payments!$G$5:$G$2500,$K1400,Payments!$C$5:$C$2500,"&lt;&gt;")=0,"",_xlfn.MAXIFS(Payments!$C$5:$C$2500,Payments!$G$5:$G$2500,$K1400)))</f>
      </c>
      <c r="F1400" s="34">
        <f>IF(OR($D1400="",$K1400=""),"",SUMIF(Payments!$G$5:$G$2500,$K1400,Payments!$D$5:$D$2500))</f>
      </c>
      <c r="G1400" s="36">
        <f>IF($D1400="","",ROUND($D1400-IF($F1400="",0,$F1400),2))</f>
      </c>
      <c r="H1400" s="35">
        <f>IF(OR($D1400="",$K1400=""),"",COUNTIF(Payments!$G$5:$G$2500,$K1400))</f>
      </c>
      <c r="I1400" s="37">
        <f>IF($D1400="","",IF(OR($F1400="",$F1400=0),"Pending",IF(ROUND($F1400-$D1400,2)&gt;0,"Overpaid",IF(ROUND($F1400-$D1400,2)=0,"Paid","Partial"))))</f>
      </c>
      <c r="J1400" s="29"/>
      <c r="K1400">
        <f>IF($A1400="","","#"&amp;TRIM(SUBSTITUTE(SUBSTITUTE(SUBSTITUTE(SUBSTITUTE(SUBSTITUTE(SUBSTITUTE($A1400,"-",""),"(",""),")",""),".",""),"+","")," ","")))</f>
      </c>
    </row>
    <row r="1401" spans="1:11" x14ac:dyDescent="0.3">
      <c r="A1401" s="28"/>
      <c r="B1401" s="29"/>
      <c r="C1401" s="30"/>
      <c r="D1401" s="31"/>
      <c r="E1401" s="33">
        <f>IF(OR($D1401="",$K1401=""),"",IF(COUNTIFS(Payments!$G$5:$G$2500,$K1401,Payments!$C$5:$C$2500,"&lt;&gt;")=0,"",_xlfn.MAXIFS(Payments!$C$5:$C$2500,Payments!$G$5:$G$2500,$K1401)))</f>
      </c>
      <c r="F1401" s="34">
        <f>IF(OR($D1401="",$K1401=""),"",SUMIF(Payments!$G$5:$G$2500,$K1401,Payments!$D$5:$D$2500))</f>
      </c>
      <c r="G1401" s="36">
        <f>IF($D1401="","",ROUND($D1401-IF($F1401="",0,$F1401),2))</f>
      </c>
      <c r="H1401" s="35">
        <f>IF(OR($D1401="",$K1401=""),"",COUNTIF(Payments!$G$5:$G$2500,$K1401))</f>
      </c>
      <c r="I1401" s="37">
        <f>IF($D1401="","",IF(OR($F1401="",$F1401=0),"Pending",IF(ROUND($F1401-$D1401,2)&gt;0,"Overpaid",IF(ROUND($F1401-$D1401,2)=0,"Paid","Partial"))))</f>
      </c>
      <c r="J1401" s="29"/>
      <c r="K1401">
        <f>IF($A1401="","","#"&amp;TRIM(SUBSTITUTE(SUBSTITUTE(SUBSTITUTE(SUBSTITUTE(SUBSTITUTE(SUBSTITUTE($A1401,"-",""),"(",""),")",""),".",""),"+","")," ","")))</f>
      </c>
    </row>
    <row r="1402" spans="1:11" x14ac:dyDescent="0.3">
      <c r="A1402" s="28"/>
      <c r="B1402" s="29"/>
      <c r="C1402" s="30"/>
      <c r="D1402" s="31"/>
      <c r="E1402" s="33">
        <f>IF(OR($D1402="",$K1402=""),"",IF(COUNTIFS(Payments!$G$5:$G$2500,$K1402,Payments!$C$5:$C$2500,"&lt;&gt;")=0,"",_xlfn.MAXIFS(Payments!$C$5:$C$2500,Payments!$G$5:$G$2500,$K1402)))</f>
      </c>
      <c r="F1402" s="34">
        <f>IF(OR($D1402="",$K1402=""),"",SUMIF(Payments!$G$5:$G$2500,$K1402,Payments!$D$5:$D$2500))</f>
      </c>
      <c r="G1402" s="36">
        <f>IF($D1402="","",ROUND($D1402-IF($F1402="",0,$F1402),2))</f>
      </c>
      <c r="H1402" s="35">
        <f>IF(OR($D1402="",$K1402=""),"",COUNTIF(Payments!$G$5:$G$2500,$K1402))</f>
      </c>
      <c r="I1402" s="37">
        <f>IF($D1402="","",IF(OR($F1402="",$F1402=0),"Pending",IF(ROUND($F1402-$D1402,2)&gt;0,"Overpaid",IF(ROUND($F1402-$D1402,2)=0,"Paid","Partial"))))</f>
      </c>
      <c r="J1402" s="29"/>
      <c r="K1402">
        <f>IF($A1402="","","#"&amp;TRIM(SUBSTITUTE(SUBSTITUTE(SUBSTITUTE(SUBSTITUTE(SUBSTITUTE(SUBSTITUTE($A1402,"-",""),"(",""),")",""),".",""),"+","")," ","")))</f>
      </c>
    </row>
    <row r="1403" spans="1:11" x14ac:dyDescent="0.3">
      <c r="A1403" s="28"/>
      <c r="B1403" s="29"/>
      <c r="C1403" s="30"/>
      <c r="D1403" s="31"/>
      <c r="E1403" s="33">
        <f>IF(OR($D1403="",$K1403=""),"",IF(COUNTIFS(Payments!$G$5:$G$2500,$K1403,Payments!$C$5:$C$2500,"&lt;&gt;")=0,"",_xlfn.MAXIFS(Payments!$C$5:$C$2500,Payments!$G$5:$G$2500,$K1403)))</f>
      </c>
      <c r="F1403" s="34">
        <f>IF(OR($D1403="",$K1403=""),"",SUMIF(Payments!$G$5:$G$2500,$K1403,Payments!$D$5:$D$2500))</f>
      </c>
      <c r="G1403" s="36">
        <f>IF($D1403="","",ROUND($D1403-IF($F1403="",0,$F1403),2))</f>
      </c>
      <c r="H1403" s="35">
        <f>IF(OR($D1403="",$K1403=""),"",COUNTIF(Payments!$G$5:$G$2500,$K1403))</f>
      </c>
      <c r="I1403" s="37">
        <f>IF($D1403="","",IF(OR($F1403="",$F1403=0),"Pending",IF(ROUND($F1403-$D1403,2)&gt;0,"Overpaid",IF(ROUND($F1403-$D1403,2)=0,"Paid","Partial"))))</f>
      </c>
      <c r="J1403" s="29"/>
      <c r="K1403">
        <f>IF($A1403="","","#"&amp;TRIM(SUBSTITUTE(SUBSTITUTE(SUBSTITUTE(SUBSTITUTE(SUBSTITUTE(SUBSTITUTE($A1403,"-",""),"(",""),")",""),".",""),"+","")," ","")))</f>
      </c>
    </row>
    <row r="1404" spans="1:11" x14ac:dyDescent="0.3">
      <c r="A1404" s="28"/>
      <c r="B1404" s="29"/>
      <c r="C1404" s="30"/>
      <c r="D1404" s="31"/>
      <c r="E1404" s="33">
        <f>IF(OR($D1404="",$K1404=""),"",IF(COUNTIFS(Payments!$G$5:$G$2500,$K1404,Payments!$C$5:$C$2500,"&lt;&gt;")=0,"",_xlfn.MAXIFS(Payments!$C$5:$C$2500,Payments!$G$5:$G$2500,$K1404)))</f>
      </c>
      <c r="F1404" s="34">
        <f>IF(OR($D1404="",$K1404=""),"",SUMIF(Payments!$G$5:$G$2500,$K1404,Payments!$D$5:$D$2500))</f>
      </c>
      <c r="G1404" s="36">
        <f>IF($D1404="","",ROUND($D1404-IF($F1404="",0,$F1404),2))</f>
      </c>
      <c r="H1404" s="35">
        <f>IF(OR($D1404="",$K1404=""),"",COUNTIF(Payments!$G$5:$G$2500,$K1404))</f>
      </c>
      <c r="I1404" s="37">
        <f>IF($D1404="","",IF(OR($F1404="",$F1404=0),"Pending",IF(ROUND($F1404-$D1404,2)&gt;0,"Overpaid",IF(ROUND($F1404-$D1404,2)=0,"Paid","Partial"))))</f>
      </c>
      <c r="J1404" s="29"/>
      <c r="K1404">
        <f>IF($A1404="","","#"&amp;TRIM(SUBSTITUTE(SUBSTITUTE(SUBSTITUTE(SUBSTITUTE(SUBSTITUTE(SUBSTITUTE($A1404,"-",""),"(",""),")",""),".",""),"+","")," ","")))</f>
      </c>
    </row>
    <row r="1405" spans="1:11" x14ac:dyDescent="0.3">
      <c r="A1405" s="28"/>
      <c r="B1405" s="29"/>
      <c r="C1405" s="30"/>
      <c r="D1405" s="31"/>
      <c r="E1405" s="33">
        <f>IF(OR($D1405="",$K1405=""),"",IF(COUNTIFS(Payments!$G$5:$G$2500,$K1405,Payments!$C$5:$C$2500,"&lt;&gt;")=0,"",_xlfn.MAXIFS(Payments!$C$5:$C$2500,Payments!$G$5:$G$2500,$K1405)))</f>
      </c>
      <c r="F1405" s="34">
        <f>IF(OR($D1405="",$K1405=""),"",SUMIF(Payments!$G$5:$G$2500,$K1405,Payments!$D$5:$D$2500))</f>
      </c>
      <c r="G1405" s="36">
        <f>IF($D1405="","",ROUND($D1405-IF($F1405="",0,$F1405),2))</f>
      </c>
      <c r="H1405" s="35">
        <f>IF(OR($D1405="",$K1405=""),"",COUNTIF(Payments!$G$5:$G$2500,$K1405))</f>
      </c>
      <c r="I1405" s="37">
        <f>IF($D1405="","",IF(OR($F1405="",$F1405=0),"Pending",IF(ROUND($F1405-$D1405,2)&gt;0,"Overpaid",IF(ROUND($F1405-$D1405,2)=0,"Paid","Partial"))))</f>
      </c>
      <c r="J1405" s="29"/>
      <c r="K1405">
        <f>IF($A1405="","","#"&amp;TRIM(SUBSTITUTE(SUBSTITUTE(SUBSTITUTE(SUBSTITUTE(SUBSTITUTE(SUBSTITUTE($A1405,"-",""),"(",""),")",""),".",""),"+","")," ","")))</f>
      </c>
    </row>
    <row r="1406" spans="1:11" x14ac:dyDescent="0.3">
      <c r="A1406" s="28"/>
      <c r="B1406" s="29"/>
      <c r="C1406" s="30"/>
      <c r="D1406" s="31"/>
      <c r="E1406" s="33">
        <f>IF(OR($D1406="",$K1406=""),"",IF(COUNTIFS(Payments!$G$5:$G$2500,$K1406,Payments!$C$5:$C$2500,"&lt;&gt;")=0,"",_xlfn.MAXIFS(Payments!$C$5:$C$2500,Payments!$G$5:$G$2500,$K1406)))</f>
      </c>
      <c r="F1406" s="34">
        <f>IF(OR($D1406="",$K1406=""),"",SUMIF(Payments!$G$5:$G$2500,$K1406,Payments!$D$5:$D$2500))</f>
      </c>
      <c r="G1406" s="36">
        <f>IF($D1406="","",ROUND($D1406-IF($F1406="",0,$F1406),2))</f>
      </c>
      <c r="H1406" s="35">
        <f>IF(OR($D1406="",$K1406=""),"",COUNTIF(Payments!$G$5:$G$2500,$K1406))</f>
      </c>
      <c r="I1406" s="37">
        <f>IF($D1406="","",IF(OR($F1406="",$F1406=0),"Pending",IF(ROUND($F1406-$D1406,2)&gt;0,"Overpaid",IF(ROUND($F1406-$D1406,2)=0,"Paid","Partial"))))</f>
      </c>
      <c r="J1406" s="29"/>
      <c r="K1406">
        <f>IF($A1406="","","#"&amp;TRIM(SUBSTITUTE(SUBSTITUTE(SUBSTITUTE(SUBSTITUTE(SUBSTITUTE(SUBSTITUTE($A1406,"-",""),"(",""),")",""),".",""),"+","")," ","")))</f>
      </c>
    </row>
    <row r="1407" spans="1:11" x14ac:dyDescent="0.3">
      <c r="A1407" s="28"/>
      <c r="B1407" s="29"/>
      <c r="C1407" s="30"/>
      <c r="D1407" s="31"/>
      <c r="E1407" s="33">
        <f>IF(OR($D1407="",$K1407=""),"",IF(COUNTIFS(Payments!$G$5:$G$2500,$K1407,Payments!$C$5:$C$2500,"&lt;&gt;")=0,"",_xlfn.MAXIFS(Payments!$C$5:$C$2500,Payments!$G$5:$G$2500,$K1407)))</f>
      </c>
      <c r="F1407" s="34">
        <f>IF(OR($D1407="",$K1407=""),"",SUMIF(Payments!$G$5:$G$2500,$K1407,Payments!$D$5:$D$2500))</f>
      </c>
      <c r="G1407" s="36">
        <f>IF($D1407="","",ROUND($D1407-IF($F1407="",0,$F1407),2))</f>
      </c>
      <c r="H1407" s="35">
        <f>IF(OR($D1407="",$K1407=""),"",COUNTIF(Payments!$G$5:$G$2500,$K1407))</f>
      </c>
      <c r="I1407" s="37">
        <f>IF($D1407="","",IF(OR($F1407="",$F1407=0),"Pending",IF(ROUND($F1407-$D1407,2)&gt;0,"Overpaid",IF(ROUND($F1407-$D1407,2)=0,"Paid","Partial"))))</f>
      </c>
      <c r="J1407" s="29"/>
      <c r="K1407">
        <f>IF($A1407="","","#"&amp;TRIM(SUBSTITUTE(SUBSTITUTE(SUBSTITUTE(SUBSTITUTE(SUBSTITUTE(SUBSTITUTE($A1407,"-",""),"(",""),")",""),".",""),"+","")," ","")))</f>
      </c>
    </row>
    <row r="1408" spans="1:11" x14ac:dyDescent="0.3">
      <c r="A1408" s="28"/>
      <c r="B1408" s="29"/>
      <c r="C1408" s="30"/>
      <c r="D1408" s="31"/>
      <c r="E1408" s="33">
        <f>IF(OR($D1408="",$K1408=""),"",IF(COUNTIFS(Payments!$G$5:$G$2500,$K1408,Payments!$C$5:$C$2500,"&lt;&gt;")=0,"",_xlfn.MAXIFS(Payments!$C$5:$C$2500,Payments!$G$5:$G$2500,$K1408)))</f>
      </c>
      <c r="F1408" s="34">
        <f>IF(OR($D1408="",$K1408=""),"",SUMIF(Payments!$G$5:$G$2500,$K1408,Payments!$D$5:$D$2500))</f>
      </c>
      <c r="G1408" s="36">
        <f>IF($D1408="","",ROUND($D1408-IF($F1408="",0,$F1408),2))</f>
      </c>
      <c r="H1408" s="35">
        <f>IF(OR($D1408="",$K1408=""),"",COUNTIF(Payments!$G$5:$G$2500,$K1408))</f>
      </c>
      <c r="I1408" s="37">
        <f>IF($D1408="","",IF(OR($F1408="",$F1408=0),"Pending",IF(ROUND($F1408-$D1408,2)&gt;0,"Overpaid",IF(ROUND($F1408-$D1408,2)=0,"Paid","Partial"))))</f>
      </c>
      <c r="J1408" s="29"/>
      <c r="K1408">
        <f>IF($A1408="","","#"&amp;TRIM(SUBSTITUTE(SUBSTITUTE(SUBSTITUTE(SUBSTITUTE(SUBSTITUTE(SUBSTITUTE($A1408,"-",""),"(",""),")",""),".",""),"+","")," ","")))</f>
      </c>
    </row>
    <row r="1409" spans="1:11" x14ac:dyDescent="0.3">
      <c r="A1409" s="28"/>
      <c r="B1409" s="29"/>
      <c r="C1409" s="30"/>
      <c r="D1409" s="31"/>
      <c r="E1409" s="33">
        <f>IF(OR($D1409="",$K1409=""),"",IF(COUNTIFS(Payments!$G$5:$G$2500,$K1409,Payments!$C$5:$C$2500,"&lt;&gt;")=0,"",_xlfn.MAXIFS(Payments!$C$5:$C$2500,Payments!$G$5:$G$2500,$K1409)))</f>
      </c>
      <c r="F1409" s="34">
        <f>IF(OR($D1409="",$K1409=""),"",SUMIF(Payments!$G$5:$G$2500,$K1409,Payments!$D$5:$D$2500))</f>
      </c>
      <c r="G1409" s="36">
        <f>IF($D1409="","",ROUND($D1409-IF($F1409="",0,$F1409),2))</f>
      </c>
      <c r="H1409" s="35">
        <f>IF(OR($D1409="",$K1409=""),"",COUNTIF(Payments!$G$5:$G$2500,$K1409))</f>
      </c>
      <c r="I1409" s="37">
        <f>IF($D1409="","",IF(OR($F1409="",$F1409=0),"Pending",IF(ROUND($F1409-$D1409,2)&gt;0,"Overpaid",IF(ROUND($F1409-$D1409,2)=0,"Paid","Partial"))))</f>
      </c>
      <c r="J1409" s="29"/>
      <c r="K1409">
        <f>IF($A1409="","","#"&amp;TRIM(SUBSTITUTE(SUBSTITUTE(SUBSTITUTE(SUBSTITUTE(SUBSTITUTE(SUBSTITUTE($A1409,"-",""),"(",""),")",""),".",""),"+","")," ","")))</f>
      </c>
    </row>
    <row r="1410" spans="1:11" x14ac:dyDescent="0.3">
      <c r="A1410" s="28"/>
      <c r="B1410" s="29"/>
      <c r="C1410" s="30"/>
      <c r="D1410" s="31"/>
      <c r="E1410" s="33">
        <f>IF(OR($D1410="",$K1410=""),"",IF(COUNTIFS(Payments!$G$5:$G$2500,$K1410,Payments!$C$5:$C$2500,"&lt;&gt;")=0,"",_xlfn.MAXIFS(Payments!$C$5:$C$2500,Payments!$G$5:$G$2500,$K1410)))</f>
      </c>
      <c r="F1410" s="34">
        <f>IF(OR($D1410="",$K1410=""),"",SUMIF(Payments!$G$5:$G$2500,$K1410,Payments!$D$5:$D$2500))</f>
      </c>
      <c r="G1410" s="36">
        <f>IF($D1410="","",ROUND($D1410-IF($F1410="",0,$F1410),2))</f>
      </c>
      <c r="H1410" s="35">
        <f>IF(OR($D1410="",$K1410=""),"",COUNTIF(Payments!$G$5:$G$2500,$K1410))</f>
      </c>
      <c r="I1410" s="37">
        <f>IF($D1410="","",IF(OR($F1410="",$F1410=0),"Pending",IF(ROUND($F1410-$D1410,2)&gt;0,"Overpaid",IF(ROUND($F1410-$D1410,2)=0,"Paid","Partial"))))</f>
      </c>
      <c r="J1410" s="29"/>
      <c r="K1410">
        <f>IF($A1410="","","#"&amp;TRIM(SUBSTITUTE(SUBSTITUTE(SUBSTITUTE(SUBSTITUTE(SUBSTITUTE(SUBSTITUTE($A1410,"-",""),"(",""),")",""),".",""),"+","")," ","")))</f>
      </c>
    </row>
    <row r="1411" spans="1:11" x14ac:dyDescent="0.3">
      <c r="A1411" s="28"/>
      <c r="B1411" s="29"/>
      <c r="C1411" s="30"/>
      <c r="D1411" s="31"/>
      <c r="E1411" s="33">
        <f>IF(OR($D1411="",$K1411=""),"",IF(COUNTIFS(Payments!$G$5:$G$2500,$K1411,Payments!$C$5:$C$2500,"&lt;&gt;")=0,"",_xlfn.MAXIFS(Payments!$C$5:$C$2500,Payments!$G$5:$G$2500,$K1411)))</f>
      </c>
      <c r="F1411" s="34">
        <f>IF(OR($D1411="",$K1411=""),"",SUMIF(Payments!$G$5:$G$2500,$K1411,Payments!$D$5:$D$2500))</f>
      </c>
      <c r="G1411" s="36">
        <f>IF($D1411="","",ROUND($D1411-IF($F1411="",0,$F1411),2))</f>
      </c>
      <c r="H1411" s="35">
        <f>IF(OR($D1411="",$K1411=""),"",COUNTIF(Payments!$G$5:$G$2500,$K1411))</f>
      </c>
      <c r="I1411" s="37">
        <f>IF($D1411="","",IF(OR($F1411="",$F1411=0),"Pending",IF(ROUND($F1411-$D1411,2)&gt;0,"Overpaid",IF(ROUND($F1411-$D1411,2)=0,"Paid","Partial"))))</f>
      </c>
      <c r="J1411" s="29"/>
      <c r="K1411">
        <f>IF($A1411="","","#"&amp;TRIM(SUBSTITUTE(SUBSTITUTE(SUBSTITUTE(SUBSTITUTE(SUBSTITUTE(SUBSTITUTE($A1411,"-",""),"(",""),")",""),".",""),"+","")," ","")))</f>
      </c>
    </row>
    <row r="1412" spans="1:11" x14ac:dyDescent="0.3">
      <c r="A1412" s="28"/>
      <c r="B1412" s="29"/>
      <c r="C1412" s="30"/>
      <c r="D1412" s="31"/>
      <c r="E1412" s="33">
        <f>IF(OR($D1412="",$K1412=""),"",IF(COUNTIFS(Payments!$G$5:$G$2500,$K1412,Payments!$C$5:$C$2500,"&lt;&gt;")=0,"",_xlfn.MAXIFS(Payments!$C$5:$C$2500,Payments!$G$5:$G$2500,$K1412)))</f>
      </c>
      <c r="F1412" s="34">
        <f>IF(OR($D1412="",$K1412=""),"",SUMIF(Payments!$G$5:$G$2500,$K1412,Payments!$D$5:$D$2500))</f>
      </c>
      <c r="G1412" s="36">
        <f>IF($D1412="","",ROUND($D1412-IF($F1412="",0,$F1412),2))</f>
      </c>
      <c r="H1412" s="35">
        <f>IF(OR($D1412="",$K1412=""),"",COUNTIF(Payments!$G$5:$G$2500,$K1412))</f>
      </c>
      <c r="I1412" s="37">
        <f>IF($D1412="","",IF(OR($F1412="",$F1412=0),"Pending",IF(ROUND($F1412-$D1412,2)&gt;0,"Overpaid",IF(ROUND($F1412-$D1412,2)=0,"Paid","Partial"))))</f>
      </c>
      <c r="J1412" s="29"/>
      <c r="K1412">
        <f>IF($A1412="","","#"&amp;TRIM(SUBSTITUTE(SUBSTITUTE(SUBSTITUTE(SUBSTITUTE(SUBSTITUTE(SUBSTITUTE($A1412,"-",""),"(",""),")",""),".",""),"+","")," ","")))</f>
      </c>
    </row>
    <row r="1413" spans="1:11" x14ac:dyDescent="0.3">
      <c r="A1413" s="28"/>
      <c r="B1413" s="29"/>
      <c r="C1413" s="30"/>
      <c r="D1413" s="31"/>
      <c r="E1413" s="33">
        <f>IF(OR($D1413="",$K1413=""),"",IF(COUNTIFS(Payments!$G$5:$G$2500,$K1413,Payments!$C$5:$C$2500,"&lt;&gt;")=0,"",_xlfn.MAXIFS(Payments!$C$5:$C$2500,Payments!$G$5:$G$2500,$K1413)))</f>
      </c>
      <c r="F1413" s="34">
        <f>IF(OR($D1413="",$K1413=""),"",SUMIF(Payments!$G$5:$G$2500,$K1413,Payments!$D$5:$D$2500))</f>
      </c>
      <c r="G1413" s="36">
        <f>IF($D1413="","",ROUND($D1413-IF($F1413="",0,$F1413),2))</f>
      </c>
      <c r="H1413" s="35">
        <f>IF(OR($D1413="",$K1413=""),"",COUNTIF(Payments!$G$5:$G$2500,$K1413))</f>
      </c>
      <c r="I1413" s="37">
        <f>IF($D1413="","",IF(OR($F1413="",$F1413=0),"Pending",IF(ROUND($F1413-$D1413,2)&gt;0,"Overpaid",IF(ROUND($F1413-$D1413,2)=0,"Paid","Partial"))))</f>
      </c>
      <c r="J1413" s="29"/>
      <c r="K1413">
        <f>IF($A1413="","","#"&amp;TRIM(SUBSTITUTE(SUBSTITUTE(SUBSTITUTE(SUBSTITUTE(SUBSTITUTE(SUBSTITUTE($A1413,"-",""),"(",""),")",""),".",""),"+","")," ","")))</f>
      </c>
    </row>
    <row r="1414" spans="1:11" x14ac:dyDescent="0.3">
      <c r="A1414" s="28"/>
      <c r="B1414" s="29"/>
      <c r="C1414" s="30"/>
      <c r="D1414" s="31"/>
      <c r="E1414" s="33">
        <f>IF(OR($D1414="",$K1414=""),"",IF(COUNTIFS(Payments!$G$5:$G$2500,$K1414,Payments!$C$5:$C$2500,"&lt;&gt;")=0,"",_xlfn.MAXIFS(Payments!$C$5:$C$2500,Payments!$G$5:$G$2500,$K1414)))</f>
      </c>
      <c r="F1414" s="34">
        <f>IF(OR($D1414="",$K1414=""),"",SUMIF(Payments!$G$5:$G$2500,$K1414,Payments!$D$5:$D$2500))</f>
      </c>
      <c r="G1414" s="36">
        <f>IF($D1414="","",ROUND($D1414-IF($F1414="",0,$F1414),2))</f>
      </c>
      <c r="H1414" s="35">
        <f>IF(OR($D1414="",$K1414=""),"",COUNTIF(Payments!$G$5:$G$2500,$K1414))</f>
      </c>
      <c r="I1414" s="37">
        <f>IF($D1414="","",IF(OR($F1414="",$F1414=0),"Pending",IF(ROUND($F1414-$D1414,2)&gt;0,"Overpaid",IF(ROUND($F1414-$D1414,2)=0,"Paid","Partial"))))</f>
      </c>
      <c r="J1414" s="29"/>
      <c r="K1414">
        <f>IF($A1414="","","#"&amp;TRIM(SUBSTITUTE(SUBSTITUTE(SUBSTITUTE(SUBSTITUTE(SUBSTITUTE(SUBSTITUTE($A1414,"-",""),"(",""),")",""),".",""),"+","")," ","")))</f>
      </c>
    </row>
    <row r="1415" spans="1:11" x14ac:dyDescent="0.3">
      <c r="A1415" s="28"/>
      <c r="B1415" s="29"/>
      <c r="C1415" s="30"/>
      <c r="D1415" s="31"/>
      <c r="E1415" s="33">
        <f>IF(OR($D1415="",$K1415=""),"",IF(COUNTIFS(Payments!$G$5:$G$2500,$K1415,Payments!$C$5:$C$2500,"&lt;&gt;")=0,"",_xlfn.MAXIFS(Payments!$C$5:$C$2500,Payments!$G$5:$G$2500,$K1415)))</f>
      </c>
      <c r="F1415" s="34">
        <f>IF(OR($D1415="",$K1415=""),"",SUMIF(Payments!$G$5:$G$2500,$K1415,Payments!$D$5:$D$2500))</f>
      </c>
      <c r="G1415" s="36">
        <f>IF($D1415="","",ROUND($D1415-IF($F1415="",0,$F1415),2))</f>
      </c>
      <c r="H1415" s="35">
        <f>IF(OR($D1415="",$K1415=""),"",COUNTIF(Payments!$G$5:$G$2500,$K1415))</f>
      </c>
      <c r="I1415" s="37">
        <f>IF($D1415="","",IF(OR($F1415="",$F1415=0),"Pending",IF(ROUND($F1415-$D1415,2)&gt;0,"Overpaid",IF(ROUND($F1415-$D1415,2)=0,"Paid","Partial"))))</f>
      </c>
      <c r="J1415" s="29"/>
      <c r="K1415">
        <f>IF($A1415="","","#"&amp;TRIM(SUBSTITUTE(SUBSTITUTE(SUBSTITUTE(SUBSTITUTE(SUBSTITUTE(SUBSTITUTE($A1415,"-",""),"(",""),")",""),".",""),"+","")," ","")))</f>
      </c>
    </row>
    <row r="1416" spans="1:11" x14ac:dyDescent="0.3">
      <c r="A1416" s="28"/>
      <c r="B1416" s="29"/>
      <c r="C1416" s="30"/>
      <c r="D1416" s="31"/>
      <c r="E1416" s="33">
        <f>IF(OR($D1416="",$K1416=""),"",IF(COUNTIFS(Payments!$G$5:$G$2500,$K1416,Payments!$C$5:$C$2500,"&lt;&gt;")=0,"",_xlfn.MAXIFS(Payments!$C$5:$C$2500,Payments!$G$5:$G$2500,$K1416)))</f>
      </c>
      <c r="F1416" s="34">
        <f>IF(OR($D1416="",$K1416=""),"",SUMIF(Payments!$G$5:$G$2500,$K1416,Payments!$D$5:$D$2500))</f>
      </c>
      <c r="G1416" s="36">
        <f>IF($D1416="","",ROUND($D1416-IF($F1416="",0,$F1416),2))</f>
      </c>
      <c r="H1416" s="35">
        <f>IF(OR($D1416="",$K1416=""),"",COUNTIF(Payments!$G$5:$G$2500,$K1416))</f>
      </c>
      <c r="I1416" s="37">
        <f>IF($D1416="","",IF(OR($F1416="",$F1416=0),"Pending",IF(ROUND($F1416-$D1416,2)&gt;0,"Overpaid",IF(ROUND($F1416-$D1416,2)=0,"Paid","Partial"))))</f>
      </c>
      <c r="J1416" s="29"/>
      <c r="K1416">
        <f>IF($A1416="","","#"&amp;TRIM(SUBSTITUTE(SUBSTITUTE(SUBSTITUTE(SUBSTITUTE(SUBSTITUTE(SUBSTITUTE($A1416,"-",""),"(",""),")",""),".",""),"+","")," ","")))</f>
      </c>
    </row>
    <row r="1417" spans="1:11" x14ac:dyDescent="0.3">
      <c r="A1417" s="28"/>
      <c r="B1417" s="29"/>
      <c r="C1417" s="30"/>
      <c r="D1417" s="31"/>
      <c r="E1417" s="33">
        <f>IF(OR($D1417="",$K1417=""),"",IF(COUNTIFS(Payments!$G$5:$G$2500,$K1417,Payments!$C$5:$C$2500,"&lt;&gt;")=0,"",_xlfn.MAXIFS(Payments!$C$5:$C$2500,Payments!$G$5:$G$2500,$K1417)))</f>
      </c>
      <c r="F1417" s="34">
        <f>IF(OR($D1417="",$K1417=""),"",SUMIF(Payments!$G$5:$G$2500,$K1417,Payments!$D$5:$D$2500))</f>
      </c>
      <c r="G1417" s="36">
        <f>IF($D1417="","",ROUND($D1417-IF($F1417="",0,$F1417),2))</f>
      </c>
      <c r="H1417" s="35">
        <f>IF(OR($D1417="",$K1417=""),"",COUNTIF(Payments!$G$5:$G$2500,$K1417))</f>
      </c>
      <c r="I1417" s="37">
        <f>IF($D1417="","",IF(OR($F1417="",$F1417=0),"Pending",IF(ROUND($F1417-$D1417,2)&gt;0,"Overpaid",IF(ROUND($F1417-$D1417,2)=0,"Paid","Partial"))))</f>
      </c>
      <c r="J1417" s="29"/>
      <c r="K1417">
        <f>IF($A1417="","","#"&amp;TRIM(SUBSTITUTE(SUBSTITUTE(SUBSTITUTE(SUBSTITUTE(SUBSTITUTE(SUBSTITUTE($A1417,"-",""),"(",""),")",""),".",""),"+","")," ","")))</f>
      </c>
    </row>
    <row r="1418" spans="1:11" x14ac:dyDescent="0.3">
      <c r="A1418" s="28"/>
      <c r="B1418" s="29"/>
      <c r="C1418" s="30"/>
      <c r="D1418" s="31"/>
      <c r="E1418" s="33">
        <f>IF(OR($D1418="",$K1418=""),"",IF(COUNTIFS(Payments!$G$5:$G$2500,$K1418,Payments!$C$5:$C$2500,"&lt;&gt;")=0,"",_xlfn.MAXIFS(Payments!$C$5:$C$2500,Payments!$G$5:$G$2500,$K1418)))</f>
      </c>
      <c r="F1418" s="34">
        <f>IF(OR($D1418="",$K1418=""),"",SUMIF(Payments!$G$5:$G$2500,$K1418,Payments!$D$5:$D$2500))</f>
      </c>
      <c r="G1418" s="36">
        <f>IF($D1418="","",ROUND($D1418-IF($F1418="",0,$F1418),2))</f>
      </c>
      <c r="H1418" s="35">
        <f>IF(OR($D1418="",$K1418=""),"",COUNTIF(Payments!$G$5:$G$2500,$K1418))</f>
      </c>
      <c r="I1418" s="37">
        <f>IF($D1418="","",IF(OR($F1418="",$F1418=0),"Pending",IF(ROUND($F1418-$D1418,2)&gt;0,"Overpaid",IF(ROUND($F1418-$D1418,2)=0,"Paid","Partial"))))</f>
      </c>
      <c r="J1418" s="29"/>
      <c r="K1418">
        <f>IF($A1418="","","#"&amp;TRIM(SUBSTITUTE(SUBSTITUTE(SUBSTITUTE(SUBSTITUTE(SUBSTITUTE(SUBSTITUTE($A1418,"-",""),"(",""),")",""),".",""),"+","")," ","")))</f>
      </c>
    </row>
    <row r="1419" spans="1:11" x14ac:dyDescent="0.3">
      <c r="A1419" s="28"/>
      <c r="B1419" s="29"/>
      <c r="C1419" s="30"/>
      <c r="D1419" s="31"/>
      <c r="E1419" s="33">
        <f>IF(OR($D1419="",$K1419=""),"",IF(COUNTIFS(Payments!$G$5:$G$2500,$K1419,Payments!$C$5:$C$2500,"&lt;&gt;")=0,"",_xlfn.MAXIFS(Payments!$C$5:$C$2500,Payments!$G$5:$G$2500,$K1419)))</f>
      </c>
      <c r="F1419" s="34">
        <f>IF(OR($D1419="",$K1419=""),"",SUMIF(Payments!$G$5:$G$2500,$K1419,Payments!$D$5:$D$2500))</f>
      </c>
      <c r="G1419" s="36">
        <f>IF($D1419="","",ROUND($D1419-IF($F1419="",0,$F1419),2))</f>
      </c>
      <c r="H1419" s="35">
        <f>IF(OR($D1419="",$K1419=""),"",COUNTIF(Payments!$G$5:$G$2500,$K1419))</f>
      </c>
      <c r="I1419" s="37">
        <f>IF($D1419="","",IF(OR($F1419="",$F1419=0),"Pending",IF(ROUND($F1419-$D1419,2)&gt;0,"Overpaid",IF(ROUND($F1419-$D1419,2)=0,"Paid","Partial"))))</f>
      </c>
      <c r="J1419" s="29"/>
      <c r="K1419">
        <f>IF($A1419="","","#"&amp;TRIM(SUBSTITUTE(SUBSTITUTE(SUBSTITUTE(SUBSTITUTE(SUBSTITUTE(SUBSTITUTE($A1419,"-",""),"(",""),")",""),".",""),"+","")," ","")))</f>
      </c>
    </row>
    <row r="1420" spans="1:11" x14ac:dyDescent="0.3">
      <c r="A1420" s="28"/>
      <c r="B1420" s="29"/>
      <c r="C1420" s="30"/>
      <c r="D1420" s="31"/>
      <c r="E1420" s="33">
        <f>IF(OR($D1420="",$K1420=""),"",IF(COUNTIFS(Payments!$G$5:$G$2500,$K1420,Payments!$C$5:$C$2500,"&lt;&gt;")=0,"",_xlfn.MAXIFS(Payments!$C$5:$C$2500,Payments!$G$5:$G$2500,$K1420)))</f>
      </c>
      <c r="F1420" s="34">
        <f>IF(OR($D1420="",$K1420=""),"",SUMIF(Payments!$G$5:$G$2500,$K1420,Payments!$D$5:$D$2500))</f>
      </c>
      <c r="G1420" s="36">
        <f>IF($D1420="","",ROUND($D1420-IF($F1420="",0,$F1420),2))</f>
      </c>
      <c r="H1420" s="35">
        <f>IF(OR($D1420="",$K1420=""),"",COUNTIF(Payments!$G$5:$G$2500,$K1420))</f>
      </c>
      <c r="I1420" s="37">
        <f>IF($D1420="","",IF(OR($F1420="",$F1420=0),"Pending",IF(ROUND($F1420-$D1420,2)&gt;0,"Overpaid",IF(ROUND($F1420-$D1420,2)=0,"Paid","Partial"))))</f>
      </c>
      <c r="J1420" s="29"/>
      <c r="K1420">
        <f>IF($A1420="","","#"&amp;TRIM(SUBSTITUTE(SUBSTITUTE(SUBSTITUTE(SUBSTITUTE(SUBSTITUTE(SUBSTITUTE($A1420,"-",""),"(",""),")",""),".",""),"+","")," ","")))</f>
      </c>
    </row>
    <row r="1421" spans="1:11" x14ac:dyDescent="0.3">
      <c r="A1421" s="28"/>
      <c r="B1421" s="29"/>
      <c r="C1421" s="30"/>
      <c r="D1421" s="31"/>
      <c r="E1421" s="33">
        <f>IF(OR($D1421="",$K1421=""),"",IF(COUNTIFS(Payments!$G$5:$G$2500,$K1421,Payments!$C$5:$C$2500,"&lt;&gt;")=0,"",_xlfn.MAXIFS(Payments!$C$5:$C$2500,Payments!$G$5:$G$2500,$K1421)))</f>
      </c>
      <c r="F1421" s="34">
        <f>IF(OR($D1421="",$K1421=""),"",SUMIF(Payments!$G$5:$G$2500,$K1421,Payments!$D$5:$D$2500))</f>
      </c>
      <c r="G1421" s="36">
        <f>IF($D1421="","",ROUND($D1421-IF($F1421="",0,$F1421),2))</f>
      </c>
      <c r="H1421" s="35">
        <f>IF(OR($D1421="",$K1421=""),"",COUNTIF(Payments!$G$5:$G$2500,$K1421))</f>
      </c>
      <c r="I1421" s="37">
        <f>IF($D1421="","",IF(OR($F1421="",$F1421=0),"Pending",IF(ROUND($F1421-$D1421,2)&gt;0,"Overpaid",IF(ROUND($F1421-$D1421,2)=0,"Paid","Partial"))))</f>
      </c>
      <c r="J1421" s="29"/>
      <c r="K1421">
        <f>IF($A1421="","","#"&amp;TRIM(SUBSTITUTE(SUBSTITUTE(SUBSTITUTE(SUBSTITUTE(SUBSTITUTE(SUBSTITUTE($A1421,"-",""),"(",""),")",""),".",""),"+","")," ","")))</f>
      </c>
    </row>
    <row r="1422" spans="1:11" x14ac:dyDescent="0.3">
      <c r="A1422" s="28"/>
      <c r="B1422" s="29"/>
      <c r="C1422" s="30"/>
      <c r="D1422" s="31"/>
      <c r="E1422" s="33">
        <f>IF(OR($D1422="",$K1422=""),"",IF(COUNTIFS(Payments!$G$5:$G$2500,$K1422,Payments!$C$5:$C$2500,"&lt;&gt;")=0,"",_xlfn.MAXIFS(Payments!$C$5:$C$2500,Payments!$G$5:$G$2500,$K1422)))</f>
      </c>
      <c r="F1422" s="34">
        <f>IF(OR($D1422="",$K1422=""),"",SUMIF(Payments!$G$5:$G$2500,$K1422,Payments!$D$5:$D$2500))</f>
      </c>
      <c r="G1422" s="36">
        <f>IF($D1422="","",ROUND($D1422-IF($F1422="",0,$F1422),2))</f>
      </c>
      <c r="H1422" s="35">
        <f>IF(OR($D1422="",$K1422=""),"",COUNTIF(Payments!$G$5:$G$2500,$K1422))</f>
      </c>
      <c r="I1422" s="37">
        <f>IF($D1422="","",IF(OR($F1422="",$F1422=0),"Pending",IF(ROUND($F1422-$D1422,2)&gt;0,"Overpaid",IF(ROUND($F1422-$D1422,2)=0,"Paid","Partial"))))</f>
      </c>
      <c r="J1422" s="29"/>
      <c r="K1422">
        <f>IF($A1422="","","#"&amp;TRIM(SUBSTITUTE(SUBSTITUTE(SUBSTITUTE(SUBSTITUTE(SUBSTITUTE(SUBSTITUTE($A1422,"-",""),"(",""),")",""),".",""),"+","")," ","")))</f>
      </c>
    </row>
    <row r="1423" spans="1:11" x14ac:dyDescent="0.3">
      <c r="A1423" s="28"/>
      <c r="B1423" s="29"/>
      <c r="C1423" s="30"/>
      <c r="D1423" s="31"/>
      <c r="E1423" s="33">
        <f>IF(OR($D1423="",$K1423=""),"",IF(COUNTIFS(Payments!$G$5:$G$2500,$K1423,Payments!$C$5:$C$2500,"&lt;&gt;")=0,"",_xlfn.MAXIFS(Payments!$C$5:$C$2500,Payments!$G$5:$G$2500,$K1423)))</f>
      </c>
      <c r="F1423" s="34">
        <f>IF(OR($D1423="",$K1423=""),"",SUMIF(Payments!$G$5:$G$2500,$K1423,Payments!$D$5:$D$2500))</f>
      </c>
      <c r="G1423" s="36">
        <f>IF($D1423="","",ROUND($D1423-IF($F1423="",0,$F1423),2))</f>
      </c>
      <c r="H1423" s="35">
        <f>IF(OR($D1423="",$K1423=""),"",COUNTIF(Payments!$G$5:$G$2500,$K1423))</f>
      </c>
      <c r="I1423" s="37">
        <f>IF($D1423="","",IF(OR($F1423="",$F1423=0),"Pending",IF(ROUND($F1423-$D1423,2)&gt;0,"Overpaid",IF(ROUND($F1423-$D1423,2)=0,"Paid","Partial"))))</f>
      </c>
      <c r="J1423" s="29"/>
      <c r="K1423">
        <f>IF($A1423="","","#"&amp;TRIM(SUBSTITUTE(SUBSTITUTE(SUBSTITUTE(SUBSTITUTE(SUBSTITUTE(SUBSTITUTE($A1423,"-",""),"(",""),")",""),".",""),"+","")," ","")))</f>
      </c>
    </row>
    <row r="1424" spans="1:11" x14ac:dyDescent="0.3">
      <c r="A1424" s="28"/>
      <c r="B1424" s="29"/>
      <c r="C1424" s="30"/>
      <c r="D1424" s="31"/>
      <c r="E1424" s="33">
        <f>IF(OR($D1424="",$K1424=""),"",IF(COUNTIFS(Payments!$G$5:$G$2500,$K1424,Payments!$C$5:$C$2500,"&lt;&gt;")=0,"",_xlfn.MAXIFS(Payments!$C$5:$C$2500,Payments!$G$5:$G$2500,$K1424)))</f>
      </c>
      <c r="F1424" s="34">
        <f>IF(OR($D1424="",$K1424=""),"",SUMIF(Payments!$G$5:$G$2500,$K1424,Payments!$D$5:$D$2500))</f>
      </c>
      <c r="G1424" s="36">
        <f>IF($D1424="","",ROUND($D1424-IF($F1424="",0,$F1424),2))</f>
      </c>
      <c r="H1424" s="35">
        <f>IF(OR($D1424="",$K1424=""),"",COUNTIF(Payments!$G$5:$G$2500,$K1424))</f>
      </c>
      <c r="I1424" s="37">
        <f>IF($D1424="","",IF(OR($F1424="",$F1424=0),"Pending",IF(ROUND($F1424-$D1424,2)&gt;0,"Overpaid",IF(ROUND($F1424-$D1424,2)=0,"Paid","Partial"))))</f>
      </c>
      <c r="J1424" s="29"/>
      <c r="K1424">
        <f>IF($A1424="","","#"&amp;TRIM(SUBSTITUTE(SUBSTITUTE(SUBSTITUTE(SUBSTITUTE(SUBSTITUTE(SUBSTITUTE($A1424,"-",""),"(",""),")",""),".",""),"+","")," ","")))</f>
      </c>
    </row>
    <row r="1425" spans="1:11" x14ac:dyDescent="0.3">
      <c r="A1425" s="28"/>
      <c r="B1425" s="29"/>
      <c r="C1425" s="30"/>
      <c r="D1425" s="31"/>
      <c r="E1425" s="33">
        <f>IF(OR($D1425="",$K1425=""),"",IF(COUNTIFS(Payments!$G$5:$G$2500,$K1425,Payments!$C$5:$C$2500,"&lt;&gt;")=0,"",_xlfn.MAXIFS(Payments!$C$5:$C$2500,Payments!$G$5:$G$2500,$K1425)))</f>
      </c>
      <c r="F1425" s="34">
        <f>IF(OR($D1425="",$K1425=""),"",SUMIF(Payments!$G$5:$G$2500,$K1425,Payments!$D$5:$D$2500))</f>
      </c>
      <c r="G1425" s="36">
        <f>IF($D1425="","",ROUND($D1425-IF($F1425="",0,$F1425),2))</f>
      </c>
      <c r="H1425" s="35">
        <f>IF(OR($D1425="",$K1425=""),"",COUNTIF(Payments!$G$5:$G$2500,$K1425))</f>
      </c>
      <c r="I1425" s="37">
        <f>IF($D1425="","",IF(OR($F1425="",$F1425=0),"Pending",IF(ROUND($F1425-$D1425,2)&gt;0,"Overpaid",IF(ROUND($F1425-$D1425,2)=0,"Paid","Partial"))))</f>
      </c>
      <c r="J1425" s="29"/>
      <c r="K1425">
        <f>IF($A1425="","","#"&amp;TRIM(SUBSTITUTE(SUBSTITUTE(SUBSTITUTE(SUBSTITUTE(SUBSTITUTE(SUBSTITUTE($A1425,"-",""),"(",""),")",""),".",""),"+","")," ","")))</f>
      </c>
    </row>
    <row r="1426" spans="1:11" x14ac:dyDescent="0.3">
      <c r="A1426" s="28"/>
      <c r="B1426" s="29"/>
      <c r="C1426" s="30"/>
      <c r="D1426" s="31"/>
      <c r="E1426" s="33">
        <f>IF(OR($D1426="",$K1426=""),"",IF(COUNTIFS(Payments!$G$5:$G$2500,$K1426,Payments!$C$5:$C$2500,"&lt;&gt;")=0,"",_xlfn.MAXIFS(Payments!$C$5:$C$2500,Payments!$G$5:$G$2500,$K1426)))</f>
      </c>
      <c r="F1426" s="34">
        <f>IF(OR($D1426="",$K1426=""),"",SUMIF(Payments!$G$5:$G$2500,$K1426,Payments!$D$5:$D$2500))</f>
      </c>
      <c r="G1426" s="36">
        <f>IF($D1426="","",ROUND($D1426-IF($F1426="",0,$F1426),2))</f>
      </c>
      <c r="H1426" s="35">
        <f>IF(OR($D1426="",$K1426=""),"",COUNTIF(Payments!$G$5:$G$2500,$K1426))</f>
      </c>
      <c r="I1426" s="37">
        <f>IF($D1426="","",IF(OR($F1426="",$F1426=0),"Pending",IF(ROUND($F1426-$D1426,2)&gt;0,"Overpaid",IF(ROUND($F1426-$D1426,2)=0,"Paid","Partial"))))</f>
      </c>
      <c r="J1426" s="29"/>
      <c r="K1426">
        <f>IF($A1426="","","#"&amp;TRIM(SUBSTITUTE(SUBSTITUTE(SUBSTITUTE(SUBSTITUTE(SUBSTITUTE(SUBSTITUTE($A1426,"-",""),"(",""),")",""),".",""),"+","")," ","")))</f>
      </c>
    </row>
    <row r="1427" spans="1:11" x14ac:dyDescent="0.3">
      <c r="A1427" s="28"/>
      <c r="B1427" s="29"/>
      <c r="C1427" s="30"/>
      <c r="D1427" s="31"/>
      <c r="E1427" s="33">
        <f>IF(OR($D1427="",$K1427=""),"",IF(COUNTIFS(Payments!$G$5:$G$2500,$K1427,Payments!$C$5:$C$2500,"&lt;&gt;")=0,"",_xlfn.MAXIFS(Payments!$C$5:$C$2500,Payments!$G$5:$G$2500,$K1427)))</f>
      </c>
      <c r="F1427" s="34">
        <f>IF(OR($D1427="",$K1427=""),"",SUMIF(Payments!$G$5:$G$2500,$K1427,Payments!$D$5:$D$2500))</f>
      </c>
      <c r="G1427" s="36">
        <f>IF($D1427="","",ROUND($D1427-IF($F1427="",0,$F1427),2))</f>
      </c>
      <c r="H1427" s="35">
        <f>IF(OR($D1427="",$K1427=""),"",COUNTIF(Payments!$G$5:$G$2500,$K1427))</f>
      </c>
      <c r="I1427" s="37">
        <f>IF($D1427="","",IF(OR($F1427="",$F1427=0),"Pending",IF(ROUND($F1427-$D1427,2)&gt;0,"Overpaid",IF(ROUND($F1427-$D1427,2)=0,"Paid","Partial"))))</f>
      </c>
      <c r="J1427" s="29"/>
      <c r="K1427">
        <f>IF($A1427="","","#"&amp;TRIM(SUBSTITUTE(SUBSTITUTE(SUBSTITUTE(SUBSTITUTE(SUBSTITUTE(SUBSTITUTE($A1427,"-",""),"(",""),")",""),".",""),"+","")," ","")))</f>
      </c>
    </row>
    <row r="1428" spans="1:11" x14ac:dyDescent="0.3">
      <c r="A1428" s="28"/>
      <c r="B1428" s="29"/>
      <c r="C1428" s="30"/>
      <c r="D1428" s="31"/>
      <c r="E1428" s="33">
        <f>IF(OR($D1428="",$K1428=""),"",IF(COUNTIFS(Payments!$G$5:$G$2500,$K1428,Payments!$C$5:$C$2500,"&lt;&gt;")=0,"",_xlfn.MAXIFS(Payments!$C$5:$C$2500,Payments!$G$5:$G$2500,$K1428)))</f>
      </c>
      <c r="F1428" s="34">
        <f>IF(OR($D1428="",$K1428=""),"",SUMIF(Payments!$G$5:$G$2500,$K1428,Payments!$D$5:$D$2500))</f>
      </c>
      <c r="G1428" s="36">
        <f>IF($D1428="","",ROUND($D1428-IF($F1428="",0,$F1428),2))</f>
      </c>
      <c r="H1428" s="35">
        <f>IF(OR($D1428="",$K1428=""),"",COUNTIF(Payments!$G$5:$G$2500,$K1428))</f>
      </c>
      <c r="I1428" s="37">
        <f>IF($D1428="","",IF(OR($F1428="",$F1428=0),"Pending",IF(ROUND($F1428-$D1428,2)&gt;0,"Overpaid",IF(ROUND($F1428-$D1428,2)=0,"Paid","Partial"))))</f>
      </c>
      <c r="J1428" s="29"/>
      <c r="K1428">
        <f>IF($A1428="","","#"&amp;TRIM(SUBSTITUTE(SUBSTITUTE(SUBSTITUTE(SUBSTITUTE(SUBSTITUTE(SUBSTITUTE($A1428,"-",""),"(",""),")",""),".",""),"+","")," ","")))</f>
      </c>
    </row>
    <row r="1429" spans="1:11" x14ac:dyDescent="0.3">
      <c r="A1429" s="28"/>
      <c r="B1429" s="29"/>
      <c r="C1429" s="30"/>
      <c r="D1429" s="31"/>
      <c r="E1429" s="33">
        <f>IF(OR($D1429="",$K1429=""),"",IF(COUNTIFS(Payments!$G$5:$G$2500,$K1429,Payments!$C$5:$C$2500,"&lt;&gt;")=0,"",_xlfn.MAXIFS(Payments!$C$5:$C$2500,Payments!$G$5:$G$2500,$K1429)))</f>
      </c>
      <c r="F1429" s="34">
        <f>IF(OR($D1429="",$K1429=""),"",SUMIF(Payments!$G$5:$G$2500,$K1429,Payments!$D$5:$D$2500))</f>
      </c>
      <c r="G1429" s="36">
        <f>IF($D1429="","",ROUND($D1429-IF($F1429="",0,$F1429),2))</f>
      </c>
      <c r="H1429" s="35">
        <f>IF(OR($D1429="",$K1429=""),"",COUNTIF(Payments!$G$5:$G$2500,$K1429))</f>
      </c>
      <c r="I1429" s="37">
        <f>IF($D1429="","",IF(OR($F1429="",$F1429=0),"Pending",IF(ROUND($F1429-$D1429,2)&gt;0,"Overpaid",IF(ROUND($F1429-$D1429,2)=0,"Paid","Partial"))))</f>
      </c>
      <c r="J1429" s="29"/>
      <c r="K1429">
        <f>IF($A1429="","","#"&amp;TRIM(SUBSTITUTE(SUBSTITUTE(SUBSTITUTE(SUBSTITUTE(SUBSTITUTE(SUBSTITUTE($A1429,"-",""),"(",""),")",""),".",""),"+","")," ","")))</f>
      </c>
    </row>
    <row r="1430" spans="1:11" x14ac:dyDescent="0.3">
      <c r="A1430" s="28"/>
      <c r="B1430" s="29"/>
      <c r="C1430" s="30"/>
      <c r="D1430" s="31"/>
      <c r="E1430" s="33">
        <f>IF(OR($D1430="",$K1430=""),"",IF(COUNTIFS(Payments!$G$5:$G$2500,$K1430,Payments!$C$5:$C$2500,"&lt;&gt;")=0,"",_xlfn.MAXIFS(Payments!$C$5:$C$2500,Payments!$G$5:$G$2500,$K1430)))</f>
      </c>
      <c r="F1430" s="34">
        <f>IF(OR($D1430="",$K1430=""),"",SUMIF(Payments!$G$5:$G$2500,$K1430,Payments!$D$5:$D$2500))</f>
      </c>
      <c r="G1430" s="36">
        <f>IF($D1430="","",ROUND($D1430-IF($F1430="",0,$F1430),2))</f>
      </c>
      <c r="H1430" s="35">
        <f>IF(OR($D1430="",$K1430=""),"",COUNTIF(Payments!$G$5:$G$2500,$K1430))</f>
      </c>
      <c r="I1430" s="37">
        <f>IF($D1430="","",IF(OR($F1430="",$F1430=0),"Pending",IF(ROUND($F1430-$D1430,2)&gt;0,"Overpaid",IF(ROUND($F1430-$D1430,2)=0,"Paid","Partial"))))</f>
      </c>
      <c r="J1430" s="29"/>
      <c r="K1430">
        <f>IF($A1430="","","#"&amp;TRIM(SUBSTITUTE(SUBSTITUTE(SUBSTITUTE(SUBSTITUTE(SUBSTITUTE(SUBSTITUTE($A1430,"-",""),"(",""),")",""),".",""),"+","")," ","")))</f>
      </c>
    </row>
    <row r="1431" spans="1:11" x14ac:dyDescent="0.3">
      <c r="A1431" s="28"/>
      <c r="B1431" s="29"/>
      <c r="C1431" s="30"/>
      <c r="D1431" s="31"/>
      <c r="E1431" s="33">
        <f>IF(OR($D1431="",$K1431=""),"",IF(COUNTIFS(Payments!$G$5:$G$2500,$K1431,Payments!$C$5:$C$2500,"&lt;&gt;")=0,"",_xlfn.MAXIFS(Payments!$C$5:$C$2500,Payments!$G$5:$G$2500,$K1431)))</f>
      </c>
      <c r="F1431" s="34">
        <f>IF(OR($D1431="",$K1431=""),"",SUMIF(Payments!$G$5:$G$2500,$K1431,Payments!$D$5:$D$2500))</f>
      </c>
      <c r="G1431" s="36">
        <f>IF($D1431="","",ROUND($D1431-IF($F1431="",0,$F1431),2))</f>
      </c>
      <c r="H1431" s="35">
        <f>IF(OR($D1431="",$K1431=""),"",COUNTIF(Payments!$G$5:$G$2500,$K1431))</f>
      </c>
      <c r="I1431" s="37">
        <f>IF($D1431="","",IF(OR($F1431="",$F1431=0),"Pending",IF(ROUND($F1431-$D1431,2)&gt;0,"Overpaid",IF(ROUND($F1431-$D1431,2)=0,"Paid","Partial"))))</f>
      </c>
      <c r="J1431" s="29"/>
      <c r="K1431">
        <f>IF($A1431="","","#"&amp;TRIM(SUBSTITUTE(SUBSTITUTE(SUBSTITUTE(SUBSTITUTE(SUBSTITUTE(SUBSTITUTE($A1431,"-",""),"(",""),")",""),".",""),"+","")," ","")))</f>
      </c>
    </row>
    <row r="1432" spans="1:11" x14ac:dyDescent="0.3">
      <c r="A1432" s="28"/>
      <c r="B1432" s="29"/>
      <c r="C1432" s="30"/>
      <c r="D1432" s="31"/>
      <c r="E1432" s="33">
        <f>IF(OR($D1432="",$K1432=""),"",IF(COUNTIFS(Payments!$G$5:$G$2500,$K1432,Payments!$C$5:$C$2500,"&lt;&gt;")=0,"",_xlfn.MAXIFS(Payments!$C$5:$C$2500,Payments!$G$5:$G$2500,$K1432)))</f>
      </c>
      <c r="F1432" s="34">
        <f>IF(OR($D1432="",$K1432=""),"",SUMIF(Payments!$G$5:$G$2500,$K1432,Payments!$D$5:$D$2500))</f>
      </c>
      <c r="G1432" s="36">
        <f>IF($D1432="","",ROUND($D1432-IF($F1432="",0,$F1432),2))</f>
      </c>
      <c r="H1432" s="35">
        <f>IF(OR($D1432="",$K1432=""),"",COUNTIF(Payments!$G$5:$G$2500,$K1432))</f>
      </c>
      <c r="I1432" s="37">
        <f>IF($D1432="","",IF(OR($F1432="",$F1432=0),"Pending",IF(ROUND($F1432-$D1432,2)&gt;0,"Overpaid",IF(ROUND($F1432-$D1432,2)=0,"Paid","Partial"))))</f>
      </c>
      <c r="J1432" s="29"/>
      <c r="K1432">
        <f>IF($A1432="","","#"&amp;TRIM(SUBSTITUTE(SUBSTITUTE(SUBSTITUTE(SUBSTITUTE(SUBSTITUTE(SUBSTITUTE($A1432,"-",""),"(",""),")",""),".",""),"+","")," ","")))</f>
      </c>
    </row>
    <row r="1433" spans="1:11" x14ac:dyDescent="0.3">
      <c r="A1433" s="28"/>
      <c r="B1433" s="29"/>
      <c r="C1433" s="30"/>
      <c r="D1433" s="31"/>
      <c r="E1433" s="33">
        <f>IF(OR($D1433="",$K1433=""),"",IF(COUNTIFS(Payments!$G$5:$G$2500,$K1433,Payments!$C$5:$C$2500,"&lt;&gt;")=0,"",_xlfn.MAXIFS(Payments!$C$5:$C$2500,Payments!$G$5:$G$2500,$K1433)))</f>
      </c>
      <c r="F1433" s="34">
        <f>IF(OR($D1433="",$K1433=""),"",SUMIF(Payments!$G$5:$G$2500,$K1433,Payments!$D$5:$D$2500))</f>
      </c>
      <c r="G1433" s="36">
        <f>IF($D1433="","",ROUND($D1433-IF($F1433="",0,$F1433),2))</f>
      </c>
      <c r="H1433" s="35">
        <f>IF(OR($D1433="",$K1433=""),"",COUNTIF(Payments!$G$5:$G$2500,$K1433))</f>
      </c>
      <c r="I1433" s="37">
        <f>IF($D1433="","",IF(OR($F1433="",$F1433=0),"Pending",IF(ROUND($F1433-$D1433,2)&gt;0,"Overpaid",IF(ROUND($F1433-$D1433,2)=0,"Paid","Partial"))))</f>
      </c>
      <c r="J1433" s="29"/>
      <c r="K1433">
        <f>IF($A1433="","","#"&amp;TRIM(SUBSTITUTE(SUBSTITUTE(SUBSTITUTE(SUBSTITUTE(SUBSTITUTE(SUBSTITUTE($A1433,"-",""),"(",""),")",""),".",""),"+","")," ","")))</f>
      </c>
    </row>
    <row r="1434" spans="1:11" x14ac:dyDescent="0.3">
      <c r="A1434" s="28"/>
      <c r="B1434" s="29"/>
      <c r="C1434" s="30"/>
      <c r="D1434" s="31"/>
      <c r="E1434" s="33">
        <f>IF(OR($D1434="",$K1434=""),"",IF(COUNTIFS(Payments!$G$5:$G$2500,$K1434,Payments!$C$5:$C$2500,"&lt;&gt;")=0,"",_xlfn.MAXIFS(Payments!$C$5:$C$2500,Payments!$G$5:$G$2500,$K1434)))</f>
      </c>
      <c r="F1434" s="34">
        <f>IF(OR($D1434="",$K1434=""),"",SUMIF(Payments!$G$5:$G$2500,$K1434,Payments!$D$5:$D$2500))</f>
      </c>
      <c r="G1434" s="36">
        <f>IF($D1434="","",ROUND($D1434-IF($F1434="",0,$F1434),2))</f>
      </c>
      <c r="H1434" s="35">
        <f>IF(OR($D1434="",$K1434=""),"",COUNTIF(Payments!$G$5:$G$2500,$K1434))</f>
      </c>
      <c r="I1434" s="37">
        <f>IF($D1434="","",IF(OR($F1434="",$F1434=0),"Pending",IF(ROUND($F1434-$D1434,2)&gt;0,"Overpaid",IF(ROUND($F1434-$D1434,2)=0,"Paid","Partial"))))</f>
      </c>
      <c r="J1434" s="29"/>
      <c r="K1434">
        <f>IF($A1434="","","#"&amp;TRIM(SUBSTITUTE(SUBSTITUTE(SUBSTITUTE(SUBSTITUTE(SUBSTITUTE(SUBSTITUTE($A1434,"-",""),"(",""),")",""),".",""),"+","")," ","")))</f>
      </c>
    </row>
    <row r="1435" spans="1:11" x14ac:dyDescent="0.3">
      <c r="A1435" s="28"/>
      <c r="B1435" s="29"/>
      <c r="C1435" s="30"/>
      <c r="D1435" s="31"/>
      <c r="E1435" s="33">
        <f>IF(OR($D1435="",$K1435=""),"",IF(COUNTIFS(Payments!$G$5:$G$2500,$K1435,Payments!$C$5:$C$2500,"&lt;&gt;")=0,"",_xlfn.MAXIFS(Payments!$C$5:$C$2500,Payments!$G$5:$G$2500,$K1435)))</f>
      </c>
      <c r="F1435" s="34">
        <f>IF(OR($D1435="",$K1435=""),"",SUMIF(Payments!$G$5:$G$2500,$K1435,Payments!$D$5:$D$2500))</f>
      </c>
      <c r="G1435" s="36">
        <f>IF($D1435="","",ROUND($D1435-IF($F1435="",0,$F1435),2))</f>
      </c>
      <c r="H1435" s="35">
        <f>IF(OR($D1435="",$K1435=""),"",COUNTIF(Payments!$G$5:$G$2500,$K1435))</f>
      </c>
      <c r="I1435" s="37">
        <f>IF($D1435="","",IF(OR($F1435="",$F1435=0),"Pending",IF(ROUND($F1435-$D1435,2)&gt;0,"Overpaid",IF(ROUND($F1435-$D1435,2)=0,"Paid","Partial"))))</f>
      </c>
      <c r="J1435" s="29"/>
      <c r="K1435">
        <f>IF($A1435="","","#"&amp;TRIM(SUBSTITUTE(SUBSTITUTE(SUBSTITUTE(SUBSTITUTE(SUBSTITUTE(SUBSTITUTE($A1435,"-",""),"(",""),")",""),".",""),"+","")," ","")))</f>
      </c>
    </row>
    <row r="1436" spans="1:11" x14ac:dyDescent="0.3">
      <c r="A1436" s="28"/>
      <c r="B1436" s="29"/>
      <c r="C1436" s="30"/>
      <c r="D1436" s="31"/>
      <c r="E1436" s="33">
        <f>IF(OR($D1436="",$K1436=""),"",IF(COUNTIFS(Payments!$G$5:$G$2500,$K1436,Payments!$C$5:$C$2500,"&lt;&gt;")=0,"",_xlfn.MAXIFS(Payments!$C$5:$C$2500,Payments!$G$5:$G$2500,$K1436)))</f>
      </c>
      <c r="F1436" s="34">
        <f>IF(OR($D1436="",$K1436=""),"",SUMIF(Payments!$G$5:$G$2500,$K1436,Payments!$D$5:$D$2500))</f>
      </c>
      <c r="G1436" s="36">
        <f>IF($D1436="","",ROUND($D1436-IF($F1436="",0,$F1436),2))</f>
      </c>
      <c r="H1436" s="35">
        <f>IF(OR($D1436="",$K1436=""),"",COUNTIF(Payments!$G$5:$G$2500,$K1436))</f>
      </c>
      <c r="I1436" s="37">
        <f>IF($D1436="","",IF(OR($F1436="",$F1436=0),"Pending",IF(ROUND($F1436-$D1436,2)&gt;0,"Overpaid",IF(ROUND($F1436-$D1436,2)=0,"Paid","Partial"))))</f>
      </c>
      <c r="J1436" s="29"/>
      <c r="K1436">
        <f>IF($A1436="","","#"&amp;TRIM(SUBSTITUTE(SUBSTITUTE(SUBSTITUTE(SUBSTITUTE(SUBSTITUTE(SUBSTITUTE($A1436,"-",""),"(",""),")",""),".",""),"+","")," ","")))</f>
      </c>
    </row>
    <row r="1437" spans="1:11" x14ac:dyDescent="0.3">
      <c r="A1437" s="28"/>
      <c r="B1437" s="29"/>
      <c r="C1437" s="30"/>
      <c r="D1437" s="31"/>
      <c r="E1437" s="33">
        <f>IF(OR($D1437="",$K1437=""),"",IF(COUNTIFS(Payments!$G$5:$G$2500,$K1437,Payments!$C$5:$C$2500,"&lt;&gt;")=0,"",_xlfn.MAXIFS(Payments!$C$5:$C$2500,Payments!$G$5:$G$2500,$K1437)))</f>
      </c>
      <c r="F1437" s="34">
        <f>IF(OR($D1437="",$K1437=""),"",SUMIF(Payments!$G$5:$G$2500,$K1437,Payments!$D$5:$D$2500))</f>
      </c>
      <c r="G1437" s="36">
        <f>IF($D1437="","",ROUND($D1437-IF($F1437="",0,$F1437),2))</f>
      </c>
      <c r="H1437" s="35">
        <f>IF(OR($D1437="",$K1437=""),"",COUNTIF(Payments!$G$5:$G$2500,$K1437))</f>
      </c>
      <c r="I1437" s="37">
        <f>IF($D1437="","",IF(OR($F1437="",$F1437=0),"Pending",IF(ROUND($F1437-$D1437,2)&gt;0,"Overpaid",IF(ROUND($F1437-$D1437,2)=0,"Paid","Partial"))))</f>
      </c>
      <c r="J1437" s="29"/>
      <c r="K1437">
        <f>IF($A1437="","","#"&amp;TRIM(SUBSTITUTE(SUBSTITUTE(SUBSTITUTE(SUBSTITUTE(SUBSTITUTE(SUBSTITUTE($A1437,"-",""),"(",""),")",""),".",""),"+","")," ","")))</f>
      </c>
    </row>
    <row r="1438" spans="1:11" x14ac:dyDescent="0.3">
      <c r="A1438" s="28"/>
      <c r="B1438" s="29"/>
      <c r="C1438" s="30"/>
      <c r="D1438" s="31"/>
      <c r="E1438" s="33">
        <f>IF(OR($D1438="",$K1438=""),"",IF(COUNTIFS(Payments!$G$5:$G$2500,$K1438,Payments!$C$5:$C$2500,"&lt;&gt;")=0,"",_xlfn.MAXIFS(Payments!$C$5:$C$2500,Payments!$G$5:$G$2500,$K1438)))</f>
      </c>
      <c r="F1438" s="34">
        <f>IF(OR($D1438="",$K1438=""),"",SUMIF(Payments!$G$5:$G$2500,$K1438,Payments!$D$5:$D$2500))</f>
      </c>
      <c r="G1438" s="36">
        <f>IF($D1438="","",ROUND($D1438-IF($F1438="",0,$F1438),2))</f>
      </c>
      <c r="H1438" s="35">
        <f>IF(OR($D1438="",$K1438=""),"",COUNTIF(Payments!$G$5:$G$2500,$K1438))</f>
      </c>
      <c r="I1438" s="37">
        <f>IF($D1438="","",IF(OR($F1438="",$F1438=0),"Pending",IF(ROUND($F1438-$D1438,2)&gt;0,"Overpaid",IF(ROUND($F1438-$D1438,2)=0,"Paid","Partial"))))</f>
      </c>
      <c r="J1438" s="29"/>
      <c r="K1438">
        <f>IF($A1438="","","#"&amp;TRIM(SUBSTITUTE(SUBSTITUTE(SUBSTITUTE(SUBSTITUTE(SUBSTITUTE(SUBSTITUTE($A1438,"-",""),"(",""),")",""),".",""),"+","")," ","")))</f>
      </c>
    </row>
    <row r="1439" spans="1:11" x14ac:dyDescent="0.3">
      <c r="A1439" s="28"/>
      <c r="B1439" s="29"/>
      <c r="C1439" s="30"/>
      <c r="D1439" s="31"/>
      <c r="E1439" s="33">
        <f>IF(OR($D1439="",$K1439=""),"",IF(COUNTIFS(Payments!$G$5:$G$2500,$K1439,Payments!$C$5:$C$2500,"&lt;&gt;")=0,"",_xlfn.MAXIFS(Payments!$C$5:$C$2500,Payments!$G$5:$G$2500,$K1439)))</f>
      </c>
      <c r="F1439" s="34">
        <f>IF(OR($D1439="",$K1439=""),"",SUMIF(Payments!$G$5:$G$2500,$K1439,Payments!$D$5:$D$2500))</f>
      </c>
      <c r="G1439" s="36">
        <f>IF($D1439="","",ROUND($D1439-IF($F1439="",0,$F1439),2))</f>
      </c>
      <c r="H1439" s="35">
        <f>IF(OR($D1439="",$K1439=""),"",COUNTIF(Payments!$G$5:$G$2500,$K1439))</f>
      </c>
      <c r="I1439" s="37">
        <f>IF($D1439="","",IF(OR($F1439="",$F1439=0),"Pending",IF(ROUND($F1439-$D1439,2)&gt;0,"Overpaid",IF(ROUND($F1439-$D1439,2)=0,"Paid","Partial"))))</f>
      </c>
      <c r="J1439" s="29"/>
      <c r="K1439">
        <f>IF($A1439="","","#"&amp;TRIM(SUBSTITUTE(SUBSTITUTE(SUBSTITUTE(SUBSTITUTE(SUBSTITUTE(SUBSTITUTE($A1439,"-",""),"(",""),")",""),".",""),"+","")," ","")))</f>
      </c>
    </row>
    <row r="1440" spans="1:11" x14ac:dyDescent="0.3">
      <c r="A1440" s="28"/>
      <c r="B1440" s="29"/>
      <c r="C1440" s="30"/>
      <c r="D1440" s="31"/>
      <c r="E1440" s="33">
        <f>IF(OR($D1440="",$K1440=""),"",IF(COUNTIFS(Payments!$G$5:$G$2500,$K1440,Payments!$C$5:$C$2500,"&lt;&gt;")=0,"",_xlfn.MAXIFS(Payments!$C$5:$C$2500,Payments!$G$5:$G$2500,$K1440)))</f>
      </c>
      <c r="F1440" s="34">
        <f>IF(OR($D1440="",$K1440=""),"",SUMIF(Payments!$G$5:$G$2500,$K1440,Payments!$D$5:$D$2500))</f>
      </c>
      <c r="G1440" s="36">
        <f>IF($D1440="","",ROUND($D1440-IF($F1440="",0,$F1440),2))</f>
      </c>
      <c r="H1440" s="35">
        <f>IF(OR($D1440="",$K1440=""),"",COUNTIF(Payments!$G$5:$G$2500,$K1440))</f>
      </c>
      <c r="I1440" s="37">
        <f>IF($D1440="","",IF(OR($F1440="",$F1440=0),"Pending",IF(ROUND($F1440-$D1440,2)&gt;0,"Overpaid",IF(ROUND($F1440-$D1440,2)=0,"Paid","Partial"))))</f>
      </c>
      <c r="J1440" s="29"/>
      <c r="K1440">
        <f>IF($A1440="","","#"&amp;TRIM(SUBSTITUTE(SUBSTITUTE(SUBSTITUTE(SUBSTITUTE(SUBSTITUTE(SUBSTITUTE($A1440,"-",""),"(",""),")",""),".",""),"+","")," ","")))</f>
      </c>
    </row>
    <row r="1441" spans="1:11" x14ac:dyDescent="0.3">
      <c r="A1441" s="28"/>
      <c r="B1441" s="29"/>
      <c r="C1441" s="30"/>
      <c r="D1441" s="31"/>
      <c r="E1441" s="33">
        <f>IF(OR($D1441="",$K1441=""),"",IF(COUNTIFS(Payments!$G$5:$G$2500,$K1441,Payments!$C$5:$C$2500,"&lt;&gt;")=0,"",_xlfn.MAXIFS(Payments!$C$5:$C$2500,Payments!$G$5:$G$2500,$K1441)))</f>
      </c>
      <c r="F1441" s="34">
        <f>IF(OR($D1441="",$K1441=""),"",SUMIF(Payments!$G$5:$G$2500,$K1441,Payments!$D$5:$D$2500))</f>
      </c>
      <c r="G1441" s="36">
        <f>IF($D1441="","",ROUND($D1441-IF($F1441="",0,$F1441),2))</f>
      </c>
      <c r="H1441" s="35">
        <f>IF(OR($D1441="",$K1441=""),"",COUNTIF(Payments!$G$5:$G$2500,$K1441))</f>
      </c>
      <c r="I1441" s="37">
        <f>IF($D1441="","",IF(OR($F1441="",$F1441=0),"Pending",IF(ROUND($F1441-$D1441,2)&gt;0,"Overpaid",IF(ROUND($F1441-$D1441,2)=0,"Paid","Partial"))))</f>
      </c>
      <c r="J1441" s="29"/>
      <c r="K1441">
        <f>IF($A1441="","","#"&amp;TRIM(SUBSTITUTE(SUBSTITUTE(SUBSTITUTE(SUBSTITUTE(SUBSTITUTE(SUBSTITUTE($A1441,"-",""),"(",""),")",""),".",""),"+","")," ","")))</f>
      </c>
    </row>
    <row r="1442" spans="1:11" x14ac:dyDescent="0.3">
      <c r="A1442" s="28"/>
      <c r="B1442" s="29"/>
      <c r="C1442" s="30"/>
      <c r="D1442" s="31"/>
      <c r="E1442" s="33">
        <f>IF(OR($D1442="",$K1442=""),"",IF(COUNTIFS(Payments!$G$5:$G$2500,$K1442,Payments!$C$5:$C$2500,"&lt;&gt;")=0,"",_xlfn.MAXIFS(Payments!$C$5:$C$2500,Payments!$G$5:$G$2500,$K1442)))</f>
      </c>
      <c r="F1442" s="34">
        <f>IF(OR($D1442="",$K1442=""),"",SUMIF(Payments!$G$5:$G$2500,$K1442,Payments!$D$5:$D$2500))</f>
      </c>
      <c r="G1442" s="36">
        <f>IF($D1442="","",ROUND($D1442-IF($F1442="",0,$F1442),2))</f>
      </c>
      <c r="H1442" s="35">
        <f>IF(OR($D1442="",$K1442=""),"",COUNTIF(Payments!$G$5:$G$2500,$K1442))</f>
      </c>
      <c r="I1442" s="37">
        <f>IF($D1442="","",IF(OR($F1442="",$F1442=0),"Pending",IF(ROUND($F1442-$D1442,2)&gt;0,"Overpaid",IF(ROUND($F1442-$D1442,2)=0,"Paid","Partial"))))</f>
      </c>
      <c r="J1442" s="29"/>
      <c r="K1442">
        <f>IF($A1442="","","#"&amp;TRIM(SUBSTITUTE(SUBSTITUTE(SUBSTITUTE(SUBSTITUTE(SUBSTITUTE(SUBSTITUTE($A1442,"-",""),"(",""),")",""),".",""),"+","")," ","")))</f>
      </c>
    </row>
    <row r="1443" spans="1:11" x14ac:dyDescent="0.3">
      <c r="A1443" s="28"/>
      <c r="B1443" s="29"/>
      <c r="C1443" s="30"/>
      <c r="D1443" s="31"/>
      <c r="E1443" s="33">
        <f>IF(OR($D1443="",$K1443=""),"",IF(COUNTIFS(Payments!$G$5:$G$2500,$K1443,Payments!$C$5:$C$2500,"&lt;&gt;")=0,"",_xlfn.MAXIFS(Payments!$C$5:$C$2500,Payments!$G$5:$G$2500,$K1443)))</f>
      </c>
      <c r="F1443" s="34">
        <f>IF(OR($D1443="",$K1443=""),"",SUMIF(Payments!$G$5:$G$2500,$K1443,Payments!$D$5:$D$2500))</f>
      </c>
      <c r="G1443" s="36">
        <f>IF($D1443="","",ROUND($D1443-IF($F1443="",0,$F1443),2))</f>
      </c>
      <c r="H1443" s="35">
        <f>IF(OR($D1443="",$K1443=""),"",COUNTIF(Payments!$G$5:$G$2500,$K1443))</f>
      </c>
      <c r="I1443" s="37">
        <f>IF($D1443="","",IF(OR($F1443="",$F1443=0),"Pending",IF(ROUND($F1443-$D1443,2)&gt;0,"Overpaid",IF(ROUND($F1443-$D1443,2)=0,"Paid","Partial"))))</f>
      </c>
      <c r="J1443" s="29"/>
      <c r="K1443">
        <f>IF($A1443="","","#"&amp;TRIM(SUBSTITUTE(SUBSTITUTE(SUBSTITUTE(SUBSTITUTE(SUBSTITUTE(SUBSTITUTE($A1443,"-",""),"(",""),")",""),".",""),"+","")," ","")))</f>
      </c>
    </row>
    <row r="1444" spans="1:11" x14ac:dyDescent="0.3">
      <c r="A1444" s="28"/>
      <c r="B1444" s="29"/>
      <c r="C1444" s="30"/>
      <c r="D1444" s="31"/>
      <c r="E1444" s="33">
        <f>IF(OR($D1444="",$K1444=""),"",IF(COUNTIFS(Payments!$G$5:$G$2500,$K1444,Payments!$C$5:$C$2500,"&lt;&gt;")=0,"",_xlfn.MAXIFS(Payments!$C$5:$C$2500,Payments!$G$5:$G$2500,$K1444)))</f>
      </c>
      <c r="F1444" s="34">
        <f>IF(OR($D1444="",$K1444=""),"",SUMIF(Payments!$G$5:$G$2500,$K1444,Payments!$D$5:$D$2500))</f>
      </c>
      <c r="G1444" s="36">
        <f>IF($D1444="","",ROUND($D1444-IF($F1444="",0,$F1444),2))</f>
      </c>
      <c r="H1444" s="35">
        <f>IF(OR($D1444="",$K1444=""),"",COUNTIF(Payments!$G$5:$G$2500,$K1444))</f>
      </c>
      <c r="I1444" s="37">
        <f>IF($D1444="","",IF(OR($F1444="",$F1444=0),"Pending",IF(ROUND($F1444-$D1444,2)&gt;0,"Overpaid",IF(ROUND($F1444-$D1444,2)=0,"Paid","Partial"))))</f>
      </c>
      <c r="J1444" s="29"/>
      <c r="K1444">
        <f>IF($A1444="","","#"&amp;TRIM(SUBSTITUTE(SUBSTITUTE(SUBSTITUTE(SUBSTITUTE(SUBSTITUTE(SUBSTITUTE($A1444,"-",""),"(",""),")",""),".",""),"+","")," ","")))</f>
      </c>
    </row>
    <row r="1445" spans="1:11" x14ac:dyDescent="0.3">
      <c r="A1445" s="28"/>
      <c r="B1445" s="29"/>
      <c r="C1445" s="30"/>
      <c r="D1445" s="31"/>
      <c r="E1445" s="33">
        <f>IF(OR($D1445="",$K1445=""),"",IF(COUNTIFS(Payments!$G$5:$G$2500,$K1445,Payments!$C$5:$C$2500,"&lt;&gt;")=0,"",_xlfn.MAXIFS(Payments!$C$5:$C$2500,Payments!$G$5:$G$2500,$K1445)))</f>
      </c>
      <c r="F1445" s="34">
        <f>IF(OR($D1445="",$K1445=""),"",SUMIF(Payments!$G$5:$G$2500,$K1445,Payments!$D$5:$D$2500))</f>
      </c>
      <c r="G1445" s="36">
        <f>IF($D1445="","",ROUND($D1445-IF($F1445="",0,$F1445),2))</f>
      </c>
      <c r="H1445" s="35">
        <f>IF(OR($D1445="",$K1445=""),"",COUNTIF(Payments!$G$5:$G$2500,$K1445))</f>
      </c>
      <c r="I1445" s="37">
        <f>IF($D1445="","",IF(OR($F1445="",$F1445=0),"Pending",IF(ROUND($F1445-$D1445,2)&gt;0,"Overpaid",IF(ROUND($F1445-$D1445,2)=0,"Paid","Partial"))))</f>
      </c>
      <c r="J1445" s="29"/>
      <c r="K1445">
        <f>IF($A1445="","","#"&amp;TRIM(SUBSTITUTE(SUBSTITUTE(SUBSTITUTE(SUBSTITUTE(SUBSTITUTE(SUBSTITUTE($A1445,"-",""),"(",""),")",""),".",""),"+","")," ","")))</f>
      </c>
    </row>
    <row r="1446" spans="1:11" x14ac:dyDescent="0.3">
      <c r="A1446" s="28"/>
      <c r="B1446" s="29"/>
      <c r="C1446" s="30"/>
      <c r="D1446" s="31"/>
      <c r="E1446" s="33">
        <f>IF(OR($D1446="",$K1446=""),"",IF(COUNTIFS(Payments!$G$5:$G$2500,$K1446,Payments!$C$5:$C$2500,"&lt;&gt;")=0,"",_xlfn.MAXIFS(Payments!$C$5:$C$2500,Payments!$G$5:$G$2500,$K1446)))</f>
      </c>
      <c r="F1446" s="34">
        <f>IF(OR($D1446="",$K1446=""),"",SUMIF(Payments!$G$5:$G$2500,$K1446,Payments!$D$5:$D$2500))</f>
      </c>
      <c r="G1446" s="36">
        <f>IF($D1446="","",ROUND($D1446-IF($F1446="",0,$F1446),2))</f>
      </c>
      <c r="H1446" s="35">
        <f>IF(OR($D1446="",$K1446=""),"",COUNTIF(Payments!$G$5:$G$2500,$K1446))</f>
      </c>
      <c r="I1446" s="37">
        <f>IF($D1446="","",IF(OR($F1446="",$F1446=0),"Pending",IF(ROUND($F1446-$D1446,2)&gt;0,"Overpaid",IF(ROUND($F1446-$D1446,2)=0,"Paid","Partial"))))</f>
      </c>
      <c r="J1446" s="29"/>
      <c r="K1446">
        <f>IF($A1446="","","#"&amp;TRIM(SUBSTITUTE(SUBSTITUTE(SUBSTITUTE(SUBSTITUTE(SUBSTITUTE(SUBSTITUTE($A1446,"-",""),"(",""),")",""),".",""),"+","")," ","")))</f>
      </c>
    </row>
    <row r="1447" spans="1:11" x14ac:dyDescent="0.3">
      <c r="A1447" s="28"/>
      <c r="B1447" s="29"/>
      <c r="C1447" s="30"/>
      <c r="D1447" s="31"/>
      <c r="E1447" s="33">
        <f>IF(OR($D1447="",$K1447=""),"",IF(COUNTIFS(Payments!$G$5:$G$2500,$K1447,Payments!$C$5:$C$2500,"&lt;&gt;")=0,"",_xlfn.MAXIFS(Payments!$C$5:$C$2500,Payments!$G$5:$G$2500,$K1447)))</f>
      </c>
      <c r="F1447" s="34">
        <f>IF(OR($D1447="",$K1447=""),"",SUMIF(Payments!$G$5:$G$2500,$K1447,Payments!$D$5:$D$2500))</f>
      </c>
      <c r="G1447" s="36">
        <f>IF($D1447="","",ROUND($D1447-IF($F1447="",0,$F1447),2))</f>
      </c>
      <c r="H1447" s="35">
        <f>IF(OR($D1447="",$K1447=""),"",COUNTIF(Payments!$G$5:$G$2500,$K1447))</f>
      </c>
      <c r="I1447" s="37">
        <f>IF($D1447="","",IF(OR($F1447="",$F1447=0),"Pending",IF(ROUND($F1447-$D1447,2)&gt;0,"Overpaid",IF(ROUND($F1447-$D1447,2)=0,"Paid","Partial"))))</f>
      </c>
      <c r="J1447" s="29"/>
      <c r="K1447">
        <f>IF($A1447="","","#"&amp;TRIM(SUBSTITUTE(SUBSTITUTE(SUBSTITUTE(SUBSTITUTE(SUBSTITUTE(SUBSTITUTE($A1447,"-",""),"(",""),")",""),".",""),"+","")," ","")))</f>
      </c>
    </row>
    <row r="1448" spans="1:11" x14ac:dyDescent="0.3">
      <c r="A1448" s="28"/>
      <c r="B1448" s="29"/>
      <c r="C1448" s="30"/>
      <c r="D1448" s="31"/>
      <c r="E1448" s="33">
        <f>IF(OR($D1448="",$K1448=""),"",IF(COUNTIFS(Payments!$G$5:$G$2500,$K1448,Payments!$C$5:$C$2500,"&lt;&gt;")=0,"",_xlfn.MAXIFS(Payments!$C$5:$C$2500,Payments!$G$5:$G$2500,$K1448)))</f>
      </c>
      <c r="F1448" s="34">
        <f>IF(OR($D1448="",$K1448=""),"",SUMIF(Payments!$G$5:$G$2500,$K1448,Payments!$D$5:$D$2500))</f>
      </c>
      <c r="G1448" s="36">
        <f>IF($D1448="","",ROUND($D1448-IF($F1448="",0,$F1448),2))</f>
      </c>
      <c r="H1448" s="35">
        <f>IF(OR($D1448="",$K1448=""),"",COUNTIF(Payments!$G$5:$G$2500,$K1448))</f>
      </c>
      <c r="I1448" s="37">
        <f>IF($D1448="","",IF(OR($F1448="",$F1448=0),"Pending",IF(ROUND($F1448-$D1448,2)&gt;0,"Overpaid",IF(ROUND($F1448-$D1448,2)=0,"Paid","Partial"))))</f>
      </c>
      <c r="J1448" s="29"/>
      <c r="K1448">
        <f>IF($A1448="","","#"&amp;TRIM(SUBSTITUTE(SUBSTITUTE(SUBSTITUTE(SUBSTITUTE(SUBSTITUTE(SUBSTITUTE($A1448,"-",""),"(",""),")",""),".",""),"+","")," ","")))</f>
      </c>
    </row>
    <row r="1449" spans="1:11" x14ac:dyDescent="0.3">
      <c r="A1449" s="28"/>
      <c r="B1449" s="29"/>
      <c r="C1449" s="30"/>
      <c r="D1449" s="31"/>
      <c r="E1449" s="33">
        <f>IF(OR($D1449="",$K1449=""),"",IF(COUNTIFS(Payments!$G$5:$G$2500,$K1449,Payments!$C$5:$C$2500,"&lt;&gt;")=0,"",_xlfn.MAXIFS(Payments!$C$5:$C$2500,Payments!$G$5:$G$2500,$K1449)))</f>
      </c>
      <c r="F1449" s="34">
        <f>IF(OR($D1449="",$K1449=""),"",SUMIF(Payments!$G$5:$G$2500,$K1449,Payments!$D$5:$D$2500))</f>
      </c>
      <c r="G1449" s="36">
        <f>IF($D1449="","",ROUND($D1449-IF($F1449="",0,$F1449),2))</f>
      </c>
      <c r="H1449" s="35">
        <f>IF(OR($D1449="",$K1449=""),"",COUNTIF(Payments!$G$5:$G$2500,$K1449))</f>
      </c>
      <c r="I1449" s="37">
        <f>IF($D1449="","",IF(OR($F1449="",$F1449=0),"Pending",IF(ROUND($F1449-$D1449,2)&gt;0,"Overpaid",IF(ROUND($F1449-$D1449,2)=0,"Paid","Partial"))))</f>
      </c>
      <c r="J1449" s="29"/>
      <c r="K1449">
        <f>IF($A1449="","","#"&amp;TRIM(SUBSTITUTE(SUBSTITUTE(SUBSTITUTE(SUBSTITUTE(SUBSTITUTE(SUBSTITUTE($A1449,"-",""),"(",""),")",""),".",""),"+","")," ","")))</f>
      </c>
    </row>
    <row r="1450" spans="1:11" x14ac:dyDescent="0.3">
      <c r="A1450" s="28"/>
      <c r="B1450" s="29"/>
      <c r="C1450" s="30"/>
      <c r="D1450" s="31"/>
      <c r="E1450" s="33">
        <f>IF(OR($D1450="",$K1450=""),"",IF(COUNTIFS(Payments!$G$5:$G$2500,$K1450,Payments!$C$5:$C$2500,"&lt;&gt;")=0,"",_xlfn.MAXIFS(Payments!$C$5:$C$2500,Payments!$G$5:$G$2500,$K1450)))</f>
      </c>
      <c r="F1450" s="34">
        <f>IF(OR($D1450="",$K1450=""),"",SUMIF(Payments!$G$5:$G$2500,$K1450,Payments!$D$5:$D$2500))</f>
      </c>
      <c r="G1450" s="36">
        <f>IF($D1450="","",ROUND($D1450-IF($F1450="",0,$F1450),2))</f>
      </c>
      <c r="H1450" s="35">
        <f>IF(OR($D1450="",$K1450=""),"",COUNTIF(Payments!$G$5:$G$2500,$K1450))</f>
      </c>
      <c r="I1450" s="37">
        <f>IF($D1450="","",IF(OR($F1450="",$F1450=0),"Pending",IF(ROUND($F1450-$D1450,2)&gt;0,"Overpaid",IF(ROUND($F1450-$D1450,2)=0,"Paid","Partial"))))</f>
      </c>
      <c r="J1450" s="29"/>
      <c r="K1450">
        <f>IF($A1450="","","#"&amp;TRIM(SUBSTITUTE(SUBSTITUTE(SUBSTITUTE(SUBSTITUTE(SUBSTITUTE(SUBSTITUTE($A1450,"-",""),"(",""),")",""),".",""),"+","")," ","")))</f>
      </c>
    </row>
    <row r="1451" spans="1:11" x14ac:dyDescent="0.3">
      <c r="A1451" s="28"/>
      <c r="B1451" s="29"/>
      <c r="C1451" s="30"/>
      <c r="D1451" s="31"/>
      <c r="E1451" s="33">
        <f>IF(OR($D1451="",$K1451=""),"",IF(COUNTIFS(Payments!$G$5:$G$2500,$K1451,Payments!$C$5:$C$2500,"&lt;&gt;")=0,"",_xlfn.MAXIFS(Payments!$C$5:$C$2500,Payments!$G$5:$G$2500,$K1451)))</f>
      </c>
      <c r="F1451" s="34">
        <f>IF(OR($D1451="",$K1451=""),"",SUMIF(Payments!$G$5:$G$2500,$K1451,Payments!$D$5:$D$2500))</f>
      </c>
      <c r="G1451" s="36">
        <f>IF($D1451="","",ROUND($D1451-IF($F1451="",0,$F1451),2))</f>
      </c>
      <c r="H1451" s="35">
        <f>IF(OR($D1451="",$K1451=""),"",COUNTIF(Payments!$G$5:$G$2500,$K1451))</f>
      </c>
      <c r="I1451" s="37">
        <f>IF($D1451="","",IF(OR($F1451="",$F1451=0),"Pending",IF(ROUND($F1451-$D1451,2)&gt;0,"Overpaid",IF(ROUND($F1451-$D1451,2)=0,"Paid","Partial"))))</f>
      </c>
      <c r="J1451" s="29"/>
      <c r="K1451">
        <f>IF($A1451="","","#"&amp;TRIM(SUBSTITUTE(SUBSTITUTE(SUBSTITUTE(SUBSTITUTE(SUBSTITUTE(SUBSTITUTE($A1451,"-",""),"(",""),")",""),".",""),"+","")," ","")))</f>
      </c>
    </row>
    <row r="1452" spans="1:11" x14ac:dyDescent="0.3">
      <c r="A1452" s="28"/>
      <c r="B1452" s="29"/>
      <c r="C1452" s="30"/>
      <c r="D1452" s="31"/>
      <c r="E1452" s="33">
        <f>IF(OR($D1452="",$K1452=""),"",IF(COUNTIFS(Payments!$G$5:$G$2500,$K1452,Payments!$C$5:$C$2500,"&lt;&gt;")=0,"",_xlfn.MAXIFS(Payments!$C$5:$C$2500,Payments!$G$5:$G$2500,$K1452)))</f>
      </c>
      <c r="F1452" s="34">
        <f>IF(OR($D1452="",$K1452=""),"",SUMIF(Payments!$G$5:$G$2500,$K1452,Payments!$D$5:$D$2500))</f>
      </c>
      <c r="G1452" s="36">
        <f>IF($D1452="","",ROUND($D1452-IF($F1452="",0,$F1452),2))</f>
      </c>
      <c r="H1452" s="35">
        <f>IF(OR($D1452="",$K1452=""),"",COUNTIF(Payments!$G$5:$G$2500,$K1452))</f>
      </c>
      <c r="I1452" s="37">
        <f>IF($D1452="","",IF(OR($F1452="",$F1452=0),"Pending",IF(ROUND($F1452-$D1452,2)&gt;0,"Overpaid",IF(ROUND($F1452-$D1452,2)=0,"Paid","Partial"))))</f>
      </c>
      <c r="J1452" s="29"/>
      <c r="K1452">
        <f>IF($A1452="","","#"&amp;TRIM(SUBSTITUTE(SUBSTITUTE(SUBSTITUTE(SUBSTITUTE(SUBSTITUTE(SUBSTITUTE($A1452,"-",""),"(",""),")",""),".",""),"+","")," ","")))</f>
      </c>
    </row>
    <row r="1453" spans="1:11" x14ac:dyDescent="0.3">
      <c r="A1453" s="28"/>
      <c r="B1453" s="29"/>
      <c r="C1453" s="30"/>
      <c r="D1453" s="31"/>
      <c r="E1453" s="33">
        <f>IF(OR($D1453="",$K1453=""),"",IF(COUNTIFS(Payments!$G$5:$G$2500,$K1453,Payments!$C$5:$C$2500,"&lt;&gt;")=0,"",_xlfn.MAXIFS(Payments!$C$5:$C$2500,Payments!$G$5:$G$2500,$K1453)))</f>
      </c>
      <c r="F1453" s="34">
        <f>IF(OR($D1453="",$K1453=""),"",SUMIF(Payments!$G$5:$G$2500,$K1453,Payments!$D$5:$D$2500))</f>
      </c>
      <c r="G1453" s="36">
        <f>IF($D1453="","",ROUND($D1453-IF($F1453="",0,$F1453),2))</f>
      </c>
      <c r="H1453" s="35">
        <f>IF(OR($D1453="",$K1453=""),"",COUNTIF(Payments!$G$5:$G$2500,$K1453))</f>
      </c>
      <c r="I1453" s="37">
        <f>IF($D1453="","",IF(OR($F1453="",$F1453=0),"Pending",IF(ROUND($F1453-$D1453,2)&gt;0,"Overpaid",IF(ROUND($F1453-$D1453,2)=0,"Paid","Partial"))))</f>
      </c>
      <c r="J1453" s="29"/>
      <c r="K1453">
        <f>IF($A1453="","","#"&amp;TRIM(SUBSTITUTE(SUBSTITUTE(SUBSTITUTE(SUBSTITUTE(SUBSTITUTE(SUBSTITUTE($A1453,"-",""),"(",""),")",""),".",""),"+","")," ","")))</f>
      </c>
    </row>
    <row r="1454" spans="1:11" x14ac:dyDescent="0.3">
      <c r="A1454" s="28"/>
      <c r="B1454" s="29"/>
      <c r="C1454" s="30"/>
      <c r="D1454" s="31"/>
      <c r="E1454" s="33">
        <f>IF(OR($D1454="",$K1454=""),"",IF(COUNTIFS(Payments!$G$5:$G$2500,$K1454,Payments!$C$5:$C$2500,"&lt;&gt;")=0,"",_xlfn.MAXIFS(Payments!$C$5:$C$2500,Payments!$G$5:$G$2500,$K1454)))</f>
      </c>
      <c r="F1454" s="34">
        <f>IF(OR($D1454="",$K1454=""),"",SUMIF(Payments!$G$5:$G$2500,$K1454,Payments!$D$5:$D$2500))</f>
      </c>
      <c r="G1454" s="36">
        <f>IF($D1454="","",ROUND($D1454-IF($F1454="",0,$F1454),2))</f>
      </c>
      <c r="H1454" s="35">
        <f>IF(OR($D1454="",$K1454=""),"",COUNTIF(Payments!$G$5:$G$2500,$K1454))</f>
      </c>
      <c r="I1454" s="37">
        <f>IF($D1454="","",IF(OR($F1454="",$F1454=0),"Pending",IF(ROUND($F1454-$D1454,2)&gt;0,"Overpaid",IF(ROUND($F1454-$D1454,2)=0,"Paid","Partial"))))</f>
      </c>
      <c r="J1454" s="29"/>
      <c r="K1454">
        <f>IF($A1454="","","#"&amp;TRIM(SUBSTITUTE(SUBSTITUTE(SUBSTITUTE(SUBSTITUTE(SUBSTITUTE(SUBSTITUTE($A1454,"-",""),"(",""),")",""),".",""),"+","")," ","")))</f>
      </c>
    </row>
    <row r="1455" spans="1:11" x14ac:dyDescent="0.3">
      <c r="A1455" s="28"/>
      <c r="B1455" s="29"/>
      <c r="C1455" s="30"/>
      <c r="D1455" s="31"/>
      <c r="E1455" s="33">
        <f>IF(OR($D1455="",$K1455=""),"",IF(COUNTIFS(Payments!$G$5:$G$2500,$K1455,Payments!$C$5:$C$2500,"&lt;&gt;")=0,"",_xlfn.MAXIFS(Payments!$C$5:$C$2500,Payments!$G$5:$G$2500,$K1455)))</f>
      </c>
      <c r="F1455" s="34">
        <f>IF(OR($D1455="",$K1455=""),"",SUMIF(Payments!$G$5:$G$2500,$K1455,Payments!$D$5:$D$2500))</f>
      </c>
      <c r="G1455" s="36">
        <f>IF($D1455="","",ROUND($D1455-IF($F1455="",0,$F1455),2))</f>
      </c>
      <c r="H1455" s="35">
        <f>IF(OR($D1455="",$K1455=""),"",COUNTIF(Payments!$G$5:$G$2500,$K1455))</f>
      </c>
      <c r="I1455" s="37">
        <f>IF($D1455="","",IF(OR($F1455="",$F1455=0),"Pending",IF(ROUND($F1455-$D1455,2)&gt;0,"Overpaid",IF(ROUND($F1455-$D1455,2)=0,"Paid","Partial"))))</f>
      </c>
      <c r="J1455" s="29"/>
      <c r="K1455">
        <f>IF($A1455="","","#"&amp;TRIM(SUBSTITUTE(SUBSTITUTE(SUBSTITUTE(SUBSTITUTE(SUBSTITUTE(SUBSTITUTE($A1455,"-",""),"(",""),")",""),".",""),"+","")," ","")))</f>
      </c>
    </row>
    <row r="1456" spans="1:11" x14ac:dyDescent="0.3">
      <c r="A1456" s="28"/>
      <c r="B1456" s="29"/>
      <c r="C1456" s="30"/>
      <c r="D1456" s="31"/>
      <c r="E1456" s="33">
        <f>IF(OR($D1456="",$K1456=""),"",IF(COUNTIFS(Payments!$G$5:$G$2500,$K1456,Payments!$C$5:$C$2500,"&lt;&gt;")=0,"",_xlfn.MAXIFS(Payments!$C$5:$C$2500,Payments!$G$5:$G$2500,$K1456)))</f>
      </c>
      <c r="F1456" s="34">
        <f>IF(OR($D1456="",$K1456=""),"",SUMIF(Payments!$G$5:$G$2500,$K1456,Payments!$D$5:$D$2500))</f>
      </c>
      <c r="G1456" s="36">
        <f>IF($D1456="","",ROUND($D1456-IF($F1456="",0,$F1456),2))</f>
      </c>
      <c r="H1456" s="35">
        <f>IF(OR($D1456="",$K1456=""),"",COUNTIF(Payments!$G$5:$G$2500,$K1456))</f>
      </c>
      <c r="I1456" s="37">
        <f>IF($D1456="","",IF(OR($F1456="",$F1456=0),"Pending",IF(ROUND($F1456-$D1456,2)&gt;0,"Overpaid",IF(ROUND($F1456-$D1456,2)=0,"Paid","Partial"))))</f>
      </c>
      <c r="J1456" s="29"/>
      <c r="K1456">
        <f>IF($A1456="","","#"&amp;TRIM(SUBSTITUTE(SUBSTITUTE(SUBSTITUTE(SUBSTITUTE(SUBSTITUTE(SUBSTITUTE($A1456,"-",""),"(",""),")",""),".",""),"+","")," ","")))</f>
      </c>
    </row>
    <row r="1457" spans="1:11" x14ac:dyDescent="0.3">
      <c r="A1457" s="28"/>
      <c r="B1457" s="29"/>
      <c r="C1457" s="30"/>
      <c r="D1457" s="31"/>
      <c r="E1457" s="33">
        <f>IF(OR($D1457="",$K1457=""),"",IF(COUNTIFS(Payments!$G$5:$G$2500,$K1457,Payments!$C$5:$C$2500,"&lt;&gt;")=0,"",_xlfn.MAXIFS(Payments!$C$5:$C$2500,Payments!$G$5:$G$2500,$K1457)))</f>
      </c>
      <c r="F1457" s="34">
        <f>IF(OR($D1457="",$K1457=""),"",SUMIF(Payments!$G$5:$G$2500,$K1457,Payments!$D$5:$D$2500))</f>
      </c>
      <c r="G1457" s="36">
        <f>IF($D1457="","",ROUND($D1457-IF($F1457="",0,$F1457),2))</f>
      </c>
      <c r="H1457" s="35">
        <f>IF(OR($D1457="",$K1457=""),"",COUNTIF(Payments!$G$5:$G$2500,$K1457))</f>
      </c>
      <c r="I1457" s="37">
        <f>IF($D1457="","",IF(OR($F1457="",$F1457=0),"Pending",IF(ROUND($F1457-$D1457,2)&gt;0,"Overpaid",IF(ROUND($F1457-$D1457,2)=0,"Paid","Partial"))))</f>
      </c>
      <c r="J1457" s="29"/>
      <c r="K1457">
        <f>IF($A1457="","","#"&amp;TRIM(SUBSTITUTE(SUBSTITUTE(SUBSTITUTE(SUBSTITUTE(SUBSTITUTE(SUBSTITUTE($A1457,"-",""),"(",""),")",""),".",""),"+","")," ","")))</f>
      </c>
    </row>
    <row r="1458" spans="1:11" x14ac:dyDescent="0.3">
      <c r="A1458" s="28"/>
      <c r="B1458" s="29"/>
      <c r="C1458" s="30"/>
      <c r="D1458" s="31"/>
      <c r="E1458" s="33">
        <f>IF(OR($D1458="",$K1458=""),"",IF(COUNTIFS(Payments!$G$5:$G$2500,$K1458,Payments!$C$5:$C$2500,"&lt;&gt;")=0,"",_xlfn.MAXIFS(Payments!$C$5:$C$2500,Payments!$G$5:$G$2500,$K1458)))</f>
      </c>
      <c r="F1458" s="34">
        <f>IF(OR($D1458="",$K1458=""),"",SUMIF(Payments!$G$5:$G$2500,$K1458,Payments!$D$5:$D$2500))</f>
      </c>
      <c r="G1458" s="36">
        <f>IF($D1458="","",ROUND($D1458-IF($F1458="",0,$F1458),2))</f>
      </c>
      <c r="H1458" s="35">
        <f>IF(OR($D1458="",$K1458=""),"",COUNTIF(Payments!$G$5:$G$2500,$K1458))</f>
      </c>
      <c r="I1458" s="37">
        <f>IF($D1458="","",IF(OR($F1458="",$F1458=0),"Pending",IF(ROUND($F1458-$D1458,2)&gt;0,"Overpaid",IF(ROUND($F1458-$D1458,2)=0,"Paid","Partial"))))</f>
      </c>
      <c r="J1458" s="29"/>
      <c r="K1458">
        <f>IF($A1458="","","#"&amp;TRIM(SUBSTITUTE(SUBSTITUTE(SUBSTITUTE(SUBSTITUTE(SUBSTITUTE(SUBSTITUTE($A1458,"-",""),"(",""),")",""),".",""),"+","")," ","")))</f>
      </c>
    </row>
    <row r="1459" spans="1:11" x14ac:dyDescent="0.3">
      <c r="A1459" s="28"/>
      <c r="B1459" s="29"/>
      <c r="C1459" s="30"/>
      <c r="D1459" s="31"/>
      <c r="E1459" s="33">
        <f>IF(OR($D1459="",$K1459=""),"",IF(COUNTIFS(Payments!$G$5:$G$2500,$K1459,Payments!$C$5:$C$2500,"&lt;&gt;")=0,"",_xlfn.MAXIFS(Payments!$C$5:$C$2500,Payments!$G$5:$G$2500,$K1459)))</f>
      </c>
      <c r="F1459" s="34">
        <f>IF(OR($D1459="",$K1459=""),"",SUMIF(Payments!$G$5:$G$2500,$K1459,Payments!$D$5:$D$2500))</f>
      </c>
      <c r="G1459" s="36">
        <f>IF($D1459="","",ROUND($D1459-IF($F1459="",0,$F1459),2))</f>
      </c>
      <c r="H1459" s="35">
        <f>IF(OR($D1459="",$K1459=""),"",COUNTIF(Payments!$G$5:$G$2500,$K1459))</f>
      </c>
      <c r="I1459" s="37">
        <f>IF($D1459="","",IF(OR($F1459="",$F1459=0),"Pending",IF(ROUND($F1459-$D1459,2)&gt;0,"Overpaid",IF(ROUND($F1459-$D1459,2)=0,"Paid","Partial"))))</f>
      </c>
      <c r="J1459" s="29"/>
      <c r="K1459">
        <f>IF($A1459="","","#"&amp;TRIM(SUBSTITUTE(SUBSTITUTE(SUBSTITUTE(SUBSTITUTE(SUBSTITUTE(SUBSTITUTE($A1459,"-",""),"(",""),")",""),".",""),"+","")," ","")))</f>
      </c>
    </row>
    <row r="1460" spans="1:11" x14ac:dyDescent="0.3">
      <c r="A1460" s="28"/>
      <c r="B1460" s="29"/>
      <c r="C1460" s="30"/>
      <c r="D1460" s="31"/>
      <c r="E1460" s="33">
        <f>IF(OR($D1460="",$K1460=""),"",IF(COUNTIFS(Payments!$G$5:$G$2500,$K1460,Payments!$C$5:$C$2500,"&lt;&gt;")=0,"",_xlfn.MAXIFS(Payments!$C$5:$C$2500,Payments!$G$5:$G$2500,$K1460)))</f>
      </c>
      <c r="F1460" s="34">
        <f>IF(OR($D1460="",$K1460=""),"",SUMIF(Payments!$G$5:$G$2500,$K1460,Payments!$D$5:$D$2500))</f>
      </c>
      <c r="G1460" s="36">
        <f>IF($D1460="","",ROUND($D1460-IF($F1460="",0,$F1460),2))</f>
      </c>
      <c r="H1460" s="35">
        <f>IF(OR($D1460="",$K1460=""),"",COUNTIF(Payments!$G$5:$G$2500,$K1460))</f>
      </c>
      <c r="I1460" s="37">
        <f>IF($D1460="","",IF(OR($F1460="",$F1460=0),"Pending",IF(ROUND($F1460-$D1460,2)&gt;0,"Overpaid",IF(ROUND($F1460-$D1460,2)=0,"Paid","Partial"))))</f>
      </c>
      <c r="J1460" s="29"/>
      <c r="K1460">
        <f>IF($A1460="","","#"&amp;TRIM(SUBSTITUTE(SUBSTITUTE(SUBSTITUTE(SUBSTITUTE(SUBSTITUTE(SUBSTITUTE($A1460,"-",""),"(",""),")",""),".",""),"+","")," ","")))</f>
      </c>
    </row>
    <row r="1461" spans="1:11" x14ac:dyDescent="0.3">
      <c r="A1461" s="28"/>
      <c r="B1461" s="29"/>
      <c r="C1461" s="30"/>
      <c r="D1461" s="31"/>
      <c r="E1461" s="33">
        <f>IF(OR($D1461="",$K1461=""),"",IF(COUNTIFS(Payments!$G$5:$G$2500,$K1461,Payments!$C$5:$C$2500,"&lt;&gt;")=0,"",_xlfn.MAXIFS(Payments!$C$5:$C$2500,Payments!$G$5:$G$2500,$K1461)))</f>
      </c>
      <c r="F1461" s="34">
        <f>IF(OR($D1461="",$K1461=""),"",SUMIF(Payments!$G$5:$G$2500,$K1461,Payments!$D$5:$D$2500))</f>
      </c>
      <c r="G1461" s="36">
        <f>IF($D1461="","",ROUND($D1461-IF($F1461="",0,$F1461),2))</f>
      </c>
      <c r="H1461" s="35">
        <f>IF(OR($D1461="",$K1461=""),"",COUNTIF(Payments!$G$5:$G$2500,$K1461))</f>
      </c>
      <c r="I1461" s="37">
        <f>IF($D1461="","",IF(OR($F1461="",$F1461=0),"Pending",IF(ROUND($F1461-$D1461,2)&gt;0,"Overpaid",IF(ROUND($F1461-$D1461,2)=0,"Paid","Partial"))))</f>
      </c>
      <c r="J1461" s="29"/>
      <c r="K1461">
        <f>IF($A1461="","","#"&amp;TRIM(SUBSTITUTE(SUBSTITUTE(SUBSTITUTE(SUBSTITUTE(SUBSTITUTE(SUBSTITUTE($A1461,"-",""),"(",""),")",""),".",""),"+","")," ","")))</f>
      </c>
    </row>
    <row r="1462" spans="1:11" x14ac:dyDescent="0.3">
      <c r="A1462" s="28"/>
      <c r="B1462" s="29"/>
      <c r="C1462" s="30"/>
      <c r="D1462" s="31"/>
      <c r="E1462" s="33">
        <f>IF(OR($D1462="",$K1462=""),"",IF(COUNTIFS(Payments!$G$5:$G$2500,$K1462,Payments!$C$5:$C$2500,"&lt;&gt;")=0,"",_xlfn.MAXIFS(Payments!$C$5:$C$2500,Payments!$G$5:$G$2500,$K1462)))</f>
      </c>
      <c r="F1462" s="34">
        <f>IF(OR($D1462="",$K1462=""),"",SUMIF(Payments!$G$5:$G$2500,$K1462,Payments!$D$5:$D$2500))</f>
      </c>
      <c r="G1462" s="36">
        <f>IF($D1462="","",ROUND($D1462-IF($F1462="",0,$F1462),2))</f>
      </c>
      <c r="H1462" s="35">
        <f>IF(OR($D1462="",$K1462=""),"",COUNTIF(Payments!$G$5:$G$2500,$K1462))</f>
      </c>
      <c r="I1462" s="37">
        <f>IF($D1462="","",IF(OR($F1462="",$F1462=0),"Pending",IF(ROUND($F1462-$D1462,2)&gt;0,"Overpaid",IF(ROUND($F1462-$D1462,2)=0,"Paid","Partial"))))</f>
      </c>
      <c r="J1462" s="29"/>
      <c r="K1462">
        <f>IF($A1462="","","#"&amp;TRIM(SUBSTITUTE(SUBSTITUTE(SUBSTITUTE(SUBSTITUTE(SUBSTITUTE(SUBSTITUTE($A1462,"-",""),"(",""),")",""),".",""),"+","")," ","")))</f>
      </c>
    </row>
    <row r="1463" spans="1:11" x14ac:dyDescent="0.3">
      <c r="A1463" s="28"/>
      <c r="B1463" s="29"/>
      <c r="C1463" s="30"/>
      <c r="D1463" s="31"/>
      <c r="E1463" s="33">
        <f>IF(OR($D1463="",$K1463=""),"",IF(COUNTIFS(Payments!$G$5:$G$2500,$K1463,Payments!$C$5:$C$2500,"&lt;&gt;")=0,"",_xlfn.MAXIFS(Payments!$C$5:$C$2500,Payments!$G$5:$G$2500,$K1463)))</f>
      </c>
      <c r="F1463" s="34">
        <f>IF(OR($D1463="",$K1463=""),"",SUMIF(Payments!$G$5:$G$2500,$K1463,Payments!$D$5:$D$2500))</f>
      </c>
      <c r="G1463" s="36">
        <f>IF($D1463="","",ROUND($D1463-IF($F1463="",0,$F1463),2))</f>
      </c>
      <c r="H1463" s="35">
        <f>IF(OR($D1463="",$K1463=""),"",COUNTIF(Payments!$G$5:$G$2500,$K1463))</f>
      </c>
      <c r="I1463" s="37">
        <f>IF($D1463="","",IF(OR($F1463="",$F1463=0),"Pending",IF(ROUND($F1463-$D1463,2)&gt;0,"Overpaid",IF(ROUND($F1463-$D1463,2)=0,"Paid","Partial"))))</f>
      </c>
      <c r="J1463" s="29"/>
      <c r="K1463">
        <f>IF($A1463="","","#"&amp;TRIM(SUBSTITUTE(SUBSTITUTE(SUBSTITUTE(SUBSTITUTE(SUBSTITUTE(SUBSTITUTE($A1463,"-",""),"(",""),")",""),".",""),"+","")," ","")))</f>
      </c>
    </row>
    <row r="1464" spans="1:11" x14ac:dyDescent="0.3">
      <c r="A1464" s="28"/>
      <c r="B1464" s="29"/>
      <c r="C1464" s="30"/>
      <c r="D1464" s="31"/>
      <c r="E1464" s="33">
        <f>IF(OR($D1464="",$K1464=""),"",IF(COUNTIFS(Payments!$G$5:$G$2500,$K1464,Payments!$C$5:$C$2500,"&lt;&gt;")=0,"",_xlfn.MAXIFS(Payments!$C$5:$C$2500,Payments!$G$5:$G$2500,$K1464)))</f>
      </c>
      <c r="F1464" s="34">
        <f>IF(OR($D1464="",$K1464=""),"",SUMIF(Payments!$G$5:$G$2500,$K1464,Payments!$D$5:$D$2500))</f>
      </c>
      <c r="G1464" s="36">
        <f>IF($D1464="","",ROUND($D1464-IF($F1464="",0,$F1464),2))</f>
      </c>
      <c r="H1464" s="35">
        <f>IF(OR($D1464="",$K1464=""),"",COUNTIF(Payments!$G$5:$G$2500,$K1464))</f>
      </c>
      <c r="I1464" s="37">
        <f>IF($D1464="","",IF(OR($F1464="",$F1464=0),"Pending",IF(ROUND($F1464-$D1464,2)&gt;0,"Overpaid",IF(ROUND($F1464-$D1464,2)=0,"Paid","Partial"))))</f>
      </c>
      <c r="J1464" s="29"/>
      <c r="K1464">
        <f>IF($A1464="","","#"&amp;TRIM(SUBSTITUTE(SUBSTITUTE(SUBSTITUTE(SUBSTITUTE(SUBSTITUTE(SUBSTITUTE($A1464,"-",""),"(",""),")",""),".",""),"+","")," ","")))</f>
      </c>
    </row>
    <row r="1465" spans="1:11" x14ac:dyDescent="0.3">
      <c r="A1465" s="28"/>
      <c r="B1465" s="29"/>
      <c r="C1465" s="30"/>
      <c r="D1465" s="31"/>
      <c r="E1465" s="33">
        <f>IF(OR($D1465="",$K1465=""),"",IF(COUNTIFS(Payments!$G$5:$G$2500,$K1465,Payments!$C$5:$C$2500,"&lt;&gt;")=0,"",_xlfn.MAXIFS(Payments!$C$5:$C$2500,Payments!$G$5:$G$2500,$K1465)))</f>
      </c>
      <c r="F1465" s="34">
        <f>IF(OR($D1465="",$K1465=""),"",SUMIF(Payments!$G$5:$G$2500,$K1465,Payments!$D$5:$D$2500))</f>
      </c>
      <c r="G1465" s="36">
        <f>IF($D1465="","",ROUND($D1465-IF($F1465="",0,$F1465),2))</f>
      </c>
      <c r="H1465" s="35">
        <f>IF(OR($D1465="",$K1465=""),"",COUNTIF(Payments!$G$5:$G$2500,$K1465))</f>
      </c>
      <c r="I1465" s="37">
        <f>IF($D1465="","",IF(OR($F1465="",$F1465=0),"Pending",IF(ROUND($F1465-$D1465,2)&gt;0,"Overpaid",IF(ROUND($F1465-$D1465,2)=0,"Paid","Partial"))))</f>
      </c>
      <c r="J1465" s="29"/>
      <c r="K1465">
        <f>IF($A1465="","","#"&amp;TRIM(SUBSTITUTE(SUBSTITUTE(SUBSTITUTE(SUBSTITUTE(SUBSTITUTE(SUBSTITUTE($A1465,"-",""),"(",""),")",""),".",""),"+","")," ","")))</f>
      </c>
    </row>
    <row r="1466" spans="1:11" x14ac:dyDescent="0.3">
      <c r="A1466" s="28"/>
      <c r="B1466" s="29"/>
      <c r="C1466" s="30"/>
      <c r="D1466" s="31"/>
      <c r="E1466" s="33">
        <f>IF(OR($D1466="",$K1466=""),"",IF(COUNTIFS(Payments!$G$5:$G$2500,$K1466,Payments!$C$5:$C$2500,"&lt;&gt;")=0,"",_xlfn.MAXIFS(Payments!$C$5:$C$2500,Payments!$G$5:$G$2500,$K1466)))</f>
      </c>
      <c r="F1466" s="34">
        <f>IF(OR($D1466="",$K1466=""),"",SUMIF(Payments!$G$5:$G$2500,$K1466,Payments!$D$5:$D$2500))</f>
      </c>
      <c r="G1466" s="36">
        <f>IF($D1466="","",ROUND($D1466-IF($F1466="",0,$F1466),2))</f>
      </c>
      <c r="H1466" s="35">
        <f>IF(OR($D1466="",$K1466=""),"",COUNTIF(Payments!$G$5:$G$2500,$K1466))</f>
      </c>
      <c r="I1466" s="37">
        <f>IF($D1466="","",IF(OR($F1466="",$F1466=0),"Pending",IF(ROUND($F1466-$D1466,2)&gt;0,"Overpaid",IF(ROUND($F1466-$D1466,2)=0,"Paid","Partial"))))</f>
      </c>
      <c r="J1466" s="29"/>
      <c r="K1466">
        <f>IF($A1466="","","#"&amp;TRIM(SUBSTITUTE(SUBSTITUTE(SUBSTITUTE(SUBSTITUTE(SUBSTITUTE(SUBSTITUTE($A1466,"-",""),"(",""),")",""),".",""),"+","")," ","")))</f>
      </c>
    </row>
    <row r="1467" spans="1:11" x14ac:dyDescent="0.3">
      <c r="A1467" s="28"/>
      <c r="B1467" s="29"/>
      <c r="C1467" s="30"/>
      <c r="D1467" s="31"/>
      <c r="E1467" s="33">
        <f>IF(OR($D1467="",$K1467=""),"",IF(COUNTIFS(Payments!$G$5:$G$2500,$K1467,Payments!$C$5:$C$2500,"&lt;&gt;")=0,"",_xlfn.MAXIFS(Payments!$C$5:$C$2500,Payments!$G$5:$G$2500,$K1467)))</f>
      </c>
      <c r="F1467" s="34">
        <f>IF(OR($D1467="",$K1467=""),"",SUMIF(Payments!$G$5:$G$2500,$K1467,Payments!$D$5:$D$2500))</f>
      </c>
      <c r="G1467" s="36">
        <f>IF($D1467="","",ROUND($D1467-IF($F1467="",0,$F1467),2))</f>
      </c>
      <c r="H1467" s="35">
        <f>IF(OR($D1467="",$K1467=""),"",COUNTIF(Payments!$G$5:$G$2500,$K1467))</f>
      </c>
      <c r="I1467" s="37">
        <f>IF($D1467="","",IF(OR($F1467="",$F1467=0),"Pending",IF(ROUND($F1467-$D1467,2)&gt;0,"Overpaid",IF(ROUND($F1467-$D1467,2)=0,"Paid","Partial"))))</f>
      </c>
      <c r="J1467" s="29"/>
      <c r="K1467">
        <f>IF($A1467="","","#"&amp;TRIM(SUBSTITUTE(SUBSTITUTE(SUBSTITUTE(SUBSTITUTE(SUBSTITUTE(SUBSTITUTE($A1467,"-",""),"(",""),")",""),".",""),"+","")," ","")))</f>
      </c>
    </row>
    <row r="1468" spans="1:11" x14ac:dyDescent="0.3">
      <c r="A1468" s="28"/>
      <c r="B1468" s="29"/>
      <c r="C1468" s="30"/>
      <c r="D1468" s="31"/>
      <c r="E1468" s="33">
        <f>IF(OR($D1468="",$K1468=""),"",IF(COUNTIFS(Payments!$G$5:$G$2500,$K1468,Payments!$C$5:$C$2500,"&lt;&gt;")=0,"",_xlfn.MAXIFS(Payments!$C$5:$C$2500,Payments!$G$5:$G$2500,$K1468)))</f>
      </c>
      <c r="F1468" s="34">
        <f>IF(OR($D1468="",$K1468=""),"",SUMIF(Payments!$G$5:$G$2500,$K1468,Payments!$D$5:$D$2500))</f>
      </c>
      <c r="G1468" s="36">
        <f>IF($D1468="","",ROUND($D1468-IF($F1468="",0,$F1468),2))</f>
      </c>
      <c r="H1468" s="35">
        <f>IF(OR($D1468="",$K1468=""),"",COUNTIF(Payments!$G$5:$G$2500,$K1468))</f>
      </c>
      <c r="I1468" s="37">
        <f>IF($D1468="","",IF(OR($F1468="",$F1468=0),"Pending",IF(ROUND($F1468-$D1468,2)&gt;0,"Overpaid",IF(ROUND($F1468-$D1468,2)=0,"Paid","Partial"))))</f>
      </c>
      <c r="J1468" s="29"/>
      <c r="K1468">
        <f>IF($A1468="","","#"&amp;TRIM(SUBSTITUTE(SUBSTITUTE(SUBSTITUTE(SUBSTITUTE(SUBSTITUTE(SUBSTITUTE($A1468,"-",""),"(",""),")",""),".",""),"+","")," ","")))</f>
      </c>
    </row>
    <row r="1469" spans="1:11" x14ac:dyDescent="0.3">
      <c r="A1469" s="28"/>
      <c r="B1469" s="29"/>
      <c r="C1469" s="30"/>
      <c r="D1469" s="31"/>
      <c r="E1469" s="33">
        <f>IF(OR($D1469="",$K1469=""),"",IF(COUNTIFS(Payments!$G$5:$G$2500,$K1469,Payments!$C$5:$C$2500,"&lt;&gt;")=0,"",_xlfn.MAXIFS(Payments!$C$5:$C$2500,Payments!$G$5:$G$2500,$K1469)))</f>
      </c>
      <c r="F1469" s="34">
        <f>IF(OR($D1469="",$K1469=""),"",SUMIF(Payments!$G$5:$G$2500,$K1469,Payments!$D$5:$D$2500))</f>
      </c>
      <c r="G1469" s="36">
        <f>IF($D1469="","",ROUND($D1469-IF($F1469="",0,$F1469),2))</f>
      </c>
      <c r="H1469" s="35">
        <f>IF(OR($D1469="",$K1469=""),"",COUNTIF(Payments!$G$5:$G$2500,$K1469))</f>
      </c>
      <c r="I1469" s="37">
        <f>IF($D1469="","",IF(OR($F1469="",$F1469=0),"Pending",IF(ROUND($F1469-$D1469,2)&gt;0,"Overpaid",IF(ROUND($F1469-$D1469,2)=0,"Paid","Partial"))))</f>
      </c>
      <c r="J1469" s="29"/>
      <c r="K1469">
        <f>IF($A1469="","","#"&amp;TRIM(SUBSTITUTE(SUBSTITUTE(SUBSTITUTE(SUBSTITUTE(SUBSTITUTE(SUBSTITUTE($A1469,"-",""),"(",""),")",""),".",""),"+","")," ","")))</f>
      </c>
    </row>
    <row r="1470" spans="1:11" x14ac:dyDescent="0.3">
      <c r="A1470" s="28"/>
      <c r="B1470" s="29"/>
      <c r="C1470" s="30"/>
      <c r="D1470" s="31"/>
      <c r="E1470" s="33">
        <f>IF(OR($D1470="",$K1470=""),"",IF(COUNTIFS(Payments!$G$5:$G$2500,$K1470,Payments!$C$5:$C$2500,"&lt;&gt;")=0,"",_xlfn.MAXIFS(Payments!$C$5:$C$2500,Payments!$G$5:$G$2500,$K1470)))</f>
      </c>
      <c r="F1470" s="34">
        <f>IF(OR($D1470="",$K1470=""),"",SUMIF(Payments!$G$5:$G$2500,$K1470,Payments!$D$5:$D$2500))</f>
      </c>
      <c r="G1470" s="36">
        <f>IF($D1470="","",ROUND($D1470-IF($F1470="",0,$F1470),2))</f>
      </c>
      <c r="H1470" s="35">
        <f>IF(OR($D1470="",$K1470=""),"",COUNTIF(Payments!$G$5:$G$2500,$K1470))</f>
      </c>
      <c r="I1470" s="37">
        <f>IF($D1470="","",IF(OR($F1470="",$F1470=0),"Pending",IF(ROUND($F1470-$D1470,2)&gt;0,"Overpaid",IF(ROUND($F1470-$D1470,2)=0,"Paid","Partial"))))</f>
      </c>
      <c r="J1470" s="29"/>
      <c r="K1470">
        <f>IF($A1470="","","#"&amp;TRIM(SUBSTITUTE(SUBSTITUTE(SUBSTITUTE(SUBSTITUTE(SUBSTITUTE(SUBSTITUTE($A1470,"-",""),"(",""),")",""),".",""),"+","")," ","")))</f>
      </c>
    </row>
    <row r="1471" spans="1:11" x14ac:dyDescent="0.3">
      <c r="A1471" s="28"/>
      <c r="B1471" s="29"/>
      <c r="C1471" s="30"/>
      <c r="D1471" s="31"/>
      <c r="E1471" s="33">
        <f>IF(OR($D1471="",$K1471=""),"",IF(COUNTIFS(Payments!$G$5:$G$2500,$K1471,Payments!$C$5:$C$2500,"&lt;&gt;")=0,"",_xlfn.MAXIFS(Payments!$C$5:$C$2500,Payments!$G$5:$G$2500,$K1471)))</f>
      </c>
      <c r="F1471" s="34">
        <f>IF(OR($D1471="",$K1471=""),"",SUMIF(Payments!$G$5:$G$2500,$K1471,Payments!$D$5:$D$2500))</f>
      </c>
      <c r="G1471" s="36">
        <f>IF($D1471="","",ROUND($D1471-IF($F1471="",0,$F1471),2))</f>
      </c>
      <c r="H1471" s="35">
        <f>IF(OR($D1471="",$K1471=""),"",COUNTIF(Payments!$G$5:$G$2500,$K1471))</f>
      </c>
      <c r="I1471" s="37">
        <f>IF($D1471="","",IF(OR($F1471="",$F1471=0),"Pending",IF(ROUND($F1471-$D1471,2)&gt;0,"Overpaid",IF(ROUND($F1471-$D1471,2)=0,"Paid","Partial"))))</f>
      </c>
      <c r="J1471" s="29"/>
      <c r="K1471">
        <f>IF($A1471="","","#"&amp;TRIM(SUBSTITUTE(SUBSTITUTE(SUBSTITUTE(SUBSTITUTE(SUBSTITUTE(SUBSTITUTE($A1471,"-",""),"(",""),")",""),".",""),"+","")," ","")))</f>
      </c>
    </row>
    <row r="1472" spans="1:11" x14ac:dyDescent="0.3">
      <c r="A1472" s="28"/>
      <c r="B1472" s="29"/>
      <c r="C1472" s="30"/>
      <c r="D1472" s="31"/>
      <c r="E1472" s="33">
        <f>IF(OR($D1472="",$K1472=""),"",IF(COUNTIFS(Payments!$G$5:$G$2500,$K1472,Payments!$C$5:$C$2500,"&lt;&gt;")=0,"",_xlfn.MAXIFS(Payments!$C$5:$C$2500,Payments!$G$5:$G$2500,$K1472)))</f>
      </c>
      <c r="F1472" s="34">
        <f>IF(OR($D1472="",$K1472=""),"",SUMIF(Payments!$G$5:$G$2500,$K1472,Payments!$D$5:$D$2500))</f>
      </c>
      <c r="G1472" s="36">
        <f>IF($D1472="","",ROUND($D1472-IF($F1472="",0,$F1472),2))</f>
      </c>
      <c r="H1472" s="35">
        <f>IF(OR($D1472="",$K1472=""),"",COUNTIF(Payments!$G$5:$G$2500,$K1472))</f>
      </c>
      <c r="I1472" s="37">
        <f>IF($D1472="","",IF(OR($F1472="",$F1472=0),"Pending",IF(ROUND($F1472-$D1472,2)&gt;0,"Overpaid",IF(ROUND($F1472-$D1472,2)=0,"Paid","Partial"))))</f>
      </c>
      <c r="J1472" s="29"/>
      <c r="K1472">
        <f>IF($A1472="","","#"&amp;TRIM(SUBSTITUTE(SUBSTITUTE(SUBSTITUTE(SUBSTITUTE(SUBSTITUTE(SUBSTITUTE($A1472,"-",""),"(",""),")",""),".",""),"+","")," ","")))</f>
      </c>
    </row>
    <row r="1473" spans="1:11" x14ac:dyDescent="0.3">
      <c r="A1473" s="28"/>
      <c r="B1473" s="29"/>
      <c r="C1473" s="30"/>
      <c r="D1473" s="31"/>
      <c r="E1473" s="33">
        <f>IF(OR($D1473="",$K1473=""),"",IF(COUNTIFS(Payments!$G$5:$G$2500,$K1473,Payments!$C$5:$C$2500,"&lt;&gt;")=0,"",_xlfn.MAXIFS(Payments!$C$5:$C$2500,Payments!$G$5:$G$2500,$K1473)))</f>
      </c>
      <c r="F1473" s="34">
        <f>IF(OR($D1473="",$K1473=""),"",SUMIF(Payments!$G$5:$G$2500,$K1473,Payments!$D$5:$D$2500))</f>
      </c>
      <c r="G1473" s="36">
        <f>IF($D1473="","",ROUND($D1473-IF($F1473="",0,$F1473),2))</f>
      </c>
      <c r="H1473" s="35">
        <f>IF(OR($D1473="",$K1473=""),"",COUNTIF(Payments!$G$5:$G$2500,$K1473))</f>
      </c>
      <c r="I1473" s="37">
        <f>IF($D1473="","",IF(OR($F1473="",$F1473=0),"Pending",IF(ROUND($F1473-$D1473,2)&gt;0,"Overpaid",IF(ROUND($F1473-$D1473,2)=0,"Paid","Partial"))))</f>
      </c>
      <c r="J1473" s="29"/>
      <c r="K1473">
        <f>IF($A1473="","","#"&amp;TRIM(SUBSTITUTE(SUBSTITUTE(SUBSTITUTE(SUBSTITUTE(SUBSTITUTE(SUBSTITUTE($A1473,"-",""),"(",""),")",""),".",""),"+","")," ","")))</f>
      </c>
    </row>
    <row r="1474" spans="1:11" x14ac:dyDescent="0.3">
      <c r="A1474" s="28"/>
      <c r="B1474" s="29"/>
      <c r="C1474" s="30"/>
      <c r="D1474" s="31"/>
      <c r="E1474" s="33">
        <f>IF(OR($D1474="",$K1474=""),"",IF(COUNTIFS(Payments!$G$5:$G$2500,$K1474,Payments!$C$5:$C$2500,"&lt;&gt;")=0,"",_xlfn.MAXIFS(Payments!$C$5:$C$2500,Payments!$G$5:$G$2500,$K1474)))</f>
      </c>
      <c r="F1474" s="34">
        <f>IF(OR($D1474="",$K1474=""),"",SUMIF(Payments!$G$5:$G$2500,$K1474,Payments!$D$5:$D$2500))</f>
      </c>
      <c r="G1474" s="36">
        <f>IF($D1474="","",ROUND($D1474-IF($F1474="",0,$F1474),2))</f>
      </c>
      <c r="H1474" s="35">
        <f>IF(OR($D1474="",$K1474=""),"",COUNTIF(Payments!$G$5:$G$2500,$K1474))</f>
      </c>
      <c r="I1474" s="37">
        <f>IF($D1474="","",IF(OR($F1474="",$F1474=0),"Pending",IF(ROUND($F1474-$D1474,2)&gt;0,"Overpaid",IF(ROUND($F1474-$D1474,2)=0,"Paid","Partial"))))</f>
      </c>
      <c r="J1474" s="29"/>
      <c r="K1474">
        <f>IF($A1474="","","#"&amp;TRIM(SUBSTITUTE(SUBSTITUTE(SUBSTITUTE(SUBSTITUTE(SUBSTITUTE(SUBSTITUTE($A1474,"-",""),"(",""),")",""),".",""),"+","")," ","")))</f>
      </c>
    </row>
    <row r="1475" spans="1:11" x14ac:dyDescent="0.3">
      <c r="A1475" s="28"/>
      <c r="B1475" s="29"/>
      <c r="C1475" s="30"/>
      <c r="D1475" s="31"/>
      <c r="E1475" s="33">
        <f>IF(OR($D1475="",$K1475=""),"",IF(COUNTIFS(Payments!$G$5:$G$2500,$K1475,Payments!$C$5:$C$2500,"&lt;&gt;")=0,"",_xlfn.MAXIFS(Payments!$C$5:$C$2500,Payments!$G$5:$G$2500,$K1475)))</f>
      </c>
      <c r="F1475" s="34">
        <f>IF(OR($D1475="",$K1475=""),"",SUMIF(Payments!$G$5:$G$2500,$K1475,Payments!$D$5:$D$2500))</f>
      </c>
      <c r="G1475" s="36">
        <f>IF($D1475="","",ROUND($D1475-IF($F1475="",0,$F1475),2))</f>
      </c>
      <c r="H1475" s="35">
        <f>IF(OR($D1475="",$K1475=""),"",COUNTIF(Payments!$G$5:$G$2500,$K1475))</f>
      </c>
      <c r="I1475" s="37">
        <f>IF($D1475="","",IF(OR($F1475="",$F1475=0),"Pending",IF(ROUND($F1475-$D1475,2)&gt;0,"Overpaid",IF(ROUND($F1475-$D1475,2)=0,"Paid","Partial"))))</f>
      </c>
      <c r="J1475" s="29"/>
      <c r="K1475">
        <f>IF($A1475="","","#"&amp;TRIM(SUBSTITUTE(SUBSTITUTE(SUBSTITUTE(SUBSTITUTE(SUBSTITUTE(SUBSTITUTE($A1475,"-",""),"(",""),")",""),".",""),"+","")," ","")))</f>
      </c>
    </row>
    <row r="1476" spans="1:11" x14ac:dyDescent="0.3">
      <c r="A1476" s="28"/>
      <c r="B1476" s="29"/>
      <c r="C1476" s="30"/>
      <c r="D1476" s="31"/>
      <c r="E1476" s="33">
        <f>IF(OR($D1476="",$K1476=""),"",IF(COUNTIFS(Payments!$G$5:$G$2500,$K1476,Payments!$C$5:$C$2500,"&lt;&gt;")=0,"",_xlfn.MAXIFS(Payments!$C$5:$C$2500,Payments!$G$5:$G$2500,$K1476)))</f>
      </c>
      <c r="F1476" s="34">
        <f>IF(OR($D1476="",$K1476=""),"",SUMIF(Payments!$G$5:$G$2500,$K1476,Payments!$D$5:$D$2500))</f>
      </c>
      <c r="G1476" s="36">
        <f>IF($D1476="","",ROUND($D1476-IF($F1476="",0,$F1476),2))</f>
      </c>
      <c r="H1476" s="35">
        <f>IF(OR($D1476="",$K1476=""),"",COUNTIF(Payments!$G$5:$G$2500,$K1476))</f>
      </c>
      <c r="I1476" s="37">
        <f>IF($D1476="","",IF(OR($F1476="",$F1476=0),"Pending",IF(ROUND($F1476-$D1476,2)&gt;0,"Overpaid",IF(ROUND($F1476-$D1476,2)=0,"Paid","Partial"))))</f>
      </c>
      <c r="J1476" s="29"/>
      <c r="K1476">
        <f>IF($A1476="","","#"&amp;TRIM(SUBSTITUTE(SUBSTITUTE(SUBSTITUTE(SUBSTITUTE(SUBSTITUTE(SUBSTITUTE($A1476,"-",""),"(",""),")",""),".",""),"+","")," ","")))</f>
      </c>
    </row>
    <row r="1477" spans="1:11" x14ac:dyDescent="0.3">
      <c r="A1477" s="28"/>
      <c r="B1477" s="29"/>
      <c r="C1477" s="30"/>
      <c r="D1477" s="31"/>
      <c r="E1477" s="33">
        <f>IF(OR($D1477="",$K1477=""),"",IF(COUNTIFS(Payments!$G$5:$G$2500,$K1477,Payments!$C$5:$C$2500,"&lt;&gt;")=0,"",_xlfn.MAXIFS(Payments!$C$5:$C$2500,Payments!$G$5:$G$2500,$K1477)))</f>
      </c>
      <c r="F1477" s="34">
        <f>IF(OR($D1477="",$K1477=""),"",SUMIF(Payments!$G$5:$G$2500,$K1477,Payments!$D$5:$D$2500))</f>
      </c>
      <c r="G1477" s="36">
        <f>IF($D1477="","",ROUND($D1477-IF($F1477="",0,$F1477),2))</f>
      </c>
      <c r="H1477" s="35">
        <f>IF(OR($D1477="",$K1477=""),"",COUNTIF(Payments!$G$5:$G$2500,$K1477))</f>
      </c>
      <c r="I1477" s="37">
        <f>IF($D1477="","",IF(OR($F1477="",$F1477=0),"Pending",IF(ROUND($F1477-$D1477,2)&gt;0,"Overpaid",IF(ROUND($F1477-$D1477,2)=0,"Paid","Partial"))))</f>
      </c>
      <c r="J1477" s="29"/>
      <c r="K1477">
        <f>IF($A1477="","","#"&amp;TRIM(SUBSTITUTE(SUBSTITUTE(SUBSTITUTE(SUBSTITUTE(SUBSTITUTE(SUBSTITUTE($A1477,"-",""),"(",""),")",""),".",""),"+","")," ","")))</f>
      </c>
    </row>
    <row r="1478" spans="1:11" x14ac:dyDescent="0.3">
      <c r="A1478" s="28"/>
      <c r="B1478" s="29"/>
      <c r="C1478" s="30"/>
      <c r="D1478" s="31"/>
      <c r="E1478" s="33">
        <f>IF(OR($D1478="",$K1478=""),"",IF(COUNTIFS(Payments!$G$5:$G$2500,$K1478,Payments!$C$5:$C$2500,"&lt;&gt;")=0,"",_xlfn.MAXIFS(Payments!$C$5:$C$2500,Payments!$G$5:$G$2500,$K1478)))</f>
      </c>
      <c r="F1478" s="34">
        <f>IF(OR($D1478="",$K1478=""),"",SUMIF(Payments!$G$5:$G$2500,$K1478,Payments!$D$5:$D$2500))</f>
      </c>
      <c r="G1478" s="36">
        <f>IF($D1478="","",ROUND($D1478-IF($F1478="",0,$F1478),2))</f>
      </c>
      <c r="H1478" s="35">
        <f>IF(OR($D1478="",$K1478=""),"",COUNTIF(Payments!$G$5:$G$2500,$K1478))</f>
      </c>
      <c r="I1478" s="37">
        <f>IF($D1478="","",IF(OR($F1478="",$F1478=0),"Pending",IF(ROUND($F1478-$D1478,2)&gt;0,"Overpaid",IF(ROUND($F1478-$D1478,2)=0,"Paid","Partial"))))</f>
      </c>
      <c r="J1478" s="29"/>
      <c r="K1478">
        <f>IF($A1478="","","#"&amp;TRIM(SUBSTITUTE(SUBSTITUTE(SUBSTITUTE(SUBSTITUTE(SUBSTITUTE(SUBSTITUTE($A1478,"-",""),"(",""),")",""),".",""),"+","")," ","")))</f>
      </c>
    </row>
    <row r="1479" spans="1:11" x14ac:dyDescent="0.3">
      <c r="A1479" s="28"/>
      <c r="B1479" s="29"/>
      <c r="C1479" s="30"/>
      <c r="D1479" s="31"/>
      <c r="E1479" s="33">
        <f>IF(OR($D1479="",$K1479=""),"",IF(COUNTIFS(Payments!$G$5:$G$2500,$K1479,Payments!$C$5:$C$2500,"&lt;&gt;")=0,"",_xlfn.MAXIFS(Payments!$C$5:$C$2500,Payments!$G$5:$G$2500,$K1479)))</f>
      </c>
      <c r="F1479" s="34">
        <f>IF(OR($D1479="",$K1479=""),"",SUMIF(Payments!$G$5:$G$2500,$K1479,Payments!$D$5:$D$2500))</f>
      </c>
      <c r="G1479" s="36">
        <f>IF($D1479="","",ROUND($D1479-IF($F1479="",0,$F1479),2))</f>
      </c>
      <c r="H1479" s="35">
        <f>IF(OR($D1479="",$K1479=""),"",COUNTIF(Payments!$G$5:$G$2500,$K1479))</f>
      </c>
      <c r="I1479" s="37">
        <f>IF($D1479="","",IF(OR($F1479="",$F1479=0),"Pending",IF(ROUND($F1479-$D1479,2)&gt;0,"Overpaid",IF(ROUND($F1479-$D1479,2)=0,"Paid","Partial"))))</f>
      </c>
      <c r="J1479" s="29"/>
      <c r="K1479">
        <f>IF($A1479="","","#"&amp;TRIM(SUBSTITUTE(SUBSTITUTE(SUBSTITUTE(SUBSTITUTE(SUBSTITUTE(SUBSTITUTE($A1479,"-",""),"(",""),")",""),".",""),"+","")," ","")))</f>
      </c>
    </row>
    <row r="1480" spans="1:11" x14ac:dyDescent="0.3">
      <c r="A1480" s="28"/>
      <c r="B1480" s="29"/>
      <c r="C1480" s="30"/>
      <c r="D1480" s="31"/>
      <c r="E1480" s="33">
        <f>IF(OR($D1480="",$K1480=""),"",IF(COUNTIFS(Payments!$G$5:$G$2500,$K1480,Payments!$C$5:$C$2500,"&lt;&gt;")=0,"",_xlfn.MAXIFS(Payments!$C$5:$C$2500,Payments!$G$5:$G$2500,$K1480)))</f>
      </c>
      <c r="F1480" s="34">
        <f>IF(OR($D1480="",$K1480=""),"",SUMIF(Payments!$G$5:$G$2500,$K1480,Payments!$D$5:$D$2500))</f>
      </c>
      <c r="G1480" s="36">
        <f>IF($D1480="","",ROUND($D1480-IF($F1480="",0,$F1480),2))</f>
      </c>
      <c r="H1480" s="35">
        <f>IF(OR($D1480="",$K1480=""),"",COUNTIF(Payments!$G$5:$G$2500,$K1480))</f>
      </c>
      <c r="I1480" s="37">
        <f>IF($D1480="","",IF(OR($F1480="",$F1480=0),"Pending",IF(ROUND($F1480-$D1480,2)&gt;0,"Overpaid",IF(ROUND($F1480-$D1480,2)=0,"Paid","Partial"))))</f>
      </c>
      <c r="J1480" s="29"/>
      <c r="K1480">
        <f>IF($A1480="","","#"&amp;TRIM(SUBSTITUTE(SUBSTITUTE(SUBSTITUTE(SUBSTITUTE(SUBSTITUTE(SUBSTITUTE($A1480,"-",""),"(",""),")",""),".",""),"+","")," ","")))</f>
      </c>
    </row>
    <row r="1481" spans="1:11" x14ac:dyDescent="0.3">
      <c r="A1481" s="28"/>
      <c r="B1481" s="29"/>
      <c r="C1481" s="30"/>
      <c r="D1481" s="31"/>
      <c r="E1481" s="33">
        <f>IF(OR($D1481="",$K1481=""),"",IF(COUNTIFS(Payments!$G$5:$G$2500,$K1481,Payments!$C$5:$C$2500,"&lt;&gt;")=0,"",_xlfn.MAXIFS(Payments!$C$5:$C$2500,Payments!$G$5:$G$2500,$K1481)))</f>
      </c>
      <c r="F1481" s="34">
        <f>IF(OR($D1481="",$K1481=""),"",SUMIF(Payments!$G$5:$G$2500,$K1481,Payments!$D$5:$D$2500))</f>
      </c>
      <c r="G1481" s="36">
        <f>IF($D1481="","",ROUND($D1481-IF($F1481="",0,$F1481),2))</f>
      </c>
      <c r="H1481" s="35">
        <f>IF(OR($D1481="",$K1481=""),"",COUNTIF(Payments!$G$5:$G$2500,$K1481))</f>
      </c>
      <c r="I1481" s="37">
        <f>IF($D1481="","",IF(OR($F1481="",$F1481=0),"Pending",IF(ROUND($F1481-$D1481,2)&gt;0,"Overpaid",IF(ROUND($F1481-$D1481,2)=0,"Paid","Partial"))))</f>
      </c>
      <c r="J1481" s="29"/>
      <c r="K1481">
        <f>IF($A1481="","","#"&amp;TRIM(SUBSTITUTE(SUBSTITUTE(SUBSTITUTE(SUBSTITUTE(SUBSTITUTE(SUBSTITUTE($A1481,"-",""),"(",""),")",""),".",""),"+","")," ","")))</f>
      </c>
    </row>
    <row r="1482" spans="1:11" x14ac:dyDescent="0.3">
      <c r="A1482" s="28"/>
      <c r="B1482" s="29"/>
      <c r="C1482" s="30"/>
      <c r="D1482" s="31"/>
      <c r="E1482" s="33">
        <f>IF(OR($D1482="",$K1482=""),"",IF(COUNTIFS(Payments!$G$5:$G$2500,$K1482,Payments!$C$5:$C$2500,"&lt;&gt;")=0,"",_xlfn.MAXIFS(Payments!$C$5:$C$2500,Payments!$G$5:$G$2500,$K1482)))</f>
      </c>
      <c r="F1482" s="34">
        <f>IF(OR($D1482="",$K1482=""),"",SUMIF(Payments!$G$5:$G$2500,$K1482,Payments!$D$5:$D$2500))</f>
      </c>
      <c r="G1482" s="36">
        <f>IF($D1482="","",ROUND($D1482-IF($F1482="",0,$F1482),2))</f>
      </c>
      <c r="H1482" s="35">
        <f>IF(OR($D1482="",$K1482=""),"",COUNTIF(Payments!$G$5:$G$2500,$K1482))</f>
      </c>
      <c r="I1482" s="37">
        <f>IF($D1482="","",IF(OR($F1482="",$F1482=0),"Pending",IF(ROUND($F1482-$D1482,2)&gt;0,"Overpaid",IF(ROUND($F1482-$D1482,2)=0,"Paid","Partial"))))</f>
      </c>
      <c r="J1482" s="29"/>
      <c r="K1482">
        <f>IF($A1482="","","#"&amp;TRIM(SUBSTITUTE(SUBSTITUTE(SUBSTITUTE(SUBSTITUTE(SUBSTITUTE(SUBSTITUTE($A1482,"-",""),"(",""),")",""),".",""),"+","")," ","")))</f>
      </c>
    </row>
    <row r="1483" spans="1:11" x14ac:dyDescent="0.3">
      <c r="A1483" s="28"/>
      <c r="B1483" s="29"/>
      <c r="C1483" s="30"/>
      <c r="D1483" s="31"/>
      <c r="E1483" s="33">
        <f>IF(OR($D1483="",$K1483=""),"",IF(COUNTIFS(Payments!$G$5:$G$2500,$K1483,Payments!$C$5:$C$2500,"&lt;&gt;")=0,"",_xlfn.MAXIFS(Payments!$C$5:$C$2500,Payments!$G$5:$G$2500,$K1483)))</f>
      </c>
      <c r="F1483" s="34">
        <f>IF(OR($D1483="",$K1483=""),"",SUMIF(Payments!$G$5:$G$2500,$K1483,Payments!$D$5:$D$2500))</f>
      </c>
      <c r="G1483" s="36">
        <f>IF($D1483="","",ROUND($D1483-IF($F1483="",0,$F1483),2))</f>
      </c>
      <c r="H1483" s="35">
        <f>IF(OR($D1483="",$K1483=""),"",COUNTIF(Payments!$G$5:$G$2500,$K1483))</f>
      </c>
      <c r="I1483" s="37">
        <f>IF($D1483="","",IF(OR($F1483="",$F1483=0),"Pending",IF(ROUND($F1483-$D1483,2)&gt;0,"Overpaid",IF(ROUND($F1483-$D1483,2)=0,"Paid","Partial"))))</f>
      </c>
      <c r="J1483" s="29"/>
      <c r="K1483">
        <f>IF($A1483="","","#"&amp;TRIM(SUBSTITUTE(SUBSTITUTE(SUBSTITUTE(SUBSTITUTE(SUBSTITUTE(SUBSTITUTE($A1483,"-",""),"(",""),")",""),".",""),"+","")," ","")))</f>
      </c>
    </row>
    <row r="1484" spans="1:11" x14ac:dyDescent="0.3">
      <c r="A1484" s="28"/>
      <c r="B1484" s="29"/>
      <c r="C1484" s="30"/>
      <c r="D1484" s="31"/>
      <c r="E1484" s="33">
        <f>IF(OR($D1484="",$K1484=""),"",IF(COUNTIFS(Payments!$G$5:$G$2500,$K1484,Payments!$C$5:$C$2500,"&lt;&gt;")=0,"",_xlfn.MAXIFS(Payments!$C$5:$C$2500,Payments!$G$5:$G$2500,$K1484)))</f>
      </c>
      <c r="F1484" s="34">
        <f>IF(OR($D1484="",$K1484=""),"",SUMIF(Payments!$G$5:$G$2500,$K1484,Payments!$D$5:$D$2500))</f>
      </c>
      <c r="G1484" s="36">
        <f>IF($D1484="","",ROUND($D1484-IF($F1484="",0,$F1484),2))</f>
      </c>
      <c r="H1484" s="35">
        <f>IF(OR($D1484="",$K1484=""),"",COUNTIF(Payments!$G$5:$G$2500,$K1484))</f>
      </c>
      <c r="I1484" s="37">
        <f>IF($D1484="","",IF(OR($F1484="",$F1484=0),"Pending",IF(ROUND($F1484-$D1484,2)&gt;0,"Overpaid",IF(ROUND($F1484-$D1484,2)=0,"Paid","Partial"))))</f>
      </c>
      <c r="J1484" s="29"/>
      <c r="K1484">
        <f>IF($A1484="","","#"&amp;TRIM(SUBSTITUTE(SUBSTITUTE(SUBSTITUTE(SUBSTITUTE(SUBSTITUTE(SUBSTITUTE($A1484,"-",""),"(",""),")",""),".",""),"+","")," ","")))</f>
      </c>
    </row>
    <row r="1485" spans="1:11" x14ac:dyDescent="0.3">
      <c r="A1485" s="28"/>
      <c r="B1485" s="29"/>
      <c r="C1485" s="30"/>
      <c r="D1485" s="31"/>
      <c r="E1485" s="33">
        <f>IF(OR($D1485="",$K1485=""),"",IF(COUNTIFS(Payments!$G$5:$G$2500,$K1485,Payments!$C$5:$C$2500,"&lt;&gt;")=0,"",_xlfn.MAXIFS(Payments!$C$5:$C$2500,Payments!$G$5:$G$2500,$K1485)))</f>
      </c>
      <c r="F1485" s="34">
        <f>IF(OR($D1485="",$K1485=""),"",SUMIF(Payments!$G$5:$G$2500,$K1485,Payments!$D$5:$D$2500))</f>
      </c>
      <c r="G1485" s="36">
        <f>IF($D1485="","",ROUND($D1485-IF($F1485="",0,$F1485),2))</f>
      </c>
      <c r="H1485" s="35">
        <f>IF(OR($D1485="",$K1485=""),"",COUNTIF(Payments!$G$5:$G$2500,$K1485))</f>
      </c>
      <c r="I1485" s="37">
        <f>IF($D1485="","",IF(OR($F1485="",$F1485=0),"Pending",IF(ROUND($F1485-$D1485,2)&gt;0,"Overpaid",IF(ROUND($F1485-$D1485,2)=0,"Paid","Partial"))))</f>
      </c>
      <c r="J1485" s="29"/>
      <c r="K1485">
        <f>IF($A1485="","","#"&amp;TRIM(SUBSTITUTE(SUBSTITUTE(SUBSTITUTE(SUBSTITUTE(SUBSTITUTE(SUBSTITUTE($A1485,"-",""),"(",""),")",""),".",""),"+","")," ","")))</f>
      </c>
    </row>
    <row r="1486" spans="1:11" x14ac:dyDescent="0.3">
      <c r="A1486" s="28"/>
      <c r="B1486" s="29"/>
      <c r="C1486" s="30"/>
      <c r="D1486" s="31"/>
      <c r="E1486" s="33">
        <f>IF(OR($D1486="",$K1486=""),"",IF(COUNTIFS(Payments!$G$5:$G$2500,$K1486,Payments!$C$5:$C$2500,"&lt;&gt;")=0,"",_xlfn.MAXIFS(Payments!$C$5:$C$2500,Payments!$G$5:$G$2500,$K1486)))</f>
      </c>
      <c r="F1486" s="34">
        <f>IF(OR($D1486="",$K1486=""),"",SUMIF(Payments!$G$5:$G$2500,$K1486,Payments!$D$5:$D$2500))</f>
      </c>
      <c r="G1486" s="36">
        <f>IF($D1486="","",ROUND($D1486-IF($F1486="",0,$F1486),2))</f>
      </c>
      <c r="H1486" s="35">
        <f>IF(OR($D1486="",$K1486=""),"",COUNTIF(Payments!$G$5:$G$2500,$K1486))</f>
      </c>
      <c r="I1486" s="37">
        <f>IF($D1486="","",IF(OR($F1486="",$F1486=0),"Pending",IF(ROUND($F1486-$D1486,2)&gt;0,"Overpaid",IF(ROUND($F1486-$D1486,2)=0,"Paid","Partial"))))</f>
      </c>
      <c r="J1486" s="29"/>
      <c r="K1486">
        <f>IF($A1486="","","#"&amp;TRIM(SUBSTITUTE(SUBSTITUTE(SUBSTITUTE(SUBSTITUTE(SUBSTITUTE(SUBSTITUTE($A1486,"-",""),"(",""),")",""),".",""),"+","")," ","")))</f>
      </c>
    </row>
    <row r="1487" spans="1:11" x14ac:dyDescent="0.3">
      <c r="A1487" s="28"/>
      <c r="B1487" s="29"/>
      <c r="C1487" s="30"/>
      <c r="D1487" s="31"/>
      <c r="E1487" s="33">
        <f>IF(OR($D1487="",$K1487=""),"",IF(COUNTIFS(Payments!$G$5:$G$2500,$K1487,Payments!$C$5:$C$2500,"&lt;&gt;")=0,"",_xlfn.MAXIFS(Payments!$C$5:$C$2500,Payments!$G$5:$G$2500,$K1487)))</f>
      </c>
      <c r="F1487" s="34">
        <f>IF(OR($D1487="",$K1487=""),"",SUMIF(Payments!$G$5:$G$2500,$K1487,Payments!$D$5:$D$2500))</f>
      </c>
      <c r="G1487" s="36">
        <f>IF($D1487="","",ROUND($D1487-IF($F1487="",0,$F1487),2))</f>
      </c>
      <c r="H1487" s="35">
        <f>IF(OR($D1487="",$K1487=""),"",COUNTIF(Payments!$G$5:$G$2500,$K1487))</f>
      </c>
      <c r="I1487" s="37">
        <f>IF($D1487="","",IF(OR($F1487="",$F1487=0),"Pending",IF(ROUND($F1487-$D1487,2)&gt;0,"Overpaid",IF(ROUND($F1487-$D1487,2)=0,"Paid","Partial"))))</f>
      </c>
      <c r="J1487" s="29"/>
      <c r="K1487">
        <f>IF($A1487="","","#"&amp;TRIM(SUBSTITUTE(SUBSTITUTE(SUBSTITUTE(SUBSTITUTE(SUBSTITUTE(SUBSTITUTE($A1487,"-",""),"(",""),")",""),".",""),"+","")," ","")))</f>
      </c>
    </row>
    <row r="1488" spans="1:11" x14ac:dyDescent="0.3">
      <c r="A1488" s="28"/>
      <c r="B1488" s="29"/>
      <c r="C1488" s="30"/>
      <c r="D1488" s="31"/>
      <c r="E1488" s="33">
        <f>IF(OR($D1488="",$K1488=""),"",IF(COUNTIFS(Payments!$G$5:$G$2500,$K1488,Payments!$C$5:$C$2500,"&lt;&gt;")=0,"",_xlfn.MAXIFS(Payments!$C$5:$C$2500,Payments!$G$5:$G$2500,$K1488)))</f>
      </c>
      <c r="F1488" s="34">
        <f>IF(OR($D1488="",$K1488=""),"",SUMIF(Payments!$G$5:$G$2500,$K1488,Payments!$D$5:$D$2500))</f>
      </c>
      <c r="G1488" s="36">
        <f>IF($D1488="","",ROUND($D1488-IF($F1488="",0,$F1488),2))</f>
      </c>
      <c r="H1488" s="35">
        <f>IF(OR($D1488="",$K1488=""),"",COUNTIF(Payments!$G$5:$G$2500,$K1488))</f>
      </c>
      <c r="I1488" s="37">
        <f>IF($D1488="","",IF(OR($F1488="",$F1488=0),"Pending",IF(ROUND($F1488-$D1488,2)&gt;0,"Overpaid",IF(ROUND($F1488-$D1488,2)=0,"Paid","Partial"))))</f>
      </c>
      <c r="J1488" s="29"/>
      <c r="K1488">
        <f>IF($A1488="","","#"&amp;TRIM(SUBSTITUTE(SUBSTITUTE(SUBSTITUTE(SUBSTITUTE(SUBSTITUTE(SUBSTITUTE($A1488,"-",""),"(",""),")",""),".",""),"+","")," ","")))</f>
      </c>
    </row>
    <row r="1489" spans="1:11" x14ac:dyDescent="0.3">
      <c r="A1489" s="28"/>
      <c r="B1489" s="29"/>
      <c r="C1489" s="30"/>
      <c r="D1489" s="31"/>
      <c r="E1489" s="33">
        <f>IF(OR($D1489="",$K1489=""),"",IF(COUNTIFS(Payments!$G$5:$G$2500,$K1489,Payments!$C$5:$C$2500,"&lt;&gt;")=0,"",_xlfn.MAXIFS(Payments!$C$5:$C$2500,Payments!$G$5:$G$2500,$K1489)))</f>
      </c>
      <c r="F1489" s="34">
        <f>IF(OR($D1489="",$K1489=""),"",SUMIF(Payments!$G$5:$G$2500,$K1489,Payments!$D$5:$D$2500))</f>
      </c>
      <c r="G1489" s="36">
        <f>IF($D1489="","",ROUND($D1489-IF($F1489="",0,$F1489),2))</f>
      </c>
      <c r="H1489" s="35">
        <f>IF(OR($D1489="",$K1489=""),"",COUNTIF(Payments!$G$5:$G$2500,$K1489))</f>
      </c>
      <c r="I1489" s="37">
        <f>IF($D1489="","",IF(OR($F1489="",$F1489=0),"Pending",IF(ROUND($F1489-$D1489,2)&gt;0,"Overpaid",IF(ROUND($F1489-$D1489,2)=0,"Paid","Partial"))))</f>
      </c>
      <c r="J1489" s="29"/>
      <c r="K1489">
        <f>IF($A1489="","","#"&amp;TRIM(SUBSTITUTE(SUBSTITUTE(SUBSTITUTE(SUBSTITUTE(SUBSTITUTE(SUBSTITUTE($A1489,"-",""),"(",""),")",""),".",""),"+","")," ","")))</f>
      </c>
    </row>
    <row r="1490" spans="1:11" x14ac:dyDescent="0.3">
      <c r="A1490" s="28"/>
      <c r="B1490" s="29"/>
      <c r="C1490" s="30"/>
      <c r="D1490" s="31"/>
      <c r="E1490" s="33">
        <f>IF(OR($D1490="",$K1490=""),"",IF(COUNTIFS(Payments!$G$5:$G$2500,$K1490,Payments!$C$5:$C$2500,"&lt;&gt;")=0,"",_xlfn.MAXIFS(Payments!$C$5:$C$2500,Payments!$G$5:$G$2500,$K1490)))</f>
      </c>
      <c r="F1490" s="34">
        <f>IF(OR($D1490="",$K1490=""),"",SUMIF(Payments!$G$5:$G$2500,$K1490,Payments!$D$5:$D$2500))</f>
      </c>
      <c r="G1490" s="36">
        <f>IF($D1490="","",ROUND($D1490-IF($F1490="",0,$F1490),2))</f>
      </c>
      <c r="H1490" s="35">
        <f>IF(OR($D1490="",$K1490=""),"",COUNTIF(Payments!$G$5:$G$2500,$K1490))</f>
      </c>
      <c r="I1490" s="37">
        <f>IF($D1490="","",IF(OR($F1490="",$F1490=0),"Pending",IF(ROUND($F1490-$D1490,2)&gt;0,"Overpaid",IF(ROUND($F1490-$D1490,2)=0,"Paid","Partial"))))</f>
      </c>
      <c r="J1490" s="29"/>
      <c r="K1490">
        <f>IF($A1490="","","#"&amp;TRIM(SUBSTITUTE(SUBSTITUTE(SUBSTITUTE(SUBSTITUTE(SUBSTITUTE(SUBSTITUTE($A1490,"-",""),"(",""),")",""),".",""),"+","")," ","")))</f>
      </c>
    </row>
    <row r="1491" spans="1:11" x14ac:dyDescent="0.3">
      <c r="A1491" s="28"/>
      <c r="B1491" s="29"/>
      <c r="C1491" s="30"/>
      <c r="D1491" s="31"/>
      <c r="E1491" s="33">
        <f>IF(OR($D1491="",$K1491=""),"",IF(COUNTIFS(Payments!$G$5:$G$2500,$K1491,Payments!$C$5:$C$2500,"&lt;&gt;")=0,"",_xlfn.MAXIFS(Payments!$C$5:$C$2500,Payments!$G$5:$G$2500,$K1491)))</f>
      </c>
      <c r="F1491" s="34">
        <f>IF(OR($D1491="",$K1491=""),"",SUMIF(Payments!$G$5:$G$2500,$K1491,Payments!$D$5:$D$2500))</f>
      </c>
      <c r="G1491" s="36">
        <f>IF($D1491="","",ROUND($D1491-IF($F1491="",0,$F1491),2))</f>
      </c>
      <c r="H1491" s="35">
        <f>IF(OR($D1491="",$K1491=""),"",COUNTIF(Payments!$G$5:$G$2500,$K1491))</f>
      </c>
      <c r="I1491" s="37">
        <f>IF($D1491="","",IF(OR($F1491="",$F1491=0),"Pending",IF(ROUND($F1491-$D1491,2)&gt;0,"Overpaid",IF(ROUND($F1491-$D1491,2)=0,"Paid","Partial"))))</f>
      </c>
      <c r="J1491" s="29"/>
      <c r="K1491">
        <f>IF($A1491="","","#"&amp;TRIM(SUBSTITUTE(SUBSTITUTE(SUBSTITUTE(SUBSTITUTE(SUBSTITUTE(SUBSTITUTE($A1491,"-",""),"(",""),")",""),".",""),"+","")," ","")))</f>
      </c>
    </row>
    <row r="1492" spans="1:11" x14ac:dyDescent="0.3">
      <c r="A1492" s="28"/>
      <c r="B1492" s="29"/>
      <c r="C1492" s="30"/>
      <c r="D1492" s="31"/>
      <c r="E1492" s="33">
        <f>IF(OR($D1492="",$K1492=""),"",IF(COUNTIFS(Payments!$G$5:$G$2500,$K1492,Payments!$C$5:$C$2500,"&lt;&gt;")=0,"",_xlfn.MAXIFS(Payments!$C$5:$C$2500,Payments!$G$5:$G$2500,$K1492)))</f>
      </c>
      <c r="F1492" s="34">
        <f>IF(OR($D1492="",$K1492=""),"",SUMIF(Payments!$G$5:$G$2500,$K1492,Payments!$D$5:$D$2500))</f>
      </c>
      <c r="G1492" s="36">
        <f>IF($D1492="","",ROUND($D1492-IF($F1492="",0,$F1492),2))</f>
      </c>
      <c r="H1492" s="35">
        <f>IF(OR($D1492="",$K1492=""),"",COUNTIF(Payments!$G$5:$G$2500,$K1492))</f>
      </c>
      <c r="I1492" s="37">
        <f>IF($D1492="","",IF(OR($F1492="",$F1492=0),"Pending",IF(ROUND($F1492-$D1492,2)&gt;0,"Overpaid",IF(ROUND($F1492-$D1492,2)=0,"Paid","Partial"))))</f>
      </c>
      <c r="J1492" s="29"/>
      <c r="K1492">
        <f>IF($A1492="","","#"&amp;TRIM(SUBSTITUTE(SUBSTITUTE(SUBSTITUTE(SUBSTITUTE(SUBSTITUTE(SUBSTITUTE($A1492,"-",""),"(",""),")",""),".",""),"+","")," ","")))</f>
      </c>
    </row>
    <row r="1493" spans="1:11" x14ac:dyDescent="0.3">
      <c r="A1493" s="28"/>
      <c r="B1493" s="29"/>
      <c r="C1493" s="30"/>
      <c r="D1493" s="31"/>
      <c r="E1493" s="33">
        <f>IF(OR($D1493="",$K1493=""),"",IF(COUNTIFS(Payments!$G$5:$G$2500,$K1493,Payments!$C$5:$C$2500,"&lt;&gt;")=0,"",_xlfn.MAXIFS(Payments!$C$5:$C$2500,Payments!$G$5:$G$2500,$K1493)))</f>
      </c>
      <c r="F1493" s="34">
        <f>IF(OR($D1493="",$K1493=""),"",SUMIF(Payments!$G$5:$G$2500,$K1493,Payments!$D$5:$D$2500))</f>
      </c>
      <c r="G1493" s="36">
        <f>IF($D1493="","",ROUND($D1493-IF($F1493="",0,$F1493),2))</f>
      </c>
      <c r="H1493" s="35">
        <f>IF(OR($D1493="",$K1493=""),"",COUNTIF(Payments!$G$5:$G$2500,$K1493))</f>
      </c>
      <c r="I1493" s="37">
        <f>IF($D1493="","",IF(OR($F1493="",$F1493=0),"Pending",IF(ROUND($F1493-$D1493,2)&gt;0,"Overpaid",IF(ROUND($F1493-$D1493,2)=0,"Paid","Partial"))))</f>
      </c>
      <c r="J1493" s="29"/>
      <c r="K1493">
        <f>IF($A1493="","","#"&amp;TRIM(SUBSTITUTE(SUBSTITUTE(SUBSTITUTE(SUBSTITUTE(SUBSTITUTE(SUBSTITUTE($A1493,"-",""),"(",""),")",""),".",""),"+","")," ","")))</f>
      </c>
    </row>
    <row r="1494" spans="1:11" x14ac:dyDescent="0.3">
      <c r="A1494" s="28"/>
      <c r="B1494" s="29"/>
      <c r="C1494" s="30"/>
      <c r="D1494" s="31"/>
      <c r="E1494" s="33">
        <f>IF(OR($D1494="",$K1494=""),"",IF(COUNTIFS(Payments!$G$5:$G$2500,$K1494,Payments!$C$5:$C$2500,"&lt;&gt;")=0,"",_xlfn.MAXIFS(Payments!$C$5:$C$2500,Payments!$G$5:$G$2500,$K1494)))</f>
      </c>
      <c r="F1494" s="34">
        <f>IF(OR($D1494="",$K1494=""),"",SUMIF(Payments!$G$5:$G$2500,$K1494,Payments!$D$5:$D$2500))</f>
      </c>
      <c r="G1494" s="36">
        <f>IF($D1494="","",ROUND($D1494-IF($F1494="",0,$F1494),2))</f>
      </c>
      <c r="H1494" s="35">
        <f>IF(OR($D1494="",$K1494=""),"",COUNTIF(Payments!$G$5:$G$2500,$K1494))</f>
      </c>
      <c r="I1494" s="37">
        <f>IF($D1494="","",IF(OR($F1494="",$F1494=0),"Pending",IF(ROUND($F1494-$D1494,2)&gt;0,"Overpaid",IF(ROUND($F1494-$D1494,2)=0,"Paid","Partial"))))</f>
      </c>
      <c r="J1494" s="29"/>
      <c r="K1494">
        <f>IF($A1494="","","#"&amp;TRIM(SUBSTITUTE(SUBSTITUTE(SUBSTITUTE(SUBSTITUTE(SUBSTITUTE(SUBSTITUTE($A1494,"-",""),"(",""),")",""),".",""),"+","")," ","")))</f>
      </c>
    </row>
    <row r="1495" spans="1:11" x14ac:dyDescent="0.3">
      <c r="A1495" s="28"/>
      <c r="B1495" s="29"/>
      <c r="C1495" s="30"/>
      <c r="D1495" s="31"/>
      <c r="E1495" s="33">
        <f>IF(OR($D1495="",$K1495=""),"",IF(COUNTIFS(Payments!$G$5:$G$2500,$K1495,Payments!$C$5:$C$2500,"&lt;&gt;")=0,"",_xlfn.MAXIFS(Payments!$C$5:$C$2500,Payments!$G$5:$G$2500,$K1495)))</f>
      </c>
      <c r="F1495" s="34">
        <f>IF(OR($D1495="",$K1495=""),"",SUMIF(Payments!$G$5:$G$2500,$K1495,Payments!$D$5:$D$2500))</f>
      </c>
      <c r="G1495" s="36">
        <f>IF($D1495="","",ROUND($D1495-IF($F1495="",0,$F1495),2))</f>
      </c>
      <c r="H1495" s="35">
        <f>IF(OR($D1495="",$K1495=""),"",COUNTIF(Payments!$G$5:$G$2500,$K1495))</f>
      </c>
      <c r="I1495" s="37">
        <f>IF($D1495="","",IF(OR($F1495="",$F1495=0),"Pending",IF(ROUND($F1495-$D1495,2)&gt;0,"Overpaid",IF(ROUND($F1495-$D1495,2)=0,"Paid","Partial"))))</f>
      </c>
      <c r="J1495" s="29"/>
      <c r="K1495">
        <f>IF($A1495="","","#"&amp;TRIM(SUBSTITUTE(SUBSTITUTE(SUBSTITUTE(SUBSTITUTE(SUBSTITUTE(SUBSTITUTE($A1495,"-",""),"(",""),")",""),".",""),"+","")," ","")))</f>
      </c>
    </row>
    <row r="1496" spans="1:11" x14ac:dyDescent="0.3">
      <c r="A1496" s="28"/>
      <c r="B1496" s="29"/>
      <c r="C1496" s="30"/>
      <c r="D1496" s="31"/>
      <c r="E1496" s="33">
        <f>IF(OR($D1496="",$K1496=""),"",IF(COUNTIFS(Payments!$G$5:$G$2500,$K1496,Payments!$C$5:$C$2500,"&lt;&gt;")=0,"",_xlfn.MAXIFS(Payments!$C$5:$C$2500,Payments!$G$5:$G$2500,$K1496)))</f>
      </c>
      <c r="F1496" s="34">
        <f>IF(OR($D1496="",$K1496=""),"",SUMIF(Payments!$G$5:$G$2500,$K1496,Payments!$D$5:$D$2500))</f>
      </c>
      <c r="G1496" s="36">
        <f>IF($D1496="","",ROUND($D1496-IF($F1496="",0,$F1496),2))</f>
      </c>
      <c r="H1496" s="35">
        <f>IF(OR($D1496="",$K1496=""),"",COUNTIF(Payments!$G$5:$G$2500,$K1496))</f>
      </c>
      <c r="I1496" s="37">
        <f>IF($D1496="","",IF(OR($F1496="",$F1496=0),"Pending",IF(ROUND($F1496-$D1496,2)&gt;0,"Overpaid",IF(ROUND($F1496-$D1496,2)=0,"Paid","Partial"))))</f>
      </c>
      <c r="J1496" s="29"/>
      <c r="K1496">
        <f>IF($A1496="","","#"&amp;TRIM(SUBSTITUTE(SUBSTITUTE(SUBSTITUTE(SUBSTITUTE(SUBSTITUTE(SUBSTITUTE($A1496,"-",""),"(",""),")",""),".",""),"+","")," ","")))</f>
      </c>
    </row>
    <row r="1497" spans="1:11" x14ac:dyDescent="0.3">
      <c r="A1497" s="28"/>
      <c r="B1497" s="29"/>
      <c r="C1497" s="30"/>
      <c r="D1497" s="31"/>
      <c r="E1497" s="33">
        <f>IF(OR($D1497="",$K1497=""),"",IF(COUNTIFS(Payments!$G$5:$G$2500,$K1497,Payments!$C$5:$C$2500,"&lt;&gt;")=0,"",_xlfn.MAXIFS(Payments!$C$5:$C$2500,Payments!$G$5:$G$2500,$K1497)))</f>
      </c>
      <c r="F1497" s="34">
        <f>IF(OR($D1497="",$K1497=""),"",SUMIF(Payments!$G$5:$G$2500,$K1497,Payments!$D$5:$D$2500))</f>
      </c>
      <c r="G1497" s="36">
        <f>IF($D1497="","",ROUND($D1497-IF($F1497="",0,$F1497),2))</f>
      </c>
      <c r="H1497" s="35">
        <f>IF(OR($D1497="",$K1497=""),"",COUNTIF(Payments!$G$5:$G$2500,$K1497))</f>
      </c>
      <c r="I1497" s="37">
        <f>IF($D1497="","",IF(OR($F1497="",$F1497=0),"Pending",IF(ROUND($F1497-$D1497,2)&gt;0,"Overpaid",IF(ROUND($F1497-$D1497,2)=0,"Paid","Partial"))))</f>
      </c>
      <c r="J1497" s="29"/>
      <c r="K1497">
        <f>IF($A1497="","","#"&amp;TRIM(SUBSTITUTE(SUBSTITUTE(SUBSTITUTE(SUBSTITUTE(SUBSTITUTE(SUBSTITUTE($A1497,"-",""),"(",""),")",""),".",""),"+","")," ","")))</f>
      </c>
    </row>
    <row r="1498" spans="1:11" x14ac:dyDescent="0.3">
      <c r="A1498" s="28"/>
      <c r="B1498" s="29"/>
      <c r="C1498" s="30"/>
      <c r="D1498" s="31"/>
      <c r="E1498" s="33">
        <f>IF(OR($D1498="",$K1498=""),"",IF(COUNTIFS(Payments!$G$5:$G$2500,$K1498,Payments!$C$5:$C$2500,"&lt;&gt;")=0,"",_xlfn.MAXIFS(Payments!$C$5:$C$2500,Payments!$G$5:$G$2500,$K1498)))</f>
      </c>
      <c r="F1498" s="34">
        <f>IF(OR($D1498="",$K1498=""),"",SUMIF(Payments!$G$5:$G$2500,$K1498,Payments!$D$5:$D$2500))</f>
      </c>
      <c r="G1498" s="36">
        <f>IF($D1498="","",ROUND($D1498-IF($F1498="",0,$F1498),2))</f>
      </c>
      <c r="H1498" s="35">
        <f>IF(OR($D1498="",$K1498=""),"",COUNTIF(Payments!$G$5:$G$2500,$K1498))</f>
      </c>
      <c r="I1498" s="37">
        <f>IF($D1498="","",IF(OR($F1498="",$F1498=0),"Pending",IF(ROUND($F1498-$D1498,2)&gt;0,"Overpaid",IF(ROUND($F1498-$D1498,2)=0,"Paid","Partial"))))</f>
      </c>
      <c r="J1498" s="29"/>
      <c r="K1498">
        <f>IF($A1498="","","#"&amp;TRIM(SUBSTITUTE(SUBSTITUTE(SUBSTITUTE(SUBSTITUTE(SUBSTITUTE(SUBSTITUTE($A1498,"-",""),"(",""),")",""),".",""),"+","")," ","")))</f>
      </c>
    </row>
    <row r="1499" spans="1:11" x14ac:dyDescent="0.3">
      <c r="A1499" s="28"/>
      <c r="B1499" s="29"/>
      <c r="C1499" s="30"/>
      <c r="D1499" s="31"/>
      <c r="E1499" s="33">
        <f>IF(OR($D1499="",$K1499=""),"",IF(COUNTIFS(Payments!$G$5:$G$2500,$K1499,Payments!$C$5:$C$2500,"&lt;&gt;")=0,"",_xlfn.MAXIFS(Payments!$C$5:$C$2500,Payments!$G$5:$G$2500,$K1499)))</f>
      </c>
      <c r="F1499" s="34">
        <f>IF(OR($D1499="",$K1499=""),"",SUMIF(Payments!$G$5:$G$2500,$K1499,Payments!$D$5:$D$2500))</f>
      </c>
      <c r="G1499" s="36">
        <f>IF($D1499="","",ROUND($D1499-IF($F1499="",0,$F1499),2))</f>
      </c>
      <c r="H1499" s="35">
        <f>IF(OR($D1499="",$K1499=""),"",COUNTIF(Payments!$G$5:$G$2500,$K1499))</f>
      </c>
      <c r="I1499" s="37">
        <f>IF($D1499="","",IF(OR($F1499="",$F1499=0),"Pending",IF(ROUND($F1499-$D1499,2)&gt;0,"Overpaid",IF(ROUND($F1499-$D1499,2)=0,"Paid","Partial"))))</f>
      </c>
      <c r="J1499" s="29"/>
      <c r="K1499">
        <f>IF($A1499="","","#"&amp;TRIM(SUBSTITUTE(SUBSTITUTE(SUBSTITUTE(SUBSTITUTE(SUBSTITUTE(SUBSTITUTE($A1499,"-",""),"(",""),")",""),".",""),"+","")," ","")))</f>
      </c>
    </row>
    <row r="1500" spans="1:11" x14ac:dyDescent="0.3">
      <c r="A1500" s="28"/>
      <c r="B1500" s="29"/>
      <c r="C1500" s="30"/>
      <c r="D1500" s="31"/>
      <c r="E1500" s="33">
        <f>IF(OR($D1500="",$K1500=""),"",IF(COUNTIFS(Payments!$G$5:$G$2500,$K1500,Payments!$C$5:$C$2500,"&lt;&gt;")=0,"",_xlfn.MAXIFS(Payments!$C$5:$C$2500,Payments!$G$5:$G$2500,$K1500)))</f>
      </c>
      <c r="F1500" s="34">
        <f>IF(OR($D1500="",$K1500=""),"",SUMIF(Payments!$G$5:$G$2500,$K1500,Payments!$D$5:$D$2500))</f>
      </c>
      <c r="G1500" s="36">
        <f>IF($D1500="","",ROUND($D1500-IF($F1500="",0,$F1500),2))</f>
      </c>
      <c r="H1500" s="35">
        <f>IF(OR($D1500="",$K1500=""),"",COUNTIF(Payments!$G$5:$G$2500,$K1500))</f>
      </c>
      <c r="I1500" s="37">
        <f>IF($D1500="","",IF(OR($F1500="",$F1500=0),"Pending",IF(ROUND($F1500-$D1500,2)&gt;0,"Overpaid",IF(ROUND($F1500-$D1500,2)=0,"Paid","Partial"))))</f>
      </c>
      <c r="J1500" s="29"/>
      <c r="K1500">
        <f>IF($A1500="","","#"&amp;TRIM(SUBSTITUTE(SUBSTITUTE(SUBSTITUTE(SUBSTITUTE(SUBSTITUTE(SUBSTITUTE($A1500,"-",""),"(",""),")",""),".",""),"+","")," ","")))</f>
      </c>
    </row>
    <row r="1501" spans="1:11" x14ac:dyDescent="0.3">
      <c r="A1501" s="28"/>
      <c r="B1501" s="29"/>
      <c r="C1501" s="30"/>
      <c r="D1501" s="31"/>
      <c r="E1501" s="33">
        <f>IF(OR($D1501="",$K1501=""),"",IF(COUNTIFS(Payments!$G$5:$G$2500,$K1501,Payments!$C$5:$C$2500,"&lt;&gt;")=0,"",_xlfn.MAXIFS(Payments!$C$5:$C$2500,Payments!$G$5:$G$2500,$K1501)))</f>
      </c>
      <c r="F1501" s="34">
        <f>IF(OR($D1501="",$K1501=""),"",SUMIF(Payments!$G$5:$G$2500,$K1501,Payments!$D$5:$D$2500))</f>
      </c>
      <c r="G1501" s="36">
        <f>IF($D1501="","",ROUND($D1501-IF($F1501="",0,$F1501),2))</f>
      </c>
      <c r="H1501" s="35">
        <f>IF(OR($D1501="",$K1501=""),"",COUNTIF(Payments!$G$5:$G$2500,$K1501))</f>
      </c>
      <c r="I1501" s="37">
        <f>IF($D1501="","",IF(OR($F1501="",$F1501=0),"Pending",IF(ROUND($F1501-$D1501,2)&gt;0,"Overpaid",IF(ROUND($F1501-$D1501,2)=0,"Paid","Partial"))))</f>
      </c>
      <c r="J1501" s="29"/>
      <c r="K1501">
        <f>IF($A1501="","","#"&amp;TRIM(SUBSTITUTE(SUBSTITUTE(SUBSTITUTE(SUBSTITUTE(SUBSTITUTE(SUBSTITUTE($A1501,"-",""),"(",""),")",""),".",""),"+","")," ","")))</f>
      </c>
    </row>
    <row r="1502" spans="1:11" x14ac:dyDescent="0.3">
      <c r="A1502" s="28"/>
      <c r="B1502" s="29"/>
      <c r="C1502" s="30"/>
      <c r="D1502" s="31"/>
      <c r="E1502" s="33">
        <f>IF(OR($D1502="",$K1502=""),"",IF(COUNTIFS(Payments!$G$5:$G$2500,$K1502,Payments!$C$5:$C$2500,"&lt;&gt;")=0,"",_xlfn.MAXIFS(Payments!$C$5:$C$2500,Payments!$G$5:$G$2500,$K1502)))</f>
      </c>
      <c r="F1502" s="34">
        <f>IF(OR($D1502="",$K1502=""),"",SUMIF(Payments!$G$5:$G$2500,$K1502,Payments!$D$5:$D$2500))</f>
      </c>
      <c r="G1502" s="36">
        <f>IF($D1502="","",ROUND($D1502-IF($F1502="",0,$F1502),2))</f>
      </c>
      <c r="H1502" s="35">
        <f>IF(OR($D1502="",$K1502=""),"",COUNTIF(Payments!$G$5:$G$2500,$K1502))</f>
      </c>
      <c r="I1502" s="37">
        <f>IF($D1502="","",IF(OR($F1502="",$F1502=0),"Pending",IF(ROUND($F1502-$D1502,2)&gt;0,"Overpaid",IF(ROUND($F1502-$D1502,2)=0,"Paid","Partial"))))</f>
      </c>
      <c r="J1502" s="29"/>
      <c r="K1502">
        <f>IF($A1502="","","#"&amp;TRIM(SUBSTITUTE(SUBSTITUTE(SUBSTITUTE(SUBSTITUTE(SUBSTITUTE(SUBSTITUTE($A1502,"-",""),"(",""),")",""),".",""),"+","")," ","")))</f>
      </c>
    </row>
    <row r="1503" spans="1:11" x14ac:dyDescent="0.3">
      <c r="A1503" s="28"/>
      <c r="B1503" s="29"/>
      <c r="C1503" s="30"/>
      <c r="D1503" s="31"/>
      <c r="E1503" s="33">
        <f>IF(OR($D1503="",$K1503=""),"",IF(COUNTIFS(Payments!$G$5:$G$2500,$K1503,Payments!$C$5:$C$2500,"&lt;&gt;")=0,"",_xlfn.MAXIFS(Payments!$C$5:$C$2500,Payments!$G$5:$G$2500,$K1503)))</f>
      </c>
      <c r="F1503" s="34">
        <f>IF(OR($D1503="",$K1503=""),"",SUMIF(Payments!$G$5:$G$2500,$K1503,Payments!$D$5:$D$2500))</f>
      </c>
      <c r="G1503" s="36">
        <f>IF($D1503="","",ROUND($D1503-IF($F1503="",0,$F1503),2))</f>
      </c>
      <c r="H1503" s="35">
        <f>IF(OR($D1503="",$K1503=""),"",COUNTIF(Payments!$G$5:$G$2500,$K1503))</f>
      </c>
      <c r="I1503" s="37">
        <f>IF($D1503="","",IF(OR($F1503="",$F1503=0),"Pending",IF(ROUND($F1503-$D1503,2)&gt;0,"Overpaid",IF(ROUND($F1503-$D1503,2)=0,"Paid","Partial"))))</f>
      </c>
      <c r="J1503" s="29"/>
      <c r="K1503">
        <f>IF($A1503="","","#"&amp;TRIM(SUBSTITUTE(SUBSTITUTE(SUBSTITUTE(SUBSTITUTE(SUBSTITUTE(SUBSTITUTE($A1503,"-",""),"(",""),")",""),".",""),"+","")," ","")))</f>
      </c>
    </row>
    <row r="1504" spans="1:11" x14ac:dyDescent="0.3">
      <c r="A1504" s="28"/>
      <c r="B1504" s="29"/>
      <c r="C1504" s="30"/>
      <c r="D1504" s="31"/>
      <c r="E1504" s="33">
        <f>IF(OR($D1504="",$K1504=""),"",IF(COUNTIFS(Payments!$G$5:$G$2500,$K1504,Payments!$C$5:$C$2500,"&lt;&gt;")=0,"",_xlfn.MAXIFS(Payments!$C$5:$C$2500,Payments!$G$5:$G$2500,$K1504)))</f>
      </c>
      <c r="F1504" s="34">
        <f>IF(OR($D1504="",$K1504=""),"",SUMIF(Payments!$G$5:$G$2500,$K1504,Payments!$D$5:$D$2500))</f>
      </c>
      <c r="G1504" s="36">
        <f>IF($D1504="","",ROUND($D1504-IF($F1504="",0,$F1504),2))</f>
      </c>
      <c r="H1504" s="35">
        <f>IF(OR($D1504="",$K1504=""),"",COUNTIF(Payments!$G$5:$G$2500,$K1504))</f>
      </c>
      <c r="I1504" s="37">
        <f>IF($D1504="","",IF(OR($F1504="",$F1504=0),"Pending",IF(ROUND($F1504-$D1504,2)&gt;0,"Overpaid",IF(ROUND($F1504-$D1504,2)=0,"Paid","Partial"))))</f>
      </c>
      <c r="J1504" s="29"/>
      <c r="K1504">
        <f>IF($A1504="","","#"&amp;TRIM(SUBSTITUTE(SUBSTITUTE(SUBSTITUTE(SUBSTITUTE(SUBSTITUTE(SUBSTITUTE($A1504,"-",""),"(",""),")",""),".",""),"+","")," ","")))</f>
      </c>
    </row>
    <row r="1505" spans="1:11" x14ac:dyDescent="0.3">
      <c r="A1505" s="28"/>
      <c r="B1505" s="29"/>
      <c r="C1505" s="30"/>
      <c r="D1505" s="31"/>
      <c r="E1505" s="33">
        <f>IF(OR($D1505="",$K1505=""),"",IF(COUNTIFS(Payments!$G$5:$G$2500,$K1505,Payments!$C$5:$C$2500,"&lt;&gt;")=0,"",_xlfn.MAXIFS(Payments!$C$5:$C$2500,Payments!$G$5:$G$2500,$K1505)))</f>
      </c>
      <c r="F1505" s="34">
        <f>IF(OR($D1505="",$K1505=""),"",SUMIF(Payments!$G$5:$G$2500,$K1505,Payments!$D$5:$D$2500))</f>
      </c>
      <c r="G1505" s="36">
        <f>IF($D1505="","",ROUND($D1505-IF($F1505="",0,$F1505),2))</f>
      </c>
      <c r="H1505" s="35">
        <f>IF(OR($D1505="",$K1505=""),"",COUNTIF(Payments!$G$5:$G$2500,$K1505))</f>
      </c>
      <c r="I1505" s="37">
        <f>IF($D1505="","",IF(OR($F1505="",$F1505=0),"Pending",IF(ROUND($F1505-$D1505,2)&gt;0,"Overpaid",IF(ROUND($F1505-$D1505,2)=0,"Paid","Partial"))))</f>
      </c>
      <c r="J1505" s="29"/>
      <c r="K1505">
        <f>IF($A1505="","","#"&amp;TRIM(SUBSTITUTE(SUBSTITUTE(SUBSTITUTE(SUBSTITUTE(SUBSTITUTE(SUBSTITUTE($A1505,"-",""),"(",""),")",""),".",""),"+","")," ","")))</f>
      </c>
    </row>
    <row r="1506" spans="1:11" x14ac:dyDescent="0.3">
      <c r="A1506" s="28"/>
      <c r="B1506" s="29"/>
      <c r="C1506" s="30"/>
      <c r="D1506" s="31"/>
      <c r="E1506" s="33">
        <f>IF(OR($D1506="",$K1506=""),"",IF(COUNTIFS(Payments!$G$5:$G$2500,$K1506,Payments!$C$5:$C$2500,"&lt;&gt;")=0,"",_xlfn.MAXIFS(Payments!$C$5:$C$2500,Payments!$G$5:$G$2500,$K1506)))</f>
      </c>
      <c r="F1506" s="34">
        <f>IF(OR($D1506="",$K1506=""),"",SUMIF(Payments!$G$5:$G$2500,$K1506,Payments!$D$5:$D$2500))</f>
      </c>
      <c r="G1506" s="36">
        <f>IF($D1506="","",ROUND($D1506-IF($F1506="",0,$F1506),2))</f>
      </c>
      <c r="H1506" s="35">
        <f>IF(OR($D1506="",$K1506=""),"",COUNTIF(Payments!$G$5:$G$2500,$K1506))</f>
      </c>
      <c r="I1506" s="37">
        <f>IF($D1506="","",IF(OR($F1506="",$F1506=0),"Pending",IF(ROUND($F1506-$D1506,2)&gt;0,"Overpaid",IF(ROUND($F1506-$D1506,2)=0,"Paid","Partial"))))</f>
      </c>
      <c r="J1506" s="29"/>
      <c r="K1506">
        <f>IF($A1506="","","#"&amp;TRIM(SUBSTITUTE(SUBSTITUTE(SUBSTITUTE(SUBSTITUTE(SUBSTITUTE(SUBSTITUTE($A1506,"-",""),"(",""),")",""),".",""),"+","")," ","")))</f>
      </c>
    </row>
    <row r="1507" spans="1:11" x14ac:dyDescent="0.3">
      <c r="A1507" s="28"/>
      <c r="B1507" s="29"/>
      <c r="C1507" s="30"/>
      <c r="D1507" s="31"/>
      <c r="E1507" s="33">
        <f>IF(OR($D1507="",$K1507=""),"",IF(COUNTIFS(Payments!$G$5:$G$2500,$K1507,Payments!$C$5:$C$2500,"&lt;&gt;")=0,"",_xlfn.MAXIFS(Payments!$C$5:$C$2500,Payments!$G$5:$G$2500,$K1507)))</f>
      </c>
      <c r="F1507" s="34">
        <f>IF(OR($D1507="",$K1507=""),"",SUMIF(Payments!$G$5:$G$2500,$K1507,Payments!$D$5:$D$2500))</f>
      </c>
      <c r="G1507" s="36">
        <f>IF($D1507="","",ROUND($D1507-IF($F1507="",0,$F1507),2))</f>
      </c>
      <c r="H1507" s="35">
        <f>IF(OR($D1507="",$K1507=""),"",COUNTIF(Payments!$G$5:$G$2500,$K1507))</f>
      </c>
      <c r="I1507" s="37">
        <f>IF($D1507="","",IF(OR($F1507="",$F1507=0),"Pending",IF(ROUND($F1507-$D1507,2)&gt;0,"Overpaid",IF(ROUND($F1507-$D1507,2)=0,"Paid","Partial"))))</f>
      </c>
      <c r="J1507" s="29"/>
      <c r="K1507">
        <f>IF($A1507="","","#"&amp;TRIM(SUBSTITUTE(SUBSTITUTE(SUBSTITUTE(SUBSTITUTE(SUBSTITUTE(SUBSTITUTE($A1507,"-",""),"(",""),")",""),".",""),"+","")," ","")))</f>
      </c>
    </row>
    <row r="1508" spans="1:11" x14ac:dyDescent="0.3">
      <c r="A1508" s="28"/>
      <c r="B1508" s="29"/>
      <c r="C1508" s="30"/>
      <c r="D1508" s="31"/>
      <c r="E1508" s="33">
        <f>IF(OR($D1508="",$K1508=""),"",IF(COUNTIFS(Payments!$G$5:$G$2500,$K1508,Payments!$C$5:$C$2500,"&lt;&gt;")=0,"",_xlfn.MAXIFS(Payments!$C$5:$C$2500,Payments!$G$5:$G$2500,$K1508)))</f>
      </c>
      <c r="F1508" s="34">
        <f>IF(OR($D1508="",$K1508=""),"",SUMIF(Payments!$G$5:$G$2500,$K1508,Payments!$D$5:$D$2500))</f>
      </c>
      <c r="G1508" s="36">
        <f>IF($D1508="","",ROUND($D1508-IF($F1508="",0,$F1508),2))</f>
      </c>
      <c r="H1508" s="35">
        <f>IF(OR($D1508="",$K1508=""),"",COUNTIF(Payments!$G$5:$G$2500,$K1508))</f>
      </c>
      <c r="I1508" s="37">
        <f>IF($D1508="","",IF(OR($F1508="",$F1508=0),"Pending",IF(ROUND($F1508-$D1508,2)&gt;0,"Overpaid",IF(ROUND($F1508-$D1508,2)=0,"Paid","Partial"))))</f>
      </c>
      <c r="J1508" s="29"/>
      <c r="K1508">
        <f>IF($A1508="","","#"&amp;TRIM(SUBSTITUTE(SUBSTITUTE(SUBSTITUTE(SUBSTITUTE(SUBSTITUTE(SUBSTITUTE($A1508,"-",""),"(",""),")",""),".",""),"+","")," ","")))</f>
      </c>
    </row>
    <row r="1509" spans="1:11" x14ac:dyDescent="0.3">
      <c r="A1509" s="28"/>
      <c r="B1509" s="29"/>
      <c r="C1509" s="30"/>
      <c r="D1509" s="31"/>
      <c r="E1509" s="33">
        <f>IF(OR($D1509="",$K1509=""),"",IF(COUNTIFS(Payments!$G$5:$G$2500,$K1509,Payments!$C$5:$C$2500,"&lt;&gt;")=0,"",_xlfn.MAXIFS(Payments!$C$5:$C$2500,Payments!$G$5:$G$2500,$K1509)))</f>
      </c>
      <c r="F1509" s="34">
        <f>IF(OR($D1509="",$K1509=""),"",SUMIF(Payments!$G$5:$G$2500,$K1509,Payments!$D$5:$D$2500))</f>
      </c>
      <c r="G1509" s="36">
        <f>IF($D1509="","",ROUND($D1509-IF($F1509="",0,$F1509),2))</f>
      </c>
      <c r="H1509" s="35">
        <f>IF(OR($D1509="",$K1509=""),"",COUNTIF(Payments!$G$5:$G$2500,$K1509))</f>
      </c>
      <c r="I1509" s="37">
        <f>IF($D1509="","",IF(OR($F1509="",$F1509=0),"Pending",IF(ROUND($F1509-$D1509,2)&gt;0,"Overpaid",IF(ROUND($F1509-$D1509,2)=0,"Paid","Partial"))))</f>
      </c>
      <c r="J1509" s="29"/>
      <c r="K1509">
        <f>IF($A1509="","","#"&amp;TRIM(SUBSTITUTE(SUBSTITUTE(SUBSTITUTE(SUBSTITUTE(SUBSTITUTE(SUBSTITUTE($A1509,"-",""),"(",""),")",""),".",""),"+","")," ","")))</f>
      </c>
    </row>
    <row r="1510" spans="1:11" x14ac:dyDescent="0.3">
      <c r="A1510" s="28"/>
      <c r="B1510" s="29"/>
      <c r="C1510" s="30"/>
      <c r="D1510" s="31"/>
      <c r="E1510" s="33">
        <f>IF(OR($D1510="",$K1510=""),"",IF(COUNTIFS(Payments!$G$5:$G$2500,$K1510,Payments!$C$5:$C$2500,"&lt;&gt;")=0,"",_xlfn.MAXIFS(Payments!$C$5:$C$2500,Payments!$G$5:$G$2500,$K1510)))</f>
      </c>
      <c r="F1510" s="34">
        <f>IF(OR($D1510="",$K1510=""),"",SUMIF(Payments!$G$5:$G$2500,$K1510,Payments!$D$5:$D$2500))</f>
      </c>
      <c r="G1510" s="36">
        <f>IF($D1510="","",ROUND($D1510-IF($F1510="",0,$F1510),2))</f>
      </c>
      <c r="H1510" s="35">
        <f>IF(OR($D1510="",$K1510=""),"",COUNTIF(Payments!$G$5:$G$2500,$K1510))</f>
      </c>
      <c r="I1510" s="37">
        <f>IF($D1510="","",IF(OR($F1510="",$F1510=0),"Pending",IF(ROUND($F1510-$D1510,2)&gt;0,"Overpaid",IF(ROUND($F1510-$D1510,2)=0,"Paid","Partial"))))</f>
      </c>
      <c r="J1510" s="29"/>
      <c r="K1510">
        <f>IF($A1510="","","#"&amp;TRIM(SUBSTITUTE(SUBSTITUTE(SUBSTITUTE(SUBSTITUTE(SUBSTITUTE(SUBSTITUTE($A1510,"-",""),"(",""),")",""),".",""),"+","")," ","")))</f>
      </c>
    </row>
    <row r="1511" spans="1:11" x14ac:dyDescent="0.3">
      <c r="A1511" s="28"/>
      <c r="B1511" s="29"/>
      <c r="C1511" s="30"/>
      <c r="D1511" s="31"/>
      <c r="E1511" s="33">
        <f>IF(OR($D1511="",$K1511=""),"",IF(COUNTIFS(Payments!$G$5:$G$2500,$K1511,Payments!$C$5:$C$2500,"&lt;&gt;")=0,"",_xlfn.MAXIFS(Payments!$C$5:$C$2500,Payments!$G$5:$G$2500,$K1511)))</f>
      </c>
      <c r="F1511" s="34">
        <f>IF(OR($D1511="",$K1511=""),"",SUMIF(Payments!$G$5:$G$2500,$K1511,Payments!$D$5:$D$2500))</f>
      </c>
      <c r="G1511" s="36">
        <f>IF($D1511="","",ROUND($D1511-IF($F1511="",0,$F1511),2))</f>
      </c>
      <c r="H1511" s="35">
        <f>IF(OR($D1511="",$K1511=""),"",COUNTIF(Payments!$G$5:$G$2500,$K1511))</f>
      </c>
      <c r="I1511" s="37">
        <f>IF($D1511="","",IF(OR($F1511="",$F1511=0),"Pending",IF(ROUND($F1511-$D1511,2)&gt;0,"Overpaid",IF(ROUND($F1511-$D1511,2)=0,"Paid","Partial"))))</f>
      </c>
      <c r="J1511" s="29"/>
      <c r="K1511">
        <f>IF($A1511="","","#"&amp;TRIM(SUBSTITUTE(SUBSTITUTE(SUBSTITUTE(SUBSTITUTE(SUBSTITUTE(SUBSTITUTE($A1511,"-",""),"(",""),")",""),".",""),"+","")," ","")))</f>
      </c>
    </row>
    <row r="1512" spans="1:11" x14ac:dyDescent="0.3">
      <c r="A1512" s="28"/>
      <c r="B1512" s="29"/>
      <c r="C1512" s="30"/>
      <c r="D1512" s="31"/>
      <c r="E1512" s="33">
        <f>IF(OR($D1512="",$K1512=""),"",IF(COUNTIFS(Payments!$G$5:$G$2500,$K1512,Payments!$C$5:$C$2500,"&lt;&gt;")=0,"",_xlfn.MAXIFS(Payments!$C$5:$C$2500,Payments!$G$5:$G$2500,$K1512)))</f>
      </c>
      <c r="F1512" s="34">
        <f>IF(OR($D1512="",$K1512=""),"",SUMIF(Payments!$G$5:$G$2500,$K1512,Payments!$D$5:$D$2500))</f>
      </c>
      <c r="G1512" s="36">
        <f>IF($D1512="","",ROUND($D1512-IF($F1512="",0,$F1512),2))</f>
      </c>
      <c r="H1512" s="35">
        <f>IF(OR($D1512="",$K1512=""),"",COUNTIF(Payments!$G$5:$G$2500,$K1512))</f>
      </c>
      <c r="I1512" s="37">
        <f>IF($D1512="","",IF(OR($F1512="",$F1512=0),"Pending",IF(ROUND($F1512-$D1512,2)&gt;0,"Overpaid",IF(ROUND($F1512-$D1512,2)=0,"Paid","Partial"))))</f>
      </c>
      <c r="J1512" s="29"/>
      <c r="K1512">
        <f>IF($A1512="","","#"&amp;TRIM(SUBSTITUTE(SUBSTITUTE(SUBSTITUTE(SUBSTITUTE(SUBSTITUTE(SUBSTITUTE($A1512,"-",""),"(",""),")",""),".",""),"+","")," ","")))</f>
      </c>
    </row>
    <row r="1513" spans="1:11" x14ac:dyDescent="0.3">
      <c r="A1513" s="28"/>
      <c r="B1513" s="29"/>
      <c r="C1513" s="30"/>
      <c r="D1513" s="31"/>
      <c r="E1513" s="33">
        <f>IF(OR($D1513="",$K1513=""),"",IF(COUNTIFS(Payments!$G$5:$G$2500,$K1513,Payments!$C$5:$C$2500,"&lt;&gt;")=0,"",_xlfn.MAXIFS(Payments!$C$5:$C$2500,Payments!$G$5:$G$2500,$K1513)))</f>
      </c>
      <c r="F1513" s="34">
        <f>IF(OR($D1513="",$K1513=""),"",SUMIF(Payments!$G$5:$G$2500,$K1513,Payments!$D$5:$D$2500))</f>
      </c>
      <c r="G1513" s="36">
        <f>IF($D1513="","",ROUND($D1513-IF($F1513="",0,$F1513),2))</f>
      </c>
      <c r="H1513" s="35">
        <f>IF(OR($D1513="",$K1513=""),"",COUNTIF(Payments!$G$5:$G$2500,$K1513))</f>
      </c>
      <c r="I1513" s="37">
        <f>IF($D1513="","",IF(OR($F1513="",$F1513=0),"Pending",IF(ROUND($F1513-$D1513,2)&gt;0,"Overpaid",IF(ROUND($F1513-$D1513,2)=0,"Paid","Partial"))))</f>
      </c>
      <c r="J1513" s="29"/>
      <c r="K1513">
        <f>IF($A1513="","","#"&amp;TRIM(SUBSTITUTE(SUBSTITUTE(SUBSTITUTE(SUBSTITUTE(SUBSTITUTE(SUBSTITUTE($A1513,"-",""),"(",""),")",""),".",""),"+","")," ","")))</f>
      </c>
    </row>
    <row r="1514" spans="1:11" x14ac:dyDescent="0.3">
      <c r="A1514" s="28"/>
      <c r="B1514" s="29"/>
      <c r="C1514" s="30"/>
      <c r="D1514" s="31"/>
      <c r="E1514" s="33">
        <f>IF(OR($D1514="",$K1514=""),"",IF(COUNTIFS(Payments!$G$5:$G$2500,$K1514,Payments!$C$5:$C$2500,"&lt;&gt;")=0,"",_xlfn.MAXIFS(Payments!$C$5:$C$2500,Payments!$G$5:$G$2500,$K1514)))</f>
      </c>
      <c r="F1514" s="34">
        <f>IF(OR($D1514="",$K1514=""),"",SUMIF(Payments!$G$5:$G$2500,$K1514,Payments!$D$5:$D$2500))</f>
      </c>
      <c r="G1514" s="36">
        <f>IF($D1514="","",ROUND($D1514-IF($F1514="",0,$F1514),2))</f>
      </c>
      <c r="H1514" s="35">
        <f>IF(OR($D1514="",$K1514=""),"",COUNTIF(Payments!$G$5:$G$2500,$K1514))</f>
      </c>
      <c r="I1514" s="37">
        <f>IF($D1514="","",IF(OR($F1514="",$F1514=0),"Pending",IF(ROUND($F1514-$D1514,2)&gt;0,"Overpaid",IF(ROUND($F1514-$D1514,2)=0,"Paid","Partial"))))</f>
      </c>
      <c r="J1514" s="29"/>
      <c r="K1514">
        <f>IF($A1514="","","#"&amp;TRIM(SUBSTITUTE(SUBSTITUTE(SUBSTITUTE(SUBSTITUTE(SUBSTITUTE(SUBSTITUTE($A1514,"-",""),"(",""),")",""),".",""),"+","")," ","")))</f>
      </c>
    </row>
    <row r="1515" spans="1:11" x14ac:dyDescent="0.3">
      <c r="A1515" s="28"/>
      <c r="B1515" s="29"/>
      <c r="C1515" s="30"/>
      <c r="D1515" s="31"/>
      <c r="E1515" s="33">
        <f>IF(OR($D1515="",$K1515=""),"",IF(COUNTIFS(Payments!$G$5:$G$2500,$K1515,Payments!$C$5:$C$2500,"&lt;&gt;")=0,"",_xlfn.MAXIFS(Payments!$C$5:$C$2500,Payments!$G$5:$G$2500,$K1515)))</f>
      </c>
      <c r="F1515" s="34">
        <f>IF(OR($D1515="",$K1515=""),"",SUMIF(Payments!$G$5:$G$2500,$K1515,Payments!$D$5:$D$2500))</f>
      </c>
      <c r="G1515" s="36">
        <f>IF($D1515="","",ROUND($D1515-IF($F1515="",0,$F1515),2))</f>
      </c>
      <c r="H1515" s="35">
        <f>IF(OR($D1515="",$K1515=""),"",COUNTIF(Payments!$G$5:$G$2500,$K1515))</f>
      </c>
      <c r="I1515" s="37">
        <f>IF($D1515="","",IF(OR($F1515="",$F1515=0),"Pending",IF(ROUND($F1515-$D1515,2)&gt;0,"Overpaid",IF(ROUND($F1515-$D1515,2)=0,"Paid","Partial"))))</f>
      </c>
      <c r="J1515" s="29"/>
      <c r="K1515">
        <f>IF($A1515="","","#"&amp;TRIM(SUBSTITUTE(SUBSTITUTE(SUBSTITUTE(SUBSTITUTE(SUBSTITUTE(SUBSTITUTE($A1515,"-",""),"(",""),")",""),".",""),"+","")," ","")))</f>
      </c>
    </row>
    <row r="1516" spans="1:11" x14ac:dyDescent="0.3">
      <c r="A1516" s="28"/>
      <c r="B1516" s="29"/>
      <c r="C1516" s="30"/>
      <c r="D1516" s="31"/>
      <c r="E1516" s="33">
        <f>IF(OR($D1516="",$K1516=""),"",IF(COUNTIFS(Payments!$G$5:$G$2500,$K1516,Payments!$C$5:$C$2500,"&lt;&gt;")=0,"",_xlfn.MAXIFS(Payments!$C$5:$C$2500,Payments!$G$5:$G$2500,$K1516)))</f>
      </c>
      <c r="F1516" s="34">
        <f>IF(OR($D1516="",$K1516=""),"",SUMIF(Payments!$G$5:$G$2500,$K1516,Payments!$D$5:$D$2500))</f>
      </c>
      <c r="G1516" s="36">
        <f>IF($D1516="","",ROUND($D1516-IF($F1516="",0,$F1516),2))</f>
      </c>
      <c r="H1516" s="35">
        <f>IF(OR($D1516="",$K1516=""),"",COUNTIF(Payments!$G$5:$G$2500,$K1516))</f>
      </c>
      <c r="I1516" s="37">
        <f>IF($D1516="","",IF(OR($F1516="",$F1516=0),"Pending",IF(ROUND($F1516-$D1516,2)&gt;0,"Overpaid",IF(ROUND($F1516-$D1516,2)=0,"Paid","Partial"))))</f>
      </c>
      <c r="J1516" s="29"/>
      <c r="K1516">
        <f>IF($A1516="","","#"&amp;TRIM(SUBSTITUTE(SUBSTITUTE(SUBSTITUTE(SUBSTITUTE(SUBSTITUTE(SUBSTITUTE($A1516,"-",""),"(",""),")",""),".",""),"+","")," ","")))</f>
      </c>
    </row>
    <row r="1517" spans="1:11" x14ac:dyDescent="0.3">
      <c r="A1517" s="28"/>
      <c r="B1517" s="29"/>
      <c r="C1517" s="30"/>
      <c r="D1517" s="31"/>
      <c r="E1517" s="33">
        <f>IF(OR($D1517="",$K1517=""),"",IF(COUNTIFS(Payments!$G$5:$G$2500,$K1517,Payments!$C$5:$C$2500,"&lt;&gt;")=0,"",_xlfn.MAXIFS(Payments!$C$5:$C$2500,Payments!$G$5:$G$2500,$K1517)))</f>
      </c>
      <c r="F1517" s="34">
        <f>IF(OR($D1517="",$K1517=""),"",SUMIF(Payments!$G$5:$G$2500,$K1517,Payments!$D$5:$D$2500))</f>
      </c>
      <c r="G1517" s="36">
        <f>IF($D1517="","",ROUND($D1517-IF($F1517="",0,$F1517),2))</f>
      </c>
      <c r="H1517" s="35">
        <f>IF(OR($D1517="",$K1517=""),"",COUNTIF(Payments!$G$5:$G$2500,$K1517))</f>
      </c>
      <c r="I1517" s="37">
        <f>IF($D1517="","",IF(OR($F1517="",$F1517=0),"Pending",IF(ROUND($F1517-$D1517,2)&gt;0,"Overpaid",IF(ROUND($F1517-$D1517,2)=0,"Paid","Partial"))))</f>
      </c>
      <c r="J1517" s="29"/>
      <c r="K1517">
        <f>IF($A1517="","","#"&amp;TRIM(SUBSTITUTE(SUBSTITUTE(SUBSTITUTE(SUBSTITUTE(SUBSTITUTE(SUBSTITUTE($A1517,"-",""),"(",""),")",""),".",""),"+","")," ","")))</f>
      </c>
    </row>
    <row r="1518" spans="1:11" x14ac:dyDescent="0.3">
      <c r="A1518" s="28"/>
      <c r="B1518" s="29"/>
      <c r="C1518" s="30"/>
      <c r="D1518" s="31"/>
      <c r="E1518" s="33">
        <f>IF(OR($D1518="",$K1518=""),"",IF(COUNTIFS(Payments!$G$5:$G$2500,$K1518,Payments!$C$5:$C$2500,"&lt;&gt;")=0,"",_xlfn.MAXIFS(Payments!$C$5:$C$2500,Payments!$G$5:$G$2500,$K1518)))</f>
      </c>
      <c r="F1518" s="34">
        <f>IF(OR($D1518="",$K1518=""),"",SUMIF(Payments!$G$5:$G$2500,$K1518,Payments!$D$5:$D$2500))</f>
      </c>
      <c r="G1518" s="36">
        <f>IF($D1518="","",ROUND($D1518-IF($F1518="",0,$F1518),2))</f>
      </c>
      <c r="H1518" s="35">
        <f>IF(OR($D1518="",$K1518=""),"",COUNTIF(Payments!$G$5:$G$2500,$K1518))</f>
      </c>
      <c r="I1518" s="37">
        <f>IF($D1518="","",IF(OR($F1518="",$F1518=0),"Pending",IF(ROUND($F1518-$D1518,2)&gt;0,"Overpaid",IF(ROUND($F1518-$D1518,2)=0,"Paid","Partial"))))</f>
      </c>
      <c r="J1518" s="29"/>
      <c r="K1518">
        <f>IF($A1518="","","#"&amp;TRIM(SUBSTITUTE(SUBSTITUTE(SUBSTITUTE(SUBSTITUTE(SUBSTITUTE(SUBSTITUTE($A1518,"-",""),"(",""),")",""),".",""),"+","")," ","")))</f>
      </c>
    </row>
    <row r="1519" spans="1:11" x14ac:dyDescent="0.3">
      <c r="A1519" s="28"/>
      <c r="B1519" s="29"/>
      <c r="C1519" s="30"/>
      <c r="D1519" s="31"/>
      <c r="E1519" s="33">
        <f>IF(OR($D1519="",$K1519=""),"",IF(COUNTIFS(Payments!$G$5:$G$2500,$K1519,Payments!$C$5:$C$2500,"&lt;&gt;")=0,"",_xlfn.MAXIFS(Payments!$C$5:$C$2500,Payments!$G$5:$G$2500,$K1519)))</f>
      </c>
      <c r="F1519" s="34">
        <f>IF(OR($D1519="",$K1519=""),"",SUMIF(Payments!$G$5:$G$2500,$K1519,Payments!$D$5:$D$2500))</f>
      </c>
      <c r="G1519" s="36">
        <f>IF($D1519="","",ROUND($D1519-IF($F1519="",0,$F1519),2))</f>
      </c>
      <c r="H1519" s="35">
        <f>IF(OR($D1519="",$K1519=""),"",COUNTIF(Payments!$G$5:$G$2500,$K1519))</f>
      </c>
      <c r="I1519" s="37">
        <f>IF($D1519="","",IF(OR($F1519="",$F1519=0),"Pending",IF(ROUND($F1519-$D1519,2)&gt;0,"Overpaid",IF(ROUND($F1519-$D1519,2)=0,"Paid","Partial"))))</f>
      </c>
      <c r="J1519" s="29"/>
      <c r="K1519">
        <f>IF($A1519="","","#"&amp;TRIM(SUBSTITUTE(SUBSTITUTE(SUBSTITUTE(SUBSTITUTE(SUBSTITUTE(SUBSTITUTE($A1519,"-",""),"(",""),")",""),".",""),"+","")," ","")))</f>
      </c>
    </row>
    <row r="1520" spans="1:11" x14ac:dyDescent="0.3">
      <c r="A1520" s="28"/>
      <c r="B1520" s="29"/>
      <c r="C1520" s="30"/>
      <c r="D1520" s="31"/>
      <c r="E1520" s="33">
        <f>IF(OR($D1520="",$K1520=""),"",IF(COUNTIFS(Payments!$G$5:$G$2500,$K1520,Payments!$C$5:$C$2500,"&lt;&gt;")=0,"",_xlfn.MAXIFS(Payments!$C$5:$C$2500,Payments!$G$5:$G$2500,$K1520)))</f>
      </c>
      <c r="F1520" s="34">
        <f>IF(OR($D1520="",$K1520=""),"",SUMIF(Payments!$G$5:$G$2500,$K1520,Payments!$D$5:$D$2500))</f>
      </c>
      <c r="G1520" s="36">
        <f>IF($D1520="","",ROUND($D1520-IF($F1520="",0,$F1520),2))</f>
      </c>
      <c r="H1520" s="35">
        <f>IF(OR($D1520="",$K1520=""),"",COUNTIF(Payments!$G$5:$G$2500,$K1520))</f>
      </c>
      <c r="I1520" s="37">
        <f>IF($D1520="","",IF(OR($F1520="",$F1520=0),"Pending",IF(ROUND($F1520-$D1520,2)&gt;0,"Overpaid",IF(ROUND($F1520-$D1520,2)=0,"Paid","Partial"))))</f>
      </c>
      <c r="J1520" s="29"/>
      <c r="K1520">
        <f>IF($A1520="","","#"&amp;TRIM(SUBSTITUTE(SUBSTITUTE(SUBSTITUTE(SUBSTITUTE(SUBSTITUTE(SUBSTITUTE($A1520,"-",""),"(",""),")",""),".",""),"+","")," ","")))</f>
      </c>
    </row>
    <row r="1521" spans="1:11" x14ac:dyDescent="0.3">
      <c r="A1521" s="28"/>
      <c r="B1521" s="29"/>
      <c r="C1521" s="30"/>
      <c r="D1521" s="31"/>
      <c r="E1521" s="33">
        <f>IF(OR($D1521="",$K1521=""),"",IF(COUNTIFS(Payments!$G$5:$G$2500,$K1521,Payments!$C$5:$C$2500,"&lt;&gt;")=0,"",_xlfn.MAXIFS(Payments!$C$5:$C$2500,Payments!$G$5:$G$2500,$K1521)))</f>
      </c>
      <c r="F1521" s="34">
        <f>IF(OR($D1521="",$K1521=""),"",SUMIF(Payments!$G$5:$G$2500,$K1521,Payments!$D$5:$D$2500))</f>
      </c>
      <c r="G1521" s="36">
        <f>IF($D1521="","",ROUND($D1521-IF($F1521="",0,$F1521),2))</f>
      </c>
      <c r="H1521" s="35">
        <f>IF(OR($D1521="",$K1521=""),"",COUNTIF(Payments!$G$5:$G$2500,$K1521))</f>
      </c>
      <c r="I1521" s="37">
        <f>IF($D1521="","",IF(OR($F1521="",$F1521=0),"Pending",IF(ROUND($F1521-$D1521,2)&gt;0,"Overpaid",IF(ROUND($F1521-$D1521,2)=0,"Paid","Partial"))))</f>
      </c>
      <c r="J1521" s="29"/>
      <c r="K1521">
        <f>IF($A1521="","","#"&amp;TRIM(SUBSTITUTE(SUBSTITUTE(SUBSTITUTE(SUBSTITUTE(SUBSTITUTE(SUBSTITUTE($A1521,"-",""),"(",""),")",""),".",""),"+","")," ","")))</f>
      </c>
    </row>
    <row r="1522" spans="1:11" x14ac:dyDescent="0.3">
      <c r="A1522" s="28"/>
      <c r="B1522" s="29"/>
      <c r="C1522" s="30"/>
      <c r="D1522" s="31"/>
      <c r="E1522" s="33">
        <f>IF(OR($D1522="",$K1522=""),"",IF(COUNTIFS(Payments!$G$5:$G$2500,$K1522,Payments!$C$5:$C$2500,"&lt;&gt;")=0,"",_xlfn.MAXIFS(Payments!$C$5:$C$2500,Payments!$G$5:$G$2500,$K1522)))</f>
      </c>
      <c r="F1522" s="34">
        <f>IF(OR($D1522="",$K1522=""),"",SUMIF(Payments!$G$5:$G$2500,$K1522,Payments!$D$5:$D$2500))</f>
      </c>
      <c r="G1522" s="36">
        <f>IF($D1522="","",ROUND($D1522-IF($F1522="",0,$F1522),2))</f>
      </c>
      <c r="H1522" s="35">
        <f>IF(OR($D1522="",$K1522=""),"",COUNTIF(Payments!$G$5:$G$2500,$K1522))</f>
      </c>
      <c r="I1522" s="37">
        <f>IF($D1522="","",IF(OR($F1522="",$F1522=0),"Pending",IF(ROUND($F1522-$D1522,2)&gt;0,"Overpaid",IF(ROUND($F1522-$D1522,2)=0,"Paid","Partial"))))</f>
      </c>
      <c r="J1522" s="29"/>
      <c r="K1522">
        <f>IF($A1522="","","#"&amp;TRIM(SUBSTITUTE(SUBSTITUTE(SUBSTITUTE(SUBSTITUTE(SUBSTITUTE(SUBSTITUTE($A1522,"-",""),"(",""),")",""),".",""),"+","")," ","")))</f>
      </c>
    </row>
    <row r="1523" spans="1:11" x14ac:dyDescent="0.3">
      <c r="A1523" s="28"/>
      <c r="B1523" s="29"/>
      <c r="C1523" s="30"/>
      <c r="D1523" s="31"/>
      <c r="E1523" s="33">
        <f>IF(OR($D1523="",$K1523=""),"",IF(COUNTIFS(Payments!$G$5:$G$2500,$K1523,Payments!$C$5:$C$2500,"&lt;&gt;")=0,"",_xlfn.MAXIFS(Payments!$C$5:$C$2500,Payments!$G$5:$G$2500,$K1523)))</f>
      </c>
      <c r="F1523" s="34">
        <f>IF(OR($D1523="",$K1523=""),"",SUMIF(Payments!$G$5:$G$2500,$K1523,Payments!$D$5:$D$2500))</f>
      </c>
      <c r="G1523" s="36">
        <f>IF($D1523="","",ROUND($D1523-IF($F1523="",0,$F1523),2))</f>
      </c>
      <c r="H1523" s="35">
        <f>IF(OR($D1523="",$K1523=""),"",COUNTIF(Payments!$G$5:$G$2500,$K1523))</f>
      </c>
      <c r="I1523" s="37">
        <f>IF($D1523="","",IF(OR($F1523="",$F1523=0),"Pending",IF(ROUND($F1523-$D1523,2)&gt;0,"Overpaid",IF(ROUND($F1523-$D1523,2)=0,"Paid","Partial"))))</f>
      </c>
      <c r="J1523" s="29"/>
      <c r="K1523">
        <f>IF($A1523="","","#"&amp;TRIM(SUBSTITUTE(SUBSTITUTE(SUBSTITUTE(SUBSTITUTE(SUBSTITUTE(SUBSTITUTE($A1523,"-",""),"(",""),")",""),".",""),"+","")," ","")))</f>
      </c>
    </row>
    <row r="1524" spans="1:11" x14ac:dyDescent="0.3">
      <c r="A1524" s="28"/>
      <c r="B1524" s="29"/>
      <c r="C1524" s="30"/>
      <c r="D1524" s="31"/>
      <c r="E1524" s="33">
        <f>IF(OR($D1524="",$K1524=""),"",IF(COUNTIFS(Payments!$G$5:$G$2500,$K1524,Payments!$C$5:$C$2500,"&lt;&gt;")=0,"",_xlfn.MAXIFS(Payments!$C$5:$C$2500,Payments!$G$5:$G$2500,$K1524)))</f>
      </c>
      <c r="F1524" s="34">
        <f>IF(OR($D1524="",$K1524=""),"",SUMIF(Payments!$G$5:$G$2500,$K1524,Payments!$D$5:$D$2500))</f>
      </c>
      <c r="G1524" s="36">
        <f>IF($D1524="","",ROUND($D1524-IF($F1524="",0,$F1524),2))</f>
      </c>
      <c r="H1524" s="35">
        <f>IF(OR($D1524="",$K1524=""),"",COUNTIF(Payments!$G$5:$G$2500,$K1524))</f>
      </c>
      <c r="I1524" s="37">
        <f>IF($D1524="","",IF(OR($F1524="",$F1524=0),"Pending",IF(ROUND($F1524-$D1524,2)&gt;0,"Overpaid",IF(ROUND($F1524-$D1524,2)=0,"Paid","Partial"))))</f>
      </c>
      <c r="J1524" s="29"/>
      <c r="K1524">
        <f>IF($A1524="","","#"&amp;TRIM(SUBSTITUTE(SUBSTITUTE(SUBSTITUTE(SUBSTITUTE(SUBSTITUTE(SUBSTITUTE($A1524,"-",""),"(",""),")",""),".",""),"+","")," ","")))</f>
      </c>
    </row>
    <row r="1525" spans="1:11" x14ac:dyDescent="0.3">
      <c r="A1525" s="28"/>
      <c r="B1525" s="29"/>
      <c r="C1525" s="30"/>
      <c r="D1525" s="31"/>
      <c r="E1525" s="33">
        <f>IF(OR($D1525="",$K1525=""),"",IF(COUNTIFS(Payments!$G$5:$G$2500,$K1525,Payments!$C$5:$C$2500,"&lt;&gt;")=0,"",_xlfn.MAXIFS(Payments!$C$5:$C$2500,Payments!$G$5:$G$2500,$K1525)))</f>
      </c>
      <c r="F1525" s="34">
        <f>IF(OR($D1525="",$K1525=""),"",SUMIF(Payments!$G$5:$G$2500,$K1525,Payments!$D$5:$D$2500))</f>
      </c>
      <c r="G1525" s="36">
        <f>IF($D1525="","",ROUND($D1525-IF($F1525="",0,$F1525),2))</f>
      </c>
      <c r="H1525" s="35">
        <f>IF(OR($D1525="",$K1525=""),"",COUNTIF(Payments!$G$5:$G$2500,$K1525))</f>
      </c>
      <c r="I1525" s="37">
        <f>IF($D1525="","",IF(OR($F1525="",$F1525=0),"Pending",IF(ROUND($F1525-$D1525,2)&gt;0,"Overpaid",IF(ROUND($F1525-$D1525,2)=0,"Paid","Partial"))))</f>
      </c>
      <c r="J1525" s="29"/>
      <c r="K1525">
        <f>IF($A1525="","","#"&amp;TRIM(SUBSTITUTE(SUBSTITUTE(SUBSTITUTE(SUBSTITUTE(SUBSTITUTE(SUBSTITUTE($A1525,"-",""),"(",""),")",""),".",""),"+","")," ","")))</f>
      </c>
    </row>
    <row r="1526" spans="1:11" x14ac:dyDescent="0.3">
      <c r="A1526" s="28"/>
      <c r="B1526" s="29"/>
      <c r="C1526" s="30"/>
      <c r="D1526" s="31"/>
      <c r="E1526" s="33">
        <f>IF(OR($D1526="",$K1526=""),"",IF(COUNTIFS(Payments!$G$5:$G$2500,$K1526,Payments!$C$5:$C$2500,"&lt;&gt;")=0,"",_xlfn.MAXIFS(Payments!$C$5:$C$2500,Payments!$G$5:$G$2500,$K1526)))</f>
      </c>
      <c r="F1526" s="34">
        <f>IF(OR($D1526="",$K1526=""),"",SUMIF(Payments!$G$5:$G$2500,$K1526,Payments!$D$5:$D$2500))</f>
      </c>
      <c r="G1526" s="36">
        <f>IF($D1526="","",ROUND($D1526-IF($F1526="",0,$F1526),2))</f>
      </c>
      <c r="H1526" s="35">
        <f>IF(OR($D1526="",$K1526=""),"",COUNTIF(Payments!$G$5:$G$2500,$K1526))</f>
      </c>
      <c r="I1526" s="37">
        <f>IF($D1526="","",IF(OR($F1526="",$F1526=0),"Pending",IF(ROUND($F1526-$D1526,2)&gt;0,"Overpaid",IF(ROUND($F1526-$D1526,2)=0,"Paid","Partial"))))</f>
      </c>
      <c r="J1526" s="29"/>
      <c r="K1526">
        <f>IF($A1526="","","#"&amp;TRIM(SUBSTITUTE(SUBSTITUTE(SUBSTITUTE(SUBSTITUTE(SUBSTITUTE(SUBSTITUTE($A1526,"-",""),"(",""),")",""),".",""),"+","")," ","")))</f>
      </c>
    </row>
    <row r="1527" spans="1:11" x14ac:dyDescent="0.3">
      <c r="A1527" s="28"/>
      <c r="B1527" s="29"/>
      <c r="C1527" s="30"/>
      <c r="D1527" s="31"/>
      <c r="E1527" s="33">
        <f>IF(OR($D1527="",$K1527=""),"",IF(COUNTIFS(Payments!$G$5:$G$2500,$K1527,Payments!$C$5:$C$2500,"&lt;&gt;")=0,"",_xlfn.MAXIFS(Payments!$C$5:$C$2500,Payments!$G$5:$G$2500,$K1527)))</f>
      </c>
      <c r="F1527" s="34">
        <f>IF(OR($D1527="",$K1527=""),"",SUMIF(Payments!$G$5:$G$2500,$K1527,Payments!$D$5:$D$2500))</f>
      </c>
      <c r="G1527" s="36">
        <f>IF($D1527="","",ROUND($D1527-IF($F1527="",0,$F1527),2))</f>
      </c>
      <c r="H1527" s="35">
        <f>IF(OR($D1527="",$K1527=""),"",COUNTIF(Payments!$G$5:$G$2500,$K1527))</f>
      </c>
      <c r="I1527" s="37">
        <f>IF($D1527="","",IF(OR($F1527="",$F1527=0),"Pending",IF(ROUND($F1527-$D1527,2)&gt;0,"Overpaid",IF(ROUND($F1527-$D1527,2)=0,"Paid","Partial"))))</f>
      </c>
      <c r="J1527" s="29"/>
      <c r="K1527">
        <f>IF($A1527="","","#"&amp;TRIM(SUBSTITUTE(SUBSTITUTE(SUBSTITUTE(SUBSTITUTE(SUBSTITUTE(SUBSTITUTE($A1527,"-",""),"(",""),")",""),".",""),"+","")," ","")))</f>
      </c>
    </row>
    <row r="1528" spans="1:11" x14ac:dyDescent="0.3">
      <c r="A1528" s="28"/>
      <c r="B1528" s="29"/>
      <c r="C1528" s="30"/>
      <c r="D1528" s="31"/>
      <c r="E1528" s="33">
        <f>IF(OR($D1528="",$K1528=""),"",IF(COUNTIFS(Payments!$G$5:$G$2500,$K1528,Payments!$C$5:$C$2500,"&lt;&gt;")=0,"",_xlfn.MAXIFS(Payments!$C$5:$C$2500,Payments!$G$5:$G$2500,$K1528)))</f>
      </c>
      <c r="F1528" s="34">
        <f>IF(OR($D1528="",$K1528=""),"",SUMIF(Payments!$G$5:$G$2500,$K1528,Payments!$D$5:$D$2500))</f>
      </c>
      <c r="G1528" s="36">
        <f>IF($D1528="","",ROUND($D1528-IF($F1528="",0,$F1528),2))</f>
      </c>
      <c r="H1528" s="35">
        <f>IF(OR($D1528="",$K1528=""),"",COUNTIF(Payments!$G$5:$G$2500,$K1528))</f>
      </c>
      <c r="I1528" s="37">
        <f>IF($D1528="","",IF(OR($F1528="",$F1528=0),"Pending",IF(ROUND($F1528-$D1528,2)&gt;0,"Overpaid",IF(ROUND($F1528-$D1528,2)=0,"Paid","Partial"))))</f>
      </c>
      <c r="J1528" s="29"/>
      <c r="K1528">
        <f>IF($A1528="","","#"&amp;TRIM(SUBSTITUTE(SUBSTITUTE(SUBSTITUTE(SUBSTITUTE(SUBSTITUTE(SUBSTITUTE($A1528,"-",""),"(",""),")",""),".",""),"+","")," ","")))</f>
      </c>
    </row>
    <row r="1529" spans="1:11" x14ac:dyDescent="0.3">
      <c r="A1529" s="28"/>
      <c r="B1529" s="29"/>
      <c r="C1529" s="30"/>
      <c r="D1529" s="31"/>
      <c r="E1529" s="33">
        <f>IF(OR($D1529="",$K1529=""),"",IF(COUNTIFS(Payments!$G$5:$G$2500,$K1529,Payments!$C$5:$C$2500,"&lt;&gt;")=0,"",_xlfn.MAXIFS(Payments!$C$5:$C$2500,Payments!$G$5:$G$2500,$K1529)))</f>
      </c>
      <c r="F1529" s="34">
        <f>IF(OR($D1529="",$K1529=""),"",SUMIF(Payments!$G$5:$G$2500,$K1529,Payments!$D$5:$D$2500))</f>
      </c>
      <c r="G1529" s="36">
        <f>IF($D1529="","",ROUND($D1529-IF($F1529="",0,$F1529),2))</f>
      </c>
      <c r="H1529" s="35">
        <f>IF(OR($D1529="",$K1529=""),"",COUNTIF(Payments!$G$5:$G$2500,$K1529))</f>
      </c>
      <c r="I1529" s="37">
        <f>IF($D1529="","",IF(OR($F1529="",$F1529=0),"Pending",IF(ROUND($F1529-$D1529,2)&gt;0,"Overpaid",IF(ROUND($F1529-$D1529,2)=0,"Paid","Partial"))))</f>
      </c>
      <c r="J1529" s="29"/>
      <c r="K1529">
        <f>IF($A1529="","","#"&amp;TRIM(SUBSTITUTE(SUBSTITUTE(SUBSTITUTE(SUBSTITUTE(SUBSTITUTE(SUBSTITUTE($A1529,"-",""),"(",""),")",""),".",""),"+","")," ","")))</f>
      </c>
    </row>
    <row r="1530" spans="1:11" x14ac:dyDescent="0.3">
      <c r="A1530" s="28"/>
      <c r="B1530" s="29"/>
      <c r="C1530" s="30"/>
      <c r="D1530" s="31"/>
      <c r="E1530" s="33">
        <f>IF(OR($D1530="",$K1530=""),"",IF(COUNTIFS(Payments!$G$5:$G$2500,$K1530,Payments!$C$5:$C$2500,"&lt;&gt;")=0,"",_xlfn.MAXIFS(Payments!$C$5:$C$2500,Payments!$G$5:$G$2500,$K1530)))</f>
      </c>
      <c r="F1530" s="34">
        <f>IF(OR($D1530="",$K1530=""),"",SUMIF(Payments!$G$5:$G$2500,$K1530,Payments!$D$5:$D$2500))</f>
      </c>
      <c r="G1530" s="36">
        <f>IF($D1530="","",ROUND($D1530-IF($F1530="",0,$F1530),2))</f>
      </c>
      <c r="H1530" s="35">
        <f>IF(OR($D1530="",$K1530=""),"",COUNTIF(Payments!$G$5:$G$2500,$K1530))</f>
      </c>
      <c r="I1530" s="37">
        <f>IF($D1530="","",IF(OR($F1530="",$F1530=0),"Pending",IF(ROUND($F1530-$D1530,2)&gt;0,"Overpaid",IF(ROUND($F1530-$D1530,2)=0,"Paid","Partial"))))</f>
      </c>
      <c r="J1530" s="29"/>
      <c r="K1530">
        <f>IF($A1530="","","#"&amp;TRIM(SUBSTITUTE(SUBSTITUTE(SUBSTITUTE(SUBSTITUTE(SUBSTITUTE(SUBSTITUTE($A1530,"-",""),"(",""),")",""),".",""),"+","")," ","")))</f>
      </c>
    </row>
    <row r="1531" spans="1:11" x14ac:dyDescent="0.3">
      <c r="A1531" s="28"/>
      <c r="B1531" s="29"/>
      <c r="C1531" s="30"/>
      <c r="D1531" s="31"/>
      <c r="E1531" s="33">
        <f>IF(OR($D1531="",$K1531=""),"",IF(COUNTIFS(Payments!$G$5:$G$2500,$K1531,Payments!$C$5:$C$2500,"&lt;&gt;")=0,"",_xlfn.MAXIFS(Payments!$C$5:$C$2500,Payments!$G$5:$G$2500,$K1531)))</f>
      </c>
      <c r="F1531" s="34">
        <f>IF(OR($D1531="",$K1531=""),"",SUMIF(Payments!$G$5:$G$2500,$K1531,Payments!$D$5:$D$2500))</f>
      </c>
      <c r="G1531" s="36">
        <f>IF($D1531="","",ROUND($D1531-IF($F1531="",0,$F1531),2))</f>
      </c>
      <c r="H1531" s="35">
        <f>IF(OR($D1531="",$K1531=""),"",COUNTIF(Payments!$G$5:$G$2500,$K1531))</f>
      </c>
      <c r="I1531" s="37">
        <f>IF($D1531="","",IF(OR($F1531="",$F1531=0),"Pending",IF(ROUND($F1531-$D1531,2)&gt;0,"Overpaid",IF(ROUND($F1531-$D1531,2)=0,"Paid","Partial"))))</f>
      </c>
      <c r="J1531" s="29"/>
      <c r="K1531">
        <f>IF($A1531="","","#"&amp;TRIM(SUBSTITUTE(SUBSTITUTE(SUBSTITUTE(SUBSTITUTE(SUBSTITUTE(SUBSTITUTE($A1531,"-",""),"(",""),")",""),".",""),"+","")," ","")))</f>
      </c>
    </row>
    <row r="1532" spans="1:11" x14ac:dyDescent="0.3">
      <c r="A1532" s="28"/>
      <c r="B1532" s="29"/>
      <c r="C1532" s="30"/>
      <c r="D1532" s="31"/>
      <c r="E1532" s="33">
        <f>IF(OR($D1532="",$K1532=""),"",IF(COUNTIFS(Payments!$G$5:$G$2500,$K1532,Payments!$C$5:$C$2500,"&lt;&gt;")=0,"",_xlfn.MAXIFS(Payments!$C$5:$C$2500,Payments!$G$5:$G$2500,$K1532)))</f>
      </c>
      <c r="F1532" s="34">
        <f>IF(OR($D1532="",$K1532=""),"",SUMIF(Payments!$G$5:$G$2500,$K1532,Payments!$D$5:$D$2500))</f>
      </c>
      <c r="G1532" s="36">
        <f>IF($D1532="","",ROUND($D1532-IF($F1532="",0,$F1532),2))</f>
      </c>
      <c r="H1532" s="35">
        <f>IF(OR($D1532="",$K1532=""),"",COUNTIF(Payments!$G$5:$G$2500,$K1532))</f>
      </c>
      <c r="I1532" s="37">
        <f>IF($D1532="","",IF(OR($F1532="",$F1532=0),"Pending",IF(ROUND($F1532-$D1532,2)&gt;0,"Overpaid",IF(ROUND($F1532-$D1532,2)=0,"Paid","Partial"))))</f>
      </c>
      <c r="J1532" s="29"/>
      <c r="K1532">
        <f>IF($A1532="","","#"&amp;TRIM(SUBSTITUTE(SUBSTITUTE(SUBSTITUTE(SUBSTITUTE(SUBSTITUTE(SUBSTITUTE($A1532,"-",""),"(",""),")",""),".",""),"+","")," ","")))</f>
      </c>
    </row>
    <row r="1533" spans="1:11" x14ac:dyDescent="0.3">
      <c r="A1533" s="28"/>
      <c r="B1533" s="29"/>
      <c r="C1533" s="30"/>
      <c r="D1533" s="31"/>
      <c r="E1533" s="33">
        <f>IF(OR($D1533="",$K1533=""),"",IF(COUNTIFS(Payments!$G$5:$G$2500,$K1533,Payments!$C$5:$C$2500,"&lt;&gt;")=0,"",_xlfn.MAXIFS(Payments!$C$5:$C$2500,Payments!$G$5:$G$2500,$K1533)))</f>
      </c>
      <c r="F1533" s="34">
        <f>IF(OR($D1533="",$K1533=""),"",SUMIF(Payments!$G$5:$G$2500,$K1533,Payments!$D$5:$D$2500))</f>
      </c>
      <c r="G1533" s="36">
        <f>IF($D1533="","",ROUND($D1533-IF($F1533="",0,$F1533),2))</f>
      </c>
      <c r="H1533" s="35">
        <f>IF(OR($D1533="",$K1533=""),"",COUNTIF(Payments!$G$5:$G$2500,$K1533))</f>
      </c>
      <c r="I1533" s="37">
        <f>IF($D1533="","",IF(OR($F1533="",$F1533=0),"Pending",IF(ROUND($F1533-$D1533,2)&gt;0,"Overpaid",IF(ROUND($F1533-$D1533,2)=0,"Paid","Partial"))))</f>
      </c>
      <c r="J1533" s="29"/>
      <c r="K1533">
        <f>IF($A1533="","","#"&amp;TRIM(SUBSTITUTE(SUBSTITUTE(SUBSTITUTE(SUBSTITUTE(SUBSTITUTE(SUBSTITUTE($A1533,"-",""),"(",""),")",""),".",""),"+","")," ","")))</f>
      </c>
    </row>
    <row r="1534" spans="1:11" x14ac:dyDescent="0.3">
      <c r="A1534" s="28"/>
      <c r="B1534" s="29"/>
      <c r="C1534" s="30"/>
      <c r="D1534" s="31"/>
      <c r="E1534" s="33">
        <f>IF(OR($D1534="",$K1534=""),"",IF(COUNTIFS(Payments!$G$5:$G$2500,$K1534,Payments!$C$5:$C$2500,"&lt;&gt;")=0,"",_xlfn.MAXIFS(Payments!$C$5:$C$2500,Payments!$G$5:$G$2500,$K1534)))</f>
      </c>
      <c r="F1534" s="34">
        <f>IF(OR($D1534="",$K1534=""),"",SUMIF(Payments!$G$5:$G$2500,$K1534,Payments!$D$5:$D$2500))</f>
      </c>
      <c r="G1534" s="36">
        <f>IF($D1534="","",ROUND($D1534-IF($F1534="",0,$F1534),2))</f>
      </c>
      <c r="H1534" s="35">
        <f>IF(OR($D1534="",$K1534=""),"",COUNTIF(Payments!$G$5:$G$2500,$K1534))</f>
      </c>
      <c r="I1534" s="37">
        <f>IF($D1534="","",IF(OR($F1534="",$F1534=0),"Pending",IF(ROUND($F1534-$D1534,2)&gt;0,"Overpaid",IF(ROUND($F1534-$D1534,2)=0,"Paid","Partial"))))</f>
      </c>
      <c r="J1534" s="29"/>
      <c r="K1534">
        <f>IF($A1534="","","#"&amp;TRIM(SUBSTITUTE(SUBSTITUTE(SUBSTITUTE(SUBSTITUTE(SUBSTITUTE(SUBSTITUTE($A1534,"-",""),"(",""),")",""),".",""),"+","")," ","")))</f>
      </c>
    </row>
    <row r="1535" spans="1:11" x14ac:dyDescent="0.3">
      <c r="A1535" s="28"/>
      <c r="B1535" s="29"/>
      <c r="C1535" s="30"/>
      <c r="D1535" s="31"/>
      <c r="E1535" s="33">
        <f>IF(OR($D1535="",$K1535=""),"",IF(COUNTIFS(Payments!$G$5:$G$2500,$K1535,Payments!$C$5:$C$2500,"&lt;&gt;")=0,"",_xlfn.MAXIFS(Payments!$C$5:$C$2500,Payments!$G$5:$G$2500,$K1535)))</f>
      </c>
      <c r="F1535" s="34">
        <f>IF(OR($D1535="",$K1535=""),"",SUMIF(Payments!$G$5:$G$2500,$K1535,Payments!$D$5:$D$2500))</f>
      </c>
      <c r="G1535" s="36">
        <f>IF($D1535="","",ROUND($D1535-IF($F1535="",0,$F1535),2))</f>
      </c>
      <c r="H1535" s="35">
        <f>IF(OR($D1535="",$K1535=""),"",COUNTIF(Payments!$G$5:$G$2500,$K1535))</f>
      </c>
      <c r="I1535" s="37">
        <f>IF($D1535="","",IF(OR($F1535="",$F1535=0),"Pending",IF(ROUND($F1535-$D1535,2)&gt;0,"Overpaid",IF(ROUND($F1535-$D1535,2)=0,"Paid","Partial"))))</f>
      </c>
      <c r="J1535" s="29"/>
      <c r="K1535">
        <f>IF($A1535="","","#"&amp;TRIM(SUBSTITUTE(SUBSTITUTE(SUBSTITUTE(SUBSTITUTE(SUBSTITUTE(SUBSTITUTE($A1535,"-",""),"(",""),")",""),".",""),"+","")," ","")))</f>
      </c>
    </row>
    <row r="1536" spans="1:11" x14ac:dyDescent="0.3">
      <c r="A1536" s="28"/>
      <c r="B1536" s="29"/>
      <c r="C1536" s="30"/>
      <c r="D1536" s="31"/>
      <c r="E1536" s="33">
        <f>IF(OR($D1536="",$K1536=""),"",IF(COUNTIFS(Payments!$G$5:$G$2500,$K1536,Payments!$C$5:$C$2500,"&lt;&gt;")=0,"",_xlfn.MAXIFS(Payments!$C$5:$C$2500,Payments!$G$5:$G$2500,$K1536)))</f>
      </c>
      <c r="F1536" s="34">
        <f>IF(OR($D1536="",$K1536=""),"",SUMIF(Payments!$G$5:$G$2500,$K1536,Payments!$D$5:$D$2500))</f>
      </c>
      <c r="G1536" s="36">
        <f>IF($D1536="","",ROUND($D1536-IF($F1536="",0,$F1536),2))</f>
      </c>
      <c r="H1536" s="35">
        <f>IF(OR($D1536="",$K1536=""),"",COUNTIF(Payments!$G$5:$G$2500,$K1536))</f>
      </c>
      <c r="I1536" s="37">
        <f>IF($D1536="","",IF(OR($F1536="",$F1536=0),"Pending",IF(ROUND($F1536-$D1536,2)&gt;0,"Overpaid",IF(ROUND($F1536-$D1536,2)=0,"Paid","Partial"))))</f>
      </c>
      <c r="J1536" s="29"/>
      <c r="K1536">
        <f>IF($A1536="","","#"&amp;TRIM(SUBSTITUTE(SUBSTITUTE(SUBSTITUTE(SUBSTITUTE(SUBSTITUTE(SUBSTITUTE($A1536,"-",""),"(",""),")",""),".",""),"+","")," ","")))</f>
      </c>
    </row>
    <row r="1537" spans="1:11" x14ac:dyDescent="0.3">
      <c r="A1537" s="28"/>
      <c r="B1537" s="29"/>
      <c r="C1537" s="30"/>
      <c r="D1537" s="31"/>
      <c r="E1537" s="33">
        <f>IF(OR($D1537="",$K1537=""),"",IF(COUNTIFS(Payments!$G$5:$G$2500,$K1537,Payments!$C$5:$C$2500,"&lt;&gt;")=0,"",_xlfn.MAXIFS(Payments!$C$5:$C$2500,Payments!$G$5:$G$2500,$K1537)))</f>
      </c>
      <c r="F1537" s="34">
        <f>IF(OR($D1537="",$K1537=""),"",SUMIF(Payments!$G$5:$G$2500,$K1537,Payments!$D$5:$D$2500))</f>
      </c>
      <c r="G1537" s="36">
        <f>IF($D1537="","",ROUND($D1537-IF($F1537="",0,$F1537),2))</f>
      </c>
      <c r="H1537" s="35">
        <f>IF(OR($D1537="",$K1537=""),"",COUNTIF(Payments!$G$5:$G$2500,$K1537))</f>
      </c>
      <c r="I1537" s="37">
        <f>IF($D1537="","",IF(OR($F1537="",$F1537=0),"Pending",IF(ROUND($F1537-$D1537,2)&gt;0,"Overpaid",IF(ROUND($F1537-$D1537,2)=0,"Paid","Partial"))))</f>
      </c>
      <c r="J1537" s="29"/>
      <c r="K1537">
        <f>IF($A1537="","","#"&amp;TRIM(SUBSTITUTE(SUBSTITUTE(SUBSTITUTE(SUBSTITUTE(SUBSTITUTE(SUBSTITUTE($A1537,"-",""),"(",""),")",""),".",""),"+","")," ","")))</f>
      </c>
    </row>
    <row r="1538" spans="1:11" x14ac:dyDescent="0.3">
      <c r="A1538" s="28"/>
      <c r="B1538" s="29"/>
      <c r="C1538" s="30"/>
      <c r="D1538" s="31"/>
      <c r="E1538" s="33">
        <f>IF(OR($D1538="",$K1538=""),"",IF(COUNTIFS(Payments!$G$5:$G$2500,$K1538,Payments!$C$5:$C$2500,"&lt;&gt;")=0,"",_xlfn.MAXIFS(Payments!$C$5:$C$2500,Payments!$G$5:$G$2500,$K1538)))</f>
      </c>
      <c r="F1538" s="34">
        <f>IF(OR($D1538="",$K1538=""),"",SUMIF(Payments!$G$5:$G$2500,$K1538,Payments!$D$5:$D$2500))</f>
      </c>
      <c r="G1538" s="36">
        <f>IF($D1538="","",ROUND($D1538-IF($F1538="",0,$F1538),2))</f>
      </c>
      <c r="H1538" s="35">
        <f>IF(OR($D1538="",$K1538=""),"",COUNTIF(Payments!$G$5:$G$2500,$K1538))</f>
      </c>
      <c r="I1538" s="37">
        <f>IF($D1538="","",IF(OR($F1538="",$F1538=0),"Pending",IF(ROUND($F1538-$D1538,2)&gt;0,"Overpaid",IF(ROUND($F1538-$D1538,2)=0,"Paid","Partial"))))</f>
      </c>
      <c r="J1538" s="29"/>
      <c r="K1538">
        <f>IF($A1538="","","#"&amp;TRIM(SUBSTITUTE(SUBSTITUTE(SUBSTITUTE(SUBSTITUTE(SUBSTITUTE(SUBSTITUTE($A1538,"-",""),"(",""),")",""),".",""),"+","")," ","")))</f>
      </c>
    </row>
    <row r="1539" spans="1:11" x14ac:dyDescent="0.3">
      <c r="A1539" s="28"/>
      <c r="B1539" s="29"/>
      <c r="C1539" s="30"/>
      <c r="D1539" s="31"/>
      <c r="E1539" s="33">
        <f>IF(OR($D1539="",$K1539=""),"",IF(COUNTIFS(Payments!$G$5:$G$2500,$K1539,Payments!$C$5:$C$2500,"&lt;&gt;")=0,"",_xlfn.MAXIFS(Payments!$C$5:$C$2500,Payments!$G$5:$G$2500,$K1539)))</f>
      </c>
      <c r="F1539" s="34">
        <f>IF(OR($D1539="",$K1539=""),"",SUMIF(Payments!$G$5:$G$2500,$K1539,Payments!$D$5:$D$2500))</f>
      </c>
      <c r="G1539" s="36">
        <f>IF($D1539="","",ROUND($D1539-IF($F1539="",0,$F1539),2))</f>
      </c>
      <c r="H1539" s="35">
        <f>IF(OR($D1539="",$K1539=""),"",COUNTIF(Payments!$G$5:$G$2500,$K1539))</f>
      </c>
      <c r="I1539" s="37">
        <f>IF($D1539="","",IF(OR($F1539="",$F1539=0),"Pending",IF(ROUND($F1539-$D1539,2)&gt;0,"Overpaid",IF(ROUND($F1539-$D1539,2)=0,"Paid","Partial"))))</f>
      </c>
      <c r="J1539" s="29"/>
      <c r="K1539">
        <f>IF($A1539="","","#"&amp;TRIM(SUBSTITUTE(SUBSTITUTE(SUBSTITUTE(SUBSTITUTE(SUBSTITUTE(SUBSTITUTE($A1539,"-",""),"(",""),")",""),".",""),"+","")," ","")))</f>
      </c>
    </row>
    <row r="1540" spans="1:11" x14ac:dyDescent="0.3">
      <c r="A1540" s="28"/>
      <c r="B1540" s="29"/>
      <c r="C1540" s="30"/>
      <c r="D1540" s="31"/>
      <c r="E1540" s="33">
        <f>IF(OR($D1540="",$K1540=""),"",IF(COUNTIFS(Payments!$G$5:$G$2500,$K1540,Payments!$C$5:$C$2500,"&lt;&gt;")=0,"",_xlfn.MAXIFS(Payments!$C$5:$C$2500,Payments!$G$5:$G$2500,$K1540)))</f>
      </c>
      <c r="F1540" s="34">
        <f>IF(OR($D1540="",$K1540=""),"",SUMIF(Payments!$G$5:$G$2500,$K1540,Payments!$D$5:$D$2500))</f>
      </c>
      <c r="G1540" s="36">
        <f>IF($D1540="","",ROUND($D1540-IF($F1540="",0,$F1540),2))</f>
      </c>
      <c r="H1540" s="35">
        <f>IF(OR($D1540="",$K1540=""),"",COUNTIF(Payments!$G$5:$G$2500,$K1540))</f>
      </c>
      <c r="I1540" s="37">
        <f>IF($D1540="","",IF(OR($F1540="",$F1540=0),"Pending",IF(ROUND($F1540-$D1540,2)&gt;0,"Overpaid",IF(ROUND($F1540-$D1540,2)=0,"Paid","Partial"))))</f>
      </c>
      <c r="J1540" s="29"/>
      <c r="K1540">
        <f>IF($A1540="","","#"&amp;TRIM(SUBSTITUTE(SUBSTITUTE(SUBSTITUTE(SUBSTITUTE(SUBSTITUTE(SUBSTITUTE($A1540,"-",""),"(",""),")",""),".",""),"+","")," ","")))</f>
      </c>
    </row>
    <row r="1541" spans="1:11" x14ac:dyDescent="0.3">
      <c r="A1541" s="28"/>
      <c r="B1541" s="29"/>
      <c r="C1541" s="30"/>
      <c r="D1541" s="31"/>
      <c r="E1541" s="33">
        <f>IF(OR($D1541="",$K1541=""),"",IF(COUNTIFS(Payments!$G$5:$G$2500,$K1541,Payments!$C$5:$C$2500,"&lt;&gt;")=0,"",_xlfn.MAXIFS(Payments!$C$5:$C$2500,Payments!$G$5:$G$2500,$K1541)))</f>
      </c>
      <c r="F1541" s="34">
        <f>IF(OR($D1541="",$K1541=""),"",SUMIF(Payments!$G$5:$G$2500,$K1541,Payments!$D$5:$D$2500))</f>
      </c>
      <c r="G1541" s="36">
        <f>IF($D1541="","",ROUND($D1541-IF($F1541="",0,$F1541),2))</f>
      </c>
      <c r="H1541" s="35">
        <f>IF(OR($D1541="",$K1541=""),"",COUNTIF(Payments!$G$5:$G$2500,$K1541))</f>
      </c>
      <c r="I1541" s="37">
        <f>IF($D1541="","",IF(OR($F1541="",$F1541=0),"Pending",IF(ROUND($F1541-$D1541,2)&gt;0,"Overpaid",IF(ROUND($F1541-$D1541,2)=0,"Paid","Partial"))))</f>
      </c>
      <c r="J1541" s="29"/>
      <c r="K1541">
        <f>IF($A1541="","","#"&amp;TRIM(SUBSTITUTE(SUBSTITUTE(SUBSTITUTE(SUBSTITUTE(SUBSTITUTE(SUBSTITUTE($A1541,"-",""),"(",""),")",""),".",""),"+","")," ","")))</f>
      </c>
    </row>
    <row r="1542" spans="1:11" x14ac:dyDescent="0.3">
      <c r="A1542" s="28"/>
      <c r="B1542" s="29"/>
      <c r="C1542" s="30"/>
      <c r="D1542" s="31"/>
      <c r="E1542" s="33">
        <f>IF(OR($D1542="",$K1542=""),"",IF(COUNTIFS(Payments!$G$5:$G$2500,$K1542,Payments!$C$5:$C$2500,"&lt;&gt;")=0,"",_xlfn.MAXIFS(Payments!$C$5:$C$2500,Payments!$G$5:$G$2500,$K1542)))</f>
      </c>
      <c r="F1542" s="34">
        <f>IF(OR($D1542="",$K1542=""),"",SUMIF(Payments!$G$5:$G$2500,$K1542,Payments!$D$5:$D$2500))</f>
      </c>
      <c r="G1542" s="36">
        <f>IF($D1542="","",ROUND($D1542-IF($F1542="",0,$F1542),2))</f>
      </c>
      <c r="H1542" s="35">
        <f>IF(OR($D1542="",$K1542=""),"",COUNTIF(Payments!$G$5:$G$2500,$K1542))</f>
      </c>
      <c r="I1542" s="37">
        <f>IF($D1542="","",IF(OR($F1542="",$F1542=0),"Pending",IF(ROUND($F1542-$D1542,2)&gt;0,"Overpaid",IF(ROUND($F1542-$D1542,2)=0,"Paid","Partial"))))</f>
      </c>
      <c r="J1542" s="29"/>
      <c r="K1542">
        <f>IF($A1542="","","#"&amp;TRIM(SUBSTITUTE(SUBSTITUTE(SUBSTITUTE(SUBSTITUTE(SUBSTITUTE(SUBSTITUTE($A1542,"-",""),"(",""),")",""),".",""),"+","")," ","")))</f>
      </c>
    </row>
    <row r="1543" spans="1:11" x14ac:dyDescent="0.3">
      <c r="A1543" s="28"/>
      <c r="B1543" s="29"/>
      <c r="C1543" s="30"/>
      <c r="D1543" s="31"/>
      <c r="E1543" s="33">
        <f>IF(OR($D1543="",$K1543=""),"",IF(COUNTIFS(Payments!$G$5:$G$2500,$K1543,Payments!$C$5:$C$2500,"&lt;&gt;")=0,"",_xlfn.MAXIFS(Payments!$C$5:$C$2500,Payments!$G$5:$G$2500,$K1543)))</f>
      </c>
      <c r="F1543" s="34">
        <f>IF(OR($D1543="",$K1543=""),"",SUMIF(Payments!$G$5:$G$2500,$K1543,Payments!$D$5:$D$2500))</f>
      </c>
      <c r="G1543" s="36">
        <f>IF($D1543="","",ROUND($D1543-IF($F1543="",0,$F1543),2))</f>
      </c>
      <c r="H1543" s="35">
        <f>IF(OR($D1543="",$K1543=""),"",COUNTIF(Payments!$G$5:$G$2500,$K1543))</f>
      </c>
      <c r="I1543" s="37">
        <f>IF($D1543="","",IF(OR($F1543="",$F1543=0),"Pending",IF(ROUND($F1543-$D1543,2)&gt;0,"Overpaid",IF(ROUND($F1543-$D1543,2)=0,"Paid","Partial"))))</f>
      </c>
      <c r="J1543" s="29"/>
      <c r="K1543">
        <f>IF($A1543="","","#"&amp;TRIM(SUBSTITUTE(SUBSTITUTE(SUBSTITUTE(SUBSTITUTE(SUBSTITUTE(SUBSTITUTE($A1543,"-",""),"(",""),")",""),".",""),"+","")," ","")))</f>
      </c>
    </row>
    <row r="1544" spans="1:11" x14ac:dyDescent="0.3">
      <c r="A1544" s="28"/>
      <c r="B1544" s="29"/>
      <c r="C1544" s="30"/>
      <c r="D1544" s="31"/>
      <c r="E1544" s="33">
        <f>IF(OR($D1544="",$K1544=""),"",IF(COUNTIFS(Payments!$G$5:$G$2500,$K1544,Payments!$C$5:$C$2500,"&lt;&gt;")=0,"",_xlfn.MAXIFS(Payments!$C$5:$C$2500,Payments!$G$5:$G$2500,$K1544)))</f>
      </c>
      <c r="F1544" s="34">
        <f>IF(OR($D1544="",$K1544=""),"",SUMIF(Payments!$G$5:$G$2500,$K1544,Payments!$D$5:$D$2500))</f>
      </c>
      <c r="G1544" s="36">
        <f>IF($D1544="","",ROUND($D1544-IF($F1544="",0,$F1544),2))</f>
      </c>
      <c r="H1544" s="35">
        <f>IF(OR($D1544="",$K1544=""),"",COUNTIF(Payments!$G$5:$G$2500,$K1544))</f>
      </c>
      <c r="I1544" s="37">
        <f>IF($D1544="","",IF(OR($F1544="",$F1544=0),"Pending",IF(ROUND($F1544-$D1544,2)&gt;0,"Overpaid",IF(ROUND($F1544-$D1544,2)=0,"Paid","Partial"))))</f>
      </c>
      <c r="J1544" s="29"/>
      <c r="K1544">
        <f>IF($A1544="","","#"&amp;TRIM(SUBSTITUTE(SUBSTITUTE(SUBSTITUTE(SUBSTITUTE(SUBSTITUTE(SUBSTITUTE($A1544,"-",""),"(",""),")",""),".",""),"+","")," ","")))</f>
      </c>
    </row>
    <row r="1545" spans="1:11" x14ac:dyDescent="0.3">
      <c r="A1545" s="28"/>
      <c r="B1545" s="29"/>
      <c r="C1545" s="30"/>
      <c r="D1545" s="31"/>
      <c r="E1545" s="33">
        <f>IF(OR($D1545="",$K1545=""),"",IF(COUNTIFS(Payments!$G$5:$G$2500,$K1545,Payments!$C$5:$C$2500,"&lt;&gt;")=0,"",_xlfn.MAXIFS(Payments!$C$5:$C$2500,Payments!$G$5:$G$2500,$K1545)))</f>
      </c>
      <c r="F1545" s="34">
        <f>IF(OR($D1545="",$K1545=""),"",SUMIF(Payments!$G$5:$G$2500,$K1545,Payments!$D$5:$D$2500))</f>
      </c>
      <c r="G1545" s="36">
        <f>IF($D1545="","",ROUND($D1545-IF($F1545="",0,$F1545),2))</f>
      </c>
      <c r="H1545" s="35">
        <f>IF(OR($D1545="",$K1545=""),"",COUNTIF(Payments!$G$5:$G$2500,$K1545))</f>
      </c>
      <c r="I1545" s="37">
        <f>IF($D1545="","",IF(OR($F1545="",$F1545=0),"Pending",IF(ROUND($F1545-$D1545,2)&gt;0,"Overpaid",IF(ROUND($F1545-$D1545,2)=0,"Paid","Partial"))))</f>
      </c>
      <c r="J1545" s="29"/>
      <c r="K1545">
        <f>IF($A1545="","","#"&amp;TRIM(SUBSTITUTE(SUBSTITUTE(SUBSTITUTE(SUBSTITUTE(SUBSTITUTE(SUBSTITUTE($A1545,"-",""),"(",""),")",""),".",""),"+","")," ","")))</f>
      </c>
    </row>
    <row r="1546" spans="1:11" x14ac:dyDescent="0.3">
      <c r="A1546" s="28"/>
      <c r="B1546" s="29"/>
      <c r="C1546" s="30"/>
      <c r="D1546" s="31"/>
      <c r="E1546" s="33">
        <f>IF(OR($D1546="",$K1546=""),"",IF(COUNTIFS(Payments!$G$5:$G$2500,$K1546,Payments!$C$5:$C$2500,"&lt;&gt;")=0,"",_xlfn.MAXIFS(Payments!$C$5:$C$2500,Payments!$G$5:$G$2500,$K1546)))</f>
      </c>
      <c r="F1546" s="34">
        <f>IF(OR($D1546="",$K1546=""),"",SUMIF(Payments!$G$5:$G$2500,$K1546,Payments!$D$5:$D$2500))</f>
      </c>
      <c r="G1546" s="36">
        <f>IF($D1546="","",ROUND($D1546-IF($F1546="",0,$F1546),2))</f>
      </c>
      <c r="H1546" s="35">
        <f>IF(OR($D1546="",$K1546=""),"",COUNTIF(Payments!$G$5:$G$2500,$K1546))</f>
      </c>
      <c r="I1546" s="37">
        <f>IF($D1546="","",IF(OR($F1546="",$F1546=0),"Pending",IF(ROUND($F1546-$D1546,2)&gt;0,"Overpaid",IF(ROUND($F1546-$D1546,2)=0,"Paid","Partial"))))</f>
      </c>
      <c r="J1546" s="29"/>
      <c r="K1546">
        <f>IF($A1546="","","#"&amp;TRIM(SUBSTITUTE(SUBSTITUTE(SUBSTITUTE(SUBSTITUTE(SUBSTITUTE(SUBSTITUTE($A1546,"-",""),"(",""),")",""),".",""),"+","")," ","")))</f>
      </c>
    </row>
    <row r="1547" spans="1:11" x14ac:dyDescent="0.3">
      <c r="A1547" s="28"/>
      <c r="B1547" s="29"/>
      <c r="C1547" s="30"/>
      <c r="D1547" s="31"/>
      <c r="E1547" s="33">
        <f>IF(OR($D1547="",$K1547=""),"",IF(COUNTIFS(Payments!$G$5:$G$2500,$K1547,Payments!$C$5:$C$2500,"&lt;&gt;")=0,"",_xlfn.MAXIFS(Payments!$C$5:$C$2500,Payments!$G$5:$G$2500,$K1547)))</f>
      </c>
      <c r="F1547" s="34">
        <f>IF(OR($D1547="",$K1547=""),"",SUMIF(Payments!$G$5:$G$2500,$K1547,Payments!$D$5:$D$2500))</f>
      </c>
      <c r="G1547" s="36">
        <f>IF($D1547="","",ROUND($D1547-IF($F1547="",0,$F1547),2))</f>
      </c>
      <c r="H1547" s="35">
        <f>IF(OR($D1547="",$K1547=""),"",COUNTIF(Payments!$G$5:$G$2500,$K1547))</f>
      </c>
      <c r="I1547" s="37">
        <f>IF($D1547="","",IF(OR($F1547="",$F1547=0),"Pending",IF(ROUND($F1547-$D1547,2)&gt;0,"Overpaid",IF(ROUND($F1547-$D1547,2)=0,"Paid","Partial"))))</f>
      </c>
      <c r="J1547" s="29"/>
      <c r="K1547">
        <f>IF($A1547="","","#"&amp;TRIM(SUBSTITUTE(SUBSTITUTE(SUBSTITUTE(SUBSTITUTE(SUBSTITUTE(SUBSTITUTE($A1547,"-",""),"(",""),")",""),".",""),"+","")," ","")))</f>
      </c>
    </row>
    <row r="1548" spans="1:11" x14ac:dyDescent="0.3">
      <c r="A1548" s="28"/>
      <c r="B1548" s="29"/>
      <c r="C1548" s="30"/>
      <c r="D1548" s="31"/>
      <c r="E1548" s="33">
        <f>IF(OR($D1548="",$K1548=""),"",IF(COUNTIFS(Payments!$G$5:$G$2500,$K1548,Payments!$C$5:$C$2500,"&lt;&gt;")=0,"",_xlfn.MAXIFS(Payments!$C$5:$C$2500,Payments!$G$5:$G$2500,$K1548)))</f>
      </c>
      <c r="F1548" s="34">
        <f>IF(OR($D1548="",$K1548=""),"",SUMIF(Payments!$G$5:$G$2500,$K1548,Payments!$D$5:$D$2500))</f>
      </c>
      <c r="G1548" s="36">
        <f>IF($D1548="","",ROUND($D1548-IF($F1548="",0,$F1548),2))</f>
      </c>
      <c r="H1548" s="35">
        <f>IF(OR($D1548="",$K1548=""),"",COUNTIF(Payments!$G$5:$G$2500,$K1548))</f>
      </c>
      <c r="I1548" s="37">
        <f>IF($D1548="","",IF(OR($F1548="",$F1548=0),"Pending",IF(ROUND($F1548-$D1548,2)&gt;0,"Overpaid",IF(ROUND($F1548-$D1548,2)=0,"Paid","Partial"))))</f>
      </c>
      <c r="J1548" s="29"/>
      <c r="K1548">
        <f>IF($A1548="","","#"&amp;TRIM(SUBSTITUTE(SUBSTITUTE(SUBSTITUTE(SUBSTITUTE(SUBSTITUTE(SUBSTITUTE($A1548,"-",""),"(",""),")",""),".",""),"+","")," ","")))</f>
      </c>
    </row>
    <row r="1549" spans="1:11" x14ac:dyDescent="0.3">
      <c r="A1549" s="28"/>
      <c r="B1549" s="29"/>
      <c r="C1549" s="30"/>
      <c r="D1549" s="31"/>
      <c r="E1549" s="33">
        <f>IF(OR($D1549="",$K1549=""),"",IF(COUNTIFS(Payments!$G$5:$G$2500,$K1549,Payments!$C$5:$C$2500,"&lt;&gt;")=0,"",_xlfn.MAXIFS(Payments!$C$5:$C$2500,Payments!$G$5:$G$2500,$K1549)))</f>
      </c>
      <c r="F1549" s="34">
        <f>IF(OR($D1549="",$K1549=""),"",SUMIF(Payments!$G$5:$G$2500,$K1549,Payments!$D$5:$D$2500))</f>
      </c>
      <c r="G1549" s="36">
        <f>IF($D1549="","",ROUND($D1549-IF($F1549="",0,$F1549),2))</f>
      </c>
      <c r="H1549" s="35">
        <f>IF(OR($D1549="",$K1549=""),"",COUNTIF(Payments!$G$5:$G$2500,$K1549))</f>
      </c>
      <c r="I1549" s="37">
        <f>IF($D1549="","",IF(OR($F1549="",$F1549=0),"Pending",IF(ROUND($F1549-$D1549,2)&gt;0,"Overpaid",IF(ROUND($F1549-$D1549,2)=0,"Paid","Partial"))))</f>
      </c>
      <c r="J1549" s="29"/>
      <c r="K1549">
        <f>IF($A1549="","","#"&amp;TRIM(SUBSTITUTE(SUBSTITUTE(SUBSTITUTE(SUBSTITUTE(SUBSTITUTE(SUBSTITUTE($A1549,"-",""),"(",""),")",""),".",""),"+","")," ","")))</f>
      </c>
    </row>
    <row r="1550" spans="1:11" x14ac:dyDescent="0.3">
      <c r="A1550" s="28"/>
      <c r="B1550" s="29"/>
      <c r="C1550" s="30"/>
      <c r="D1550" s="31"/>
      <c r="E1550" s="33">
        <f>IF(OR($D1550="",$K1550=""),"",IF(COUNTIFS(Payments!$G$5:$G$2500,$K1550,Payments!$C$5:$C$2500,"&lt;&gt;")=0,"",_xlfn.MAXIFS(Payments!$C$5:$C$2500,Payments!$G$5:$G$2500,$K1550)))</f>
      </c>
      <c r="F1550" s="34">
        <f>IF(OR($D1550="",$K1550=""),"",SUMIF(Payments!$G$5:$G$2500,$K1550,Payments!$D$5:$D$2500))</f>
      </c>
      <c r="G1550" s="36">
        <f>IF($D1550="","",ROUND($D1550-IF($F1550="",0,$F1550),2))</f>
      </c>
      <c r="H1550" s="35">
        <f>IF(OR($D1550="",$K1550=""),"",COUNTIF(Payments!$G$5:$G$2500,$K1550))</f>
      </c>
      <c r="I1550" s="37">
        <f>IF($D1550="","",IF(OR($F1550="",$F1550=0),"Pending",IF(ROUND($F1550-$D1550,2)&gt;0,"Overpaid",IF(ROUND($F1550-$D1550,2)=0,"Paid","Partial"))))</f>
      </c>
      <c r="J1550" s="29"/>
      <c r="K1550">
        <f>IF($A1550="","","#"&amp;TRIM(SUBSTITUTE(SUBSTITUTE(SUBSTITUTE(SUBSTITUTE(SUBSTITUTE(SUBSTITUTE($A1550,"-",""),"(",""),")",""),".",""),"+","")," ","")))</f>
      </c>
    </row>
    <row r="1551" spans="1:11" x14ac:dyDescent="0.3">
      <c r="A1551" s="28"/>
      <c r="B1551" s="29"/>
      <c r="C1551" s="30"/>
      <c r="D1551" s="31"/>
      <c r="E1551" s="33">
        <f>IF(OR($D1551="",$K1551=""),"",IF(COUNTIFS(Payments!$G$5:$G$2500,$K1551,Payments!$C$5:$C$2500,"&lt;&gt;")=0,"",_xlfn.MAXIFS(Payments!$C$5:$C$2500,Payments!$G$5:$G$2500,$K1551)))</f>
      </c>
      <c r="F1551" s="34">
        <f>IF(OR($D1551="",$K1551=""),"",SUMIF(Payments!$G$5:$G$2500,$K1551,Payments!$D$5:$D$2500))</f>
      </c>
      <c r="G1551" s="36">
        <f>IF($D1551="","",ROUND($D1551-IF($F1551="",0,$F1551),2))</f>
      </c>
      <c r="H1551" s="35">
        <f>IF(OR($D1551="",$K1551=""),"",COUNTIF(Payments!$G$5:$G$2500,$K1551))</f>
      </c>
      <c r="I1551" s="37">
        <f>IF($D1551="","",IF(OR($F1551="",$F1551=0),"Pending",IF(ROUND($F1551-$D1551,2)&gt;0,"Overpaid",IF(ROUND($F1551-$D1551,2)=0,"Paid","Partial"))))</f>
      </c>
      <c r="J1551" s="29"/>
      <c r="K1551">
        <f>IF($A1551="","","#"&amp;TRIM(SUBSTITUTE(SUBSTITUTE(SUBSTITUTE(SUBSTITUTE(SUBSTITUTE(SUBSTITUTE($A1551,"-",""),"(",""),")",""),".",""),"+","")," ","")))</f>
      </c>
    </row>
    <row r="1552" spans="1:11" x14ac:dyDescent="0.3">
      <c r="A1552" s="28"/>
      <c r="B1552" s="29"/>
      <c r="C1552" s="30"/>
      <c r="D1552" s="31"/>
      <c r="E1552" s="33">
        <f>IF(OR($D1552="",$K1552=""),"",IF(COUNTIFS(Payments!$G$5:$G$2500,$K1552,Payments!$C$5:$C$2500,"&lt;&gt;")=0,"",_xlfn.MAXIFS(Payments!$C$5:$C$2500,Payments!$G$5:$G$2500,$K1552)))</f>
      </c>
      <c r="F1552" s="34">
        <f>IF(OR($D1552="",$K1552=""),"",SUMIF(Payments!$G$5:$G$2500,$K1552,Payments!$D$5:$D$2500))</f>
      </c>
      <c r="G1552" s="36">
        <f>IF($D1552="","",ROUND($D1552-IF($F1552="",0,$F1552),2))</f>
      </c>
      <c r="H1552" s="35">
        <f>IF(OR($D1552="",$K1552=""),"",COUNTIF(Payments!$G$5:$G$2500,$K1552))</f>
      </c>
      <c r="I1552" s="37">
        <f>IF($D1552="","",IF(OR($F1552="",$F1552=0),"Pending",IF(ROUND($F1552-$D1552,2)&gt;0,"Overpaid",IF(ROUND($F1552-$D1552,2)=0,"Paid","Partial"))))</f>
      </c>
      <c r="J1552" s="29"/>
      <c r="K1552">
        <f>IF($A1552="","","#"&amp;TRIM(SUBSTITUTE(SUBSTITUTE(SUBSTITUTE(SUBSTITUTE(SUBSTITUTE(SUBSTITUTE($A1552,"-",""),"(",""),")",""),".",""),"+","")," ","")))</f>
      </c>
    </row>
    <row r="1553" spans="1:11" x14ac:dyDescent="0.3">
      <c r="A1553" s="28"/>
      <c r="B1553" s="29"/>
      <c r="C1553" s="30"/>
      <c r="D1553" s="31"/>
      <c r="E1553" s="33">
        <f>IF(OR($D1553="",$K1553=""),"",IF(COUNTIFS(Payments!$G$5:$G$2500,$K1553,Payments!$C$5:$C$2500,"&lt;&gt;")=0,"",_xlfn.MAXIFS(Payments!$C$5:$C$2500,Payments!$G$5:$G$2500,$K1553)))</f>
      </c>
      <c r="F1553" s="34">
        <f>IF(OR($D1553="",$K1553=""),"",SUMIF(Payments!$G$5:$G$2500,$K1553,Payments!$D$5:$D$2500))</f>
      </c>
      <c r="G1553" s="36">
        <f>IF($D1553="","",ROUND($D1553-IF($F1553="",0,$F1553),2))</f>
      </c>
      <c r="H1553" s="35">
        <f>IF(OR($D1553="",$K1553=""),"",COUNTIF(Payments!$G$5:$G$2500,$K1553))</f>
      </c>
      <c r="I1553" s="37">
        <f>IF($D1553="","",IF(OR($F1553="",$F1553=0),"Pending",IF(ROUND($F1553-$D1553,2)&gt;0,"Overpaid",IF(ROUND($F1553-$D1553,2)=0,"Paid","Partial"))))</f>
      </c>
      <c r="J1553" s="29"/>
      <c r="K1553">
        <f>IF($A1553="","","#"&amp;TRIM(SUBSTITUTE(SUBSTITUTE(SUBSTITUTE(SUBSTITUTE(SUBSTITUTE(SUBSTITUTE($A1553,"-",""),"(",""),")",""),".",""),"+","")," ","")))</f>
      </c>
    </row>
    <row r="1554" spans="1:11" x14ac:dyDescent="0.3">
      <c r="A1554" s="28"/>
      <c r="B1554" s="29"/>
      <c r="C1554" s="30"/>
      <c r="D1554" s="31"/>
      <c r="E1554" s="33">
        <f>IF(OR($D1554="",$K1554=""),"",IF(COUNTIFS(Payments!$G$5:$G$2500,$K1554,Payments!$C$5:$C$2500,"&lt;&gt;")=0,"",_xlfn.MAXIFS(Payments!$C$5:$C$2500,Payments!$G$5:$G$2500,$K1554)))</f>
      </c>
      <c r="F1554" s="34">
        <f>IF(OR($D1554="",$K1554=""),"",SUMIF(Payments!$G$5:$G$2500,$K1554,Payments!$D$5:$D$2500))</f>
      </c>
      <c r="G1554" s="36">
        <f>IF($D1554="","",ROUND($D1554-IF($F1554="",0,$F1554),2))</f>
      </c>
      <c r="H1554" s="35">
        <f>IF(OR($D1554="",$K1554=""),"",COUNTIF(Payments!$G$5:$G$2500,$K1554))</f>
      </c>
      <c r="I1554" s="37">
        <f>IF($D1554="","",IF(OR($F1554="",$F1554=0),"Pending",IF(ROUND($F1554-$D1554,2)&gt;0,"Overpaid",IF(ROUND($F1554-$D1554,2)=0,"Paid","Partial"))))</f>
      </c>
      <c r="J1554" s="29"/>
      <c r="K1554">
        <f>IF($A1554="","","#"&amp;TRIM(SUBSTITUTE(SUBSTITUTE(SUBSTITUTE(SUBSTITUTE(SUBSTITUTE(SUBSTITUTE($A1554,"-",""),"(",""),")",""),".",""),"+","")," ","")))</f>
      </c>
    </row>
    <row r="1555" spans="1:11" x14ac:dyDescent="0.3">
      <c r="A1555" s="28"/>
      <c r="B1555" s="29"/>
      <c r="C1555" s="30"/>
      <c r="D1555" s="31"/>
      <c r="E1555" s="33">
        <f>IF(OR($D1555="",$K1555=""),"",IF(COUNTIFS(Payments!$G$5:$G$2500,$K1555,Payments!$C$5:$C$2500,"&lt;&gt;")=0,"",_xlfn.MAXIFS(Payments!$C$5:$C$2500,Payments!$G$5:$G$2500,$K1555)))</f>
      </c>
      <c r="F1555" s="34">
        <f>IF(OR($D1555="",$K1555=""),"",SUMIF(Payments!$G$5:$G$2500,$K1555,Payments!$D$5:$D$2500))</f>
      </c>
      <c r="G1555" s="36">
        <f>IF($D1555="","",ROUND($D1555-IF($F1555="",0,$F1555),2))</f>
      </c>
      <c r="H1555" s="35">
        <f>IF(OR($D1555="",$K1555=""),"",COUNTIF(Payments!$G$5:$G$2500,$K1555))</f>
      </c>
      <c r="I1555" s="37">
        <f>IF($D1555="","",IF(OR($F1555="",$F1555=0),"Pending",IF(ROUND($F1555-$D1555,2)&gt;0,"Overpaid",IF(ROUND($F1555-$D1555,2)=0,"Paid","Partial"))))</f>
      </c>
      <c r="J1555" s="29"/>
      <c r="K1555">
        <f>IF($A1555="","","#"&amp;TRIM(SUBSTITUTE(SUBSTITUTE(SUBSTITUTE(SUBSTITUTE(SUBSTITUTE(SUBSTITUTE($A1555,"-",""),"(",""),")",""),".",""),"+","")," ","")))</f>
      </c>
    </row>
    <row r="1556" spans="1:11" x14ac:dyDescent="0.3">
      <c r="A1556" s="28"/>
      <c r="B1556" s="29"/>
      <c r="C1556" s="30"/>
      <c r="D1556" s="31"/>
      <c r="E1556" s="33">
        <f>IF(OR($D1556="",$K1556=""),"",IF(COUNTIFS(Payments!$G$5:$G$2500,$K1556,Payments!$C$5:$C$2500,"&lt;&gt;")=0,"",_xlfn.MAXIFS(Payments!$C$5:$C$2500,Payments!$G$5:$G$2500,$K1556)))</f>
      </c>
      <c r="F1556" s="34">
        <f>IF(OR($D1556="",$K1556=""),"",SUMIF(Payments!$G$5:$G$2500,$K1556,Payments!$D$5:$D$2500))</f>
      </c>
      <c r="G1556" s="36">
        <f>IF($D1556="","",ROUND($D1556-IF($F1556="",0,$F1556),2))</f>
      </c>
      <c r="H1556" s="35">
        <f>IF(OR($D1556="",$K1556=""),"",COUNTIF(Payments!$G$5:$G$2500,$K1556))</f>
      </c>
      <c r="I1556" s="37">
        <f>IF($D1556="","",IF(OR($F1556="",$F1556=0),"Pending",IF(ROUND($F1556-$D1556,2)&gt;0,"Overpaid",IF(ROUND($F1556-$D1556,2)=0,"Paid","Partial"))))</f>
      </c>
      <c r="J1556" s="29"/>
      <c r="K1556">
        <f>IF($A1556="","","#"&amp;TRIM(SUBSTITUTE(SUBSTITUTE(SUBSTITUTE(SUBSTITUTE(SUBSTITUTE(SUBSTITUTE($A1556,"-",""),"(",""),")",""),".",""),"+","")," ","")))</f>
      </c>
    </row>
    <row r="1557" spans="1:11" x14ac:dyDescent="0.3">
      <c r="A1557" s="28"/>
      <c r="B1557" s="29"/>
      <c r="C1557" s="30"/>
      <c r="D1557" s="31"/>
      <c r="E1557" s="33">
        <f>IF(OR($D1557="",$K1557=""),"",IF(COUNTIFS(Payments!$G$5:$G$2500,$K1557,Payments!$C$5:$C$2500,"&lt;&gt;")=0,"",_xlfn.MAXIFS(Payments!$C$5:$C$2500,Payments!$G$5:$G$2500,$K1557)))</f>
      </c>
      <c r="F1557" s="34">
        <f>IF(OR($D1557="",$K1557=""),"",SUMIF(Payments!$G$5:$G$2500,$K1557,Payments!$D$5:$D$2500))</f>
      </c>
      <c r="G1557" s="36">
        <f>IF($D1557="","",ROUND($D1557-IF($F1557="",0,$F1557),2))</f>
      </c>
      <c r="H1557" s="35">
        <f>IF(OR($D1557="",$K1557=""),"",COUNTIF(Payments!$G$5:$G$2500,$K1557))</f>
      </c>
      <c r="I1557" s="37">
        <f>IF($D1557="","",IF(OR($F1557="",$F1557=0),"Pending",IF(ROUND($F1557-$D1557,2)&gt;0,"Overpaid",IF(ROUND($F1557-$D1557,2)=0,"Paid","Partial"))))</f>
      </c>
      <c r="J1557" s="29"/>
      <c r="K1557">
        <f>IF($A1557="","","#"&amp;TRIM(SUBSTITUTE(SUBSTITUTE(SUBSTITUTE(SUBSTITUTE(SUBSTITUTE(SUBSTITUTE($A1557,"-",""),"(",""),")",""),".",""),"+","")," ","")))</f>
      </c>
    </row>
    <row r="1558" spans="1:11" x14ac:dyDescent="0.3">
      <c r="A1558" s="28"/>
      <c r="B1558" s="29"/>
      <c r="C1558" s="30"/>
      <c r="D1558" s="31"/>
      <c r="E1558" s="33">
        <f>IF(OR($D1558="",$K1558=""),"",IF(COUNTIFS(Payments!$G$5:$G$2500,$K1558,Payments!$C$5:$C$2500,"&lt;&gt;")=0,"",_xlfn.MAXIFS(Payments!$C$5:$C$2500,Payments!$G$5:$G$2500,$K1558)))</f>
      </c>
      <c r="F1558" s="34">
        <f>IF(OR($D1558="",$K1558=""),"",SUMIF(Payments!$G$5:$G$2500,$K1558,Payments!$D$5:$D$2500))</f>
      </c>
      <c r="G1558" s="36">
        <f>IF($D1558="","",ROUND($D1558-IF($F1558="",0,$F1558),2))</f>
      </c>
      <c r="H1558" s="35">
        <f>IF(OR($D1558="",$K1558=""),"",COUNTIF(Payments!$G$5:$G$2500,$K1558))</f>
      </c>
      <c r="I1558" s="37">
        <f>IF($D1558="","",IF(OR($F1558="",$F1558=0),"Pending",IF(ROUND($F1558-$D1558,2)&gt;0,"Overpaid",IF(ROUND($F1558-$D1558,2)=0,"Paid","Partial"))))</f>
      </c>
      <c r="J1558" s="29"/>
      <c r="K1558">
        <f>IF($A1558="","","#"&amp;TRIM(SUBSTITUTE(SUBSTITUTE(SUBSTITUTE(SUBSTITUTE(SUBSTITUTE(SUBSTITUTE($A1558,"-",""),"(",""),")",""),".",""),"+","")," ","")))</f>
      </c>
    </row>
    <row r="1559" spans="1:11" x14ac:dyDescent="0.3">
      <c r="A1559" s="28"/>
      <c r="B1559" s="29"/>
      <c r="C1559" s="30"/>
      <c r="D1559" s="31"/>
      <c r="E1559" s="33">
        <f>IF(OR($D1559="",$K1559=""),"",IF(COUNTIFS(Payments!$G$5:$G$2500,$K1559,Payments!$C$5:$C$2500,"&lt;&gt;")=0,"",_xlfn.MAXIFS(Payments!$C$5:$C$2500,Payments!$G$5:$G$2500,$K1559)))</f>
      </c>
      <c r="F1559" s="34">
        <f>IF(OR($D1559="",$K1559=""),"",SUMIF(Payments!$G$5:$G$2500,$K1559,Payments!$D$5:$D$2500))</f>
      </c>
      <c r="G1559" s="36">
        <f>IF($D1559="","",ROUND($D1559-IF($F1559="",0,$F1559),2))</f>
      </c>
      <c r="H1559" s="35">
        <f>IF(OR($D1559="",$K1559=""),"",COUNTIF(Payments!$G$5:$G$2500,$K1559))</f>
      </c>
      <c r="I1559" s="37">
        <f>IF($D1559="","",IF(OR($F1559="",$F1559=0),"Pending",IF(ROUND($F1559-$D1559,2)&gt;0,"Overpaid",IF(ROUND($F1559-$D1559,2)=0,"Paid","Partial"))))</f>
      </c>
      <c r="J1559" s="29"/>
      <c r="K1559">
        <f>IF($A1559="","","#"&amp;TRIM(SUBSTITUTE(SUBSTITUTE(SUBSTITUTE(SUBSTITUTE(SUBSTITUTE(SUBSTITUTE($A1559,"-",""),"(",""),")",""),".",""),"+","")," ","")))</f>
      </c>
    </row>
    <row r="1560" spans="1:11" x14ac:dyDescent="0.3">
      <c r="A1560" s="28"/>
      <c r="B1560" s="29"/>
      <c r="C1560" s="30"/>
      <c r="D1560" s="31"/>
      <c r="E1560" s="33">
        <f>IF(OR($D1560="",$K1560=""),"",IF(COUNTIFS(Payments!$G$5:$G$2500,$K1560,Payments!$C$5:$C$2500,"&lt;&gt;")=0,"",_xlfn.MAXIFS(Payments!$C$5:$C$2500,Payments!$G$5:$G$2500,$K1560)))</f>
      </c>
      <c r="F1560" s="34">
        <f>IF(OR($D1560="",$K1560=""),"",SUMIF(Payments!$G$5:$G$2500,$K1560,Payments!$D$5:$D$2500))</f>
      </c>
      <c r="G1560" s="36">
        <f>IF($D1560="","",ROUND($D1560-IF($F1560="",0,$F1560),2))</f>
      </c>
      <c r="H1560" s="35">
        <f>IF(OR($D1560="",$K1560=""),"",COUNTIF(Payments!$G$5:$G$2500,$K1560))</f>
      </c>
      <c r="I1560" s="37">
        <f>IF($D1560="","",IF(OR($F1560="",$F1560=0),"Pending",IF(ROUND($F1560-$D1560,2)&gt;0,"Overpaid",IF(ROUND($F1560-$D1560,2)=0,"Paid","Partial"))))</f>
      </c>
      <c r="J1560" s="29"/>
      <c r="K1560">
        <f>IF($A1560="","","#"&amp;TRIM(SUBSTITUTE(SUBSTITUTE(SUBSTITUTE(SUBSTITUTE(SUBSTITUTE(SUBSTITUTE($A1560,"-",""),"(",""),")",""),".",""),"+","")," ","")))</f>
      </c>
    </row>
    <row r="1561" spans="1:11" x14ac:dyDescent="0.3">
      <c r="A1561" s="28"/>
      <c r="B1561" s="29"/>
      <c r="C1561" s="30"/>
      <c r="D1561" s="31"/>
      <c r="E1561" s="33">
        <f>IF(OR($D1561="",$K1561=""),"",IF(COUNTIFS(Payments!$G$5:$G$2500,$K1561,Payments!$C$5:$C$2500,"&lt;&gt;")=0,"",_xlfn.MAXIFS(Payments!$C$5:$C$2500,Payments!$G$5:$G$2500,$K1561)))</f>
      </c>
      <c r="F1561" s="34">
        <f>IF(OR($D1561="",$K1561=""),"",SUMIF(Payments!$G$5:$G$2500,$K1561,Payments!$D$5:$D$2500))</f>
      </c>
      <c r="G1561" s="36">
        <f>IF($D1561="","",ROUND($D1561-IF($F1561="",0,$F1561),2))</f>
      </c>
      <c r="H1561" s="35">
        <f>IF(OR($D1561="",$K1561=""),"",COUNTIF(Payments!$G$5:$G$2500,$K1561))</f>
      </c>
      <c r="I1561" s="37">
        <f>IF($D1561="","",IF(OR($F1561="",$F1561=0),"Pending",IF(ROUND($F1561-$D1561,2)&gt;0,"Overpaid",IF(ROUND($F1561-$D1561,2)=0,"Paid","Partial"))))</f>
      </c>
      <c r="J1561" s="29"/>
      <c r="K1561">
        <f>IF($A1561="","","#"&amp;TRIM(SUBSTITUTE(SUBSTITUTE(SUBSTITUTE(SUBSTITUTE(SUBSTITUTE(SUBSTITUTE($A1561,"-",""),"(",""),")",""),".",""),"+","")," ","")))</f>
      </c>
    </row>
    <row r="1562" spans="1:11" x14ac:dyDescent="0.3">
      <c r="A1562" s="28"/>
      <c r="B1562" s="29"/>
      <c r="C1562" s="30"/>
      <c r="D1562" s="31"/>
      <c r="E1562" s="33">
        <f>IF(OR($D1562="",$K1562=""),"",IF(COUNTIFS(Payments!$G$5:$G$2500,$K1562,Payments!$C$5:$C$2500,"&lt;&gt;")=0,"",_xlfn.MAXIFS(Payments!$C$5:$C$2500,Payments!$G$5:$G$2500,$K1562)))</f>
      </c>
      <c r="F1562" s="34">
        <f>IF(OR($D1562="",$K1562=""),"",SUMIF(Payments!$G$5:$G$2500,$K1562,Payments!$D$5:$D$2500))</f>
      </c>
      <c r="G1562" s="36">
        <f>IF($D1562="","",ROUND($D1562-IF($F1562="",0,$F1562),2))</f>
      </c>
      <c r="H1562" s="35">
        <f>IF(OR($D1562="",$K1562=""),"",COUNTIF(Payments!$G$5:$G$2500,$K1562))</f>
      </c>
      <c r="I1562" s="37">
        <f>IF($D1562="","",IF(OR($F1562="",$F1562=0),"Pending",IF(ROUND($F1562-$D1562,2)&gt;0,"Overpaid",IF(ROUND($F1562-$D1562,2)=0,"Paid","Partial"))))</f>
      </c>
      <c r="J1562" s="29"/>
      <c r="K1562">
        <f>IF($A1562="","","#"&amp;TRIM(SUBSTITUTE(SUBSTITUTE(SUBSTITUTE(SUBSTITUTE(SUBSTITUTE(SUBSTITUTE($A1562,"-",""),"(",""),")",""),".",""),"+","")," ","")))</f>
      </c>
    </row>
    <row r="1563" spans="1:11" x14ac:dyDescent="0.3">
      <c r="A1563" s="28"/>
      <c r="B1563" s="29"/>
      <c r="C1563" s="30"/>
      <c r="D1563" s="31"/>
      <c r="E1563" s="33">
        <f>IF(OR($D1563="",$K1563=""),"",IF(COUNTIFS(Payments!$G$5:$G$2500,$K1563,Payments!$C$5:$C$2500,"&lt;&gt;")=0,"",_xlfn.MAXIFS(Payments!$C$5:$C$2500,Payments!$G$5:$G$2500,$K1563)))</f>
      </c>
      <c r="F1563" s="34">
        <f>IF(OR($D1563="",$K1563=""),"",SUMIF(Payments!$G$5:$G$2500,$K1563,Payments!$D$5:$D$2500))</f>
      </c>
      <c r="G1563" s="36">
        <f>IF($D1563="","",ROUND($D1563-IF($F1563="",0,$F1563),2))</f>
      </c>
      <c r="H1563" s="35">
        <f>IF(OR($D1563="",$K1563=""),"",COUNTIF(Payments!$G$5:$G$2500,$K1563))</f>
      </c>
      <c r="I1563" s="37">
        <f>IF($D1563="","",IF(OR($F1563="",$F1563=0),"Pending",IF(ROUND($F1563-$D1563,2)&gt;0,"Overpaid",IF(ROUND($F1563-$D1563,2)=0,"Paid","Partial"))))</f>
      </c>
      <c r="J1563" s="29"/>
      <c r="K1563">
        <f>IF($A1563="","","#"&amp;TRIM(SUBSTITUTE(SUBSTITUTE(SUBSTITUTE(SUBSTITUTE(SUBSTITUTE(SUBSTITUTE($A1563,"-",""),"(",""),")",""),".",""),"+","")," ","")))</f>
      </c>
    </row>
    <row r="1564" spans="1:11" x14ac:dyDescent="0.3">
      <c r="A1564" s="28"/>
      <c r="B1564" s="29"/>
      <c r="C1564" s="30"/>
      <c r="D1564" s="31"/>
      <c r="E1564" s="33">
        <f>IF(OR($D1564="",$K1564=""),"",IF(COUNTIFS(Payments!$G$5:$G$2500,$K1564,Payments!$C$5:$C$2500,"&lt;&gt;")=0,"",_xlfn.MAXIFS(Payments!$C$5:$C$2500,Payments!$G$5:$G$2500,$K1564)))</f>
      </c>
      <c r="F1564" s="34">
        <f>IF(OR($D1564="",$K1564=""),"",SUMIF(Payments!$G$5:$G$2500,$K1564,Payments!$D$5:$D$2500))</f>
      </c>
      <c r="G1564" s="36">
        <f>IF($D1564="","",ROUND($D1564-IF($F1564="",0,$F1564),2))</f>
      </c>
      <c r="H1564" s="35">
        <f>IF(OR($D1564="",$K1564=""),"",COUNTIF(Payments!$G$5:$G$2500,$K1564))</f>
      </c>
      <c r="I1564" s="37">
        <f>IF($D1564="","",IF(OR($F1564="",$F1564=0),"Pending",IF(ROUND($F1564-$D1564,2)&gt;0,"Overpaid",IF(ROUND($F1564-$D1564,2)=0,"Paid","Partial"))))</f>
      </c>
      <c r="J1564" s="29"/>
      <c r="K1564">
        <f>IF($A1564="","","#"&amp;TRIM(SUBSTITUTE(SUBSTITUTE(SUBSTITUTE(SUBSTITUTE(SUBSTITUTE(SUBSTITUTE($A1564,"-",""),"(",""),")",""),".",""),"+","")," ","")))</f>
      </c>
    </row>
    <row r="1565" spans="1:11" x14ac:dyDescent="0.3">
      <c r="A1565" s="28"/>
      <c r="B1565" s="29"/>
      <c r="C1565" s="30"/>
      <c r="D1565" s="31"/>
      <c r="E1565" s="33">
        <f>IF(OR($D1565="",$K1565=""),"",IF(COUNTIFS(Payments!$G$5:$G$2500,$K1565,Payments!$C$5:$C$2500,"&lt;&gt;")=0,"",_xlfn.MAXIFS(Payments!$C$5:$C$2500,Payments!$G$5:$G$2500,$K1565)))</f>
      </c>
      <c r="F1565" s="34">
        <f>IF(OR($D1565="",$K1565=""),"",SUMIF(Payments!$G$5:$G$2500,$K1565,Payments!$D$5:$D$2500))</f>
      </c>
      <c r="G1565" s="36">
        <f>IF($D1565="","",ROUND($D1565-IF($F1565="",0,$F1565),2))</f>
      </c>
      <c r="H1565" s="35">
        <f>IF(OR($D1565="",$K1565=""),"",COUNTIF(Payments!$G$5:$G$2500,$K1565))</f>
      </c>
      <c r="I1565" s="37">
        <f>IF($D1565="","",IF(OR($F1565="",$F1565=0),"Pending",IF(ROUND($F1565-$D1565,2)&gt;0,"Overpaid",IF(ROUND($F1565-$D1565,2)=0,"Paid","Partial"))))</f>
      </c>
      <c r="J1565" s="29"/>
      <c r="K1565">
        <f>IF($A1565="","","#"&amp;TRIM(SUBSTITUTE(SUBSTITUTE(SUBSTITUTE(SUBSTITUTE(SUBSTITUTE(SUBSTITUTE($A1565,"-",""),"(",""),")",""),".",""),"+","")," ","")))</f>
      </c>
    </row>
    <row r="1566" spans="1:11" x14ac:dyDescent="0.3">
      <c r="A1566" s="28"/>
      <c r="B1566" s="29"/>
      <c r="C1566" s="30"/>
      <c r="D1566" s="31"/>
      <c r="E1566" s="33">
        <f>IF(OR($D1566="",$K1566=""),"",IF(COUNTIFS(Payments!$G$5:$G$2500,$K1566,Payments!$C$5:$C$2500,"&lt;&gt;")=0,"",_xlfn.MAXIFS(Payments!$C$5:$C$2500,Payments!$G$5:$G$2500,$K1566)))</f>
      </c>
      <c r="F1566" s="34">
        <f>IF(OR($D1566="",$K1566=""),"",SUMIF(Payments!$G$5:$G$2500,$K1566,Payments!$D$5:$D$2500))</f>
      </c>
      <c r="G1566" s="36">
        <f>IF($D1566="","",ROUND($D1566-IF($F1566="",0,$F1566),2))</f>
      </c>
      <c r="H1566" s="35">
        <f>IF(OR($D1566="",$K1566=""),"",COUNTIF(Payments!$G$5:$G$2500,$K1566))</f>
      </c>
      <c r="I1566" s="37">
        <f>IF($D1566="","",IF(OR($F1566="",$F1566=0),"Pending",IF(ROUND($F1566-$D1566,2)&gt;0,"Overpaid",IF(ROUND($F1566-$D1566,2)=0,"Paid","Partial"))))</f>
      </c>
      <c r="J1566" s="29"/>
      <c r="K1566">
        <f>IF($A1566="","","#"&amp;TRIM(SUBSTITUTE(SUBSTITUTE(SUBSTITUTE(SUBSTITUTE(SUBSTITUTE(SUBSTITUTE($A1566,"-",""),"(",""),")",""),".",""),"+","")," ","")))</f>
      </c>
    </row>
    <row r="1567" spans="1:11" x14ac:dyDescent="0.3">
      <c r="A1567" s="28"/>
      <c r="B1567" s="29"/>
      <c r="C1567" s="30"/>
      <c r="D1567" s="31"/>
      <c r="E1567" s="33">
        <f>IF(OR($D1567="",$K1567=""),"",IF(COUNTIFS(Payments!$G$5:$G$2500,$K1567,Payments!$C$5:$C$2500,"&lt;&gt;")=0,"",_xlfn.MAXIFS(Payments!$C$5:$C$2500,Payments!$G$5:$G$2500,$K1567)))</f>
      </c>
      <c r="F1567" s="34">
        <f>IF(OR($D1567="",$K1567=""),"",SUMIF(Payments!$G$5:$G$2500,$K1567,Payments!$D$5:$D$2500))</f>
      </c>
      <c r="G1567" s="36">
        <f>IF($D1567="","",ROUND($D1567-IF($F1567="",0,$F1567),2))</f>
      </c>
      <c r="H1567" s="35">
        <f>IF(OR($D1567="",$K1567=""),"",COUNTIF(Payments!$G$5:$G$2500,$K1567))</f>
      </c>
      <c r="I1567" s="37">
        <f>IF($D1567="","",IF(OR($F1567="",$F1567=0),"Pending",IF(ROUND($F1567-$D1567,2)&gt;0,"Overpaid",IF(ROUND($F1567-$D1567,2)=0,"Paid","Partial"))))</f>
      </c>
      <c r="J1567" s="29"/>
      <c r="K1567">
        <f>IF($A1567="","","#"&amp;TRIM(SUBSTITUTE(SUBSTITUTE(SUBSTITUTE(SUBSTITUTE(SUBSTITUTE(SUBSTITUTE($A1567,"-",""),"(",""),")",""),".",""),"+","")," ","")))</f>
      </c>
    </row>
    <row r="1568" spans="1:11" x14ac:dyDescent="0.3">
      <c r="A1568" s="28"/>
      <c r="B1568" s="29"/>
      <c r="C1568" s="30"/>
      <c r="D1568" s="31"/>
      <c r="E1568" s="33">
        <f>IF(OR($D1568="",$K1568=""),"",IF(COUNTIFS(Payments!$G$5:$G$2500,$K1568,Payments!$C$5:$C$2500,"&lt;&gt;")=0,"",_xlfn.MAXIFS(Payments!$C$5:$C$2500,Payments!$G$5:$G$2500,$K1568)))</f>
      </c>
      <c r="F1568" s="34">
        <f>IF(OR($D1568="",$K1568=""),"",SUMIF(Payments!$G$5:$G$2500,$K1568,Payments!$D$5:$D$2500))</f>
      </c>
      <c r="G1568" s="36">
        <f>IF($D1568="","",ROUND($D1568-IF($F1568="",0,$F1568),2))</f>
      </c>
      <c r="H1568" s="35">
        <f>IF(OR($D1568="",$K1568=""),"",COUNTIF(Payments!$G$5:$G$2500,$K1568))</f>
      </c>
      <c r="I1568" s="37">
        <f>IF($D1568="","",IF(OR($F1568="",$F1568=0),"Pending",IF(ROUND($F1568-$D1568,2)&gt;0,"Overpaid",IF(ROUND($F1568-$D1568,2)=0,"Paid","Partial"))))</f>
      </c>
      <c r="J1568" s="29"/>
      <c r="K1568">
        <f>IF($A1568="","","#"&amp;TRIM(SUBSTITUTE(SUBSTITUTE(SUBSTITUTE(SUBSTITUTE(SUBSTITUTE(SUBSTITUTE($A1568,"-",""),"(",""),")",""),".",""),"+","")," ","")))</f>
      </c>
    </row>
    <row r="1569" spans="1:11" x14ac:dyDescent="0.3">
      <c r="A1569" s="28"/>
      <c r="B1569" s="29"/>
      <c r="C1569" s="30"/>
      <c r="D1569" s="31"/>
      <c r="E1569" s="33">
        <f>IF(OR($D1569="",$K1569=""),"",IF(COUNTIFS(Payments!$G$5:$G$2500,$K1569,Payments!$C$5:$C$2500,"&lt;&gt;")=0,"",_xlfn.MAXIFS(Payments!$C$5:$C$2500,Payments!$G$5:$G$2500,$K1569)))</f>
      </c>
      <c r="F1569" s="34">
        <f>IF(OR($D1569="",$K1569=""),"",SUMIF(Payments!$G$5:$G$2500,$K1569,Payments!$D$5:$D$2500))</f>
      </c>
      <c r="G1569" s="36">
        <f>IF($D1569="","",ROUND($D1569-IF($F1569="",0,$F1569),2))</f>
      </c>
      <c r="H1569" s="35">
        <f>IF(OR($D1569="",$K1569=""),"",COUNTIF(Payments!$G$5:$G$2500,$K1569))</f>
      </c>
      <c r="I1569" s="37">
        <f>IF($D1569="","",IF(OR($F1569="",$F1569=0),"Pending",IF(ROUND($F1569-$D1569,2)&gt;0,"Overpaid",IF(ROUND($F1569-$D1569,2)=0,"Paid","Partial"))))</f>
      </c>
      <c r="J1569" s="29"/>
      <c r="K1569">
        <f>IF($A1569="","","#"&amp;TRIM(SUBSTITUTE(SUBSTITUTE(SUBSTITUTE(SUBSTITUTE(SUBSTITUTE(SUBSTITUTE($A1569,"-",""),"(",""),")",""),".",""),"+","")," ","")))</f>
      </c>
    </row>
    <row r="1570" spans="1:11" x14ac:dyDescent="0.3">
      <c r="A1570" s="28"/>
      <c r="B1570" s="29"/>
      <c r="C1570" s="30"/>
      <c r="D1570" s="31"/>
      <c r="E1570" s="33">
        <f>IF(OR($D1570="",$K1570=""),"",IF(COUNTIFS(Payments!$G$5:$G$2500,$K1570,Payments!$C$5:$C$2500,"&lt;&gt;")=0,"",_xlfn.MAXIFS(Payments!$C$5:$C$2500,Payments!$G$5:$G$2500,$K1570)))</f>
      </c>
      <c r="F1570" s="34">
        <f>IF(OR($D1570="",$K1570=""),"",SUMIF(Payments!$G$5:$G$2500,$K1570,Payments!$D$5:$D$2500))</f>
      </c>
      <c r="G1570" s="36">
        <f>IF($D1570="","",ROUND($D1570-IF($F1570="",0,$F1570),2))</f>
      </c>
      <c r="H1570" s="35">
        <f>IF(OR($D1570="",$K1570=""),"",COUNTIF(Payments!$G$5:$G$2500,$K1570))</f>
      </c>
      <c r="I1570" s="37">
        <f>IF($D1570="","",IF(OR($F1570="",$F1570=0),"Pending",IF(ROUND($F1570-$D1570,2)&gt;0,"Overpaid",IF(ROUND($F1570-$D1570,2)=0,"Paid","Partial"))))</f>
      </c>
      <c r="J1570" s="29"/>
      <c r="K1570">
        <f>IF($A1570="","","#"&amp;TRIM(SUBSTITUTE(SUBSTITUTE(SUBSTITUTE(SUBSTITUTE(SUBSTITUTE(SUBSTITUTE($A1570,"-",""),"(",""),")",""),".",""),"+","")," ","")))</f>
      </c>
    </row>
    <row r="1571" spans="1:11" x14ac:dyDescent="0.3">
      <c r="A1571" s="28"/>
      <c r="B1571" s="29"/>
      <c r="C1571" s="30"/>
      <c r="D1571" s="31"/>
      <c r="E1571" s="33">
        <f>IF(OR($D1571="",$K1571=""),"",IF(COUNTIFS(Payments!$G$5:$G$2500,$K1571,Payments!$C$5:$C$2500,"&lt;&gt;")=0,"",_xlfn.MAXIFS(Payments!$C$5:$C$2500,Payments!$G$5:$G$2500,$K1571)))</f>
      </c>
      <c r="F1571" s="34">
        <f>IF(OR($D1571="",$K1571=""),"",SUMIF(Payments!$G$5:$G$2500,$K1571,Payments!$D$5:$D$2500))</f>
      </c>
      <c r="G1571" s="36">
        <f>IF($D1571="","",ROUND($D1571-IF($F1571="",0,$F1571),2))</f>
      </c>
      <c r="H1571" s="35">
        <f>IF(OR($D1571="",$K1571=""),"",COUNTIF(Payments!$G$5:$G$2500,$K1571))</f>
      </c>
      <c r="I1571" s="37">
        <f>IF($D1571="","",IF(OR($F1571="",$F1571=0),"Pending",IF(ROUND($F1571-$D1571,2)&gt;0,"Overpaid",IF(ROUND($F1571-$D1571,2)=0,"Paid","Partial"))))</f>
      </c>
      <c r="J1571" s="29"/>
      <c r="K1571">
        <f>IF($A1571="","","#"&amp;TRIM(SUBSTITUTE(SUBSTITUTE(SUBSTITUTE(SUBSTITUTE(SUBSTITUTE(SUBSTITUTE($A1571,"-",""),"(",""),")",""),".",""),"+","")," ","")))</f>
      </c>
    </row>
    <row r="1572" spans="1:11" x14ac:dyDescent="0.3">
      <c r="A1572" s="28"/>
      <c r="B1572" s="29"/>
      <c r="C1572" s="30"/>
      <c r="D1572" s="31"/>
      <c r="E1572" s="33">
        <f>IF(OR($D1572="",$K1572=""),"",IF(COUNTIFS(Payments!$G$5:$G$2500,$K1572,Payments!$C$5:$C$2500,"&lt;&gt;")=0,"",_xlfn.MAXIFS(Payments!$C$5:$C$2500,Payments!$G$5:$G$2500,$K1572)))</f>
      </c>
      <c r="F1572" s="34">
        <f>IF(OR($D1572="",$K1572=""),"",SUMIF(Payments!$G$5:$G$2500,$K1572,Payments!$D$5:$D$2500))</f>
      </c>
      <c r="G1572" s="36">
        <f>IF($D1572="","",ROUND($D1572-IF($F1572="",0,$F1572),2))</f>
      </c>
      <c r="H1572" s="35">
        <f>IF(OR($D1572="",$K1572=""),"",COUNTIF(Payments!$G$5:$G$2500,$K1572))</f>
      </c>
      <c r="I1572" s="37">
        <f>IF($D1572="","",IF(OR($F1572="",$F1572=0),"Pending",IF(ROUND($F1572-$D1572,2)&gt;0,"Overpaid",IF(ROUND($F1572-$D1572,2)=0,"Paid","Partial"))))</f>
      </c>
      <c r="J1572" s="29"/>
      <c r="K1572">
        <f>IF($A1572="","","#"&amp;TRIM(SUBSTITUTE(SUBSTITUTE(SUBSTITUTE(SUBSTITUTE(SUBSTITUTE(SUBSTITUTE($A1572,"-",""),"(",""),")",""),".",""),"+","")," ","")))</f>
      </c>
    </row>
    <row r="1573" spans="1:11" x14ac:dyDescent="0.3">
      <c r="A1573" s="28"/>
      <c r="B1573" s="29"/>
      <c r="C1573" s="30"/>
      <c r="D1573" s="31"/>
      <c r="E1573" s="33">
        <f>IF(OR($D1573="",$K1573=""),"",IF(COUNTIFS(Payments!$G$5:$G$2500,$K1573,Payments!$C$5:$C$2500,"&lt;&gt;")=0,"",_xlfn.MAXIFS(Payments!$C$5:$C$2500,Payments!$G$5:$G$2500,$K1573)))</f>
      </c>
      <c r="F1573" s="34">
        <f>IF(OR($D1573="",$K1573=""),"",SUMIF(Payments!$G$5:$G$2500,$K1573,Payments!$D$5:$D$2500))</f>
      </c>
      <c r="G1573" s="36">
        <f>IF($D1573="","",ROUND($D1573-IF($F1573="",0,$F1573),2))</f>
      </c>
      <c r="H1573" s="35">
        <f>IF(OR($D1573="",$K1573=""),"",COUNTIF(Payments!$G$5:$G$2500,$K1573))</f>
      </c>
      <c r="I1573" s="37">
        <f>IF($D1573="","",IF(OR($F1573="",$F1573=0),"Pending",IF(ROUND($F1573-$D1573,2)&gt;0,"Overpaid",IF(ROUND($F1573-$D1573,2)=0,"Paid","Partial"))))</f>
      </c>
      <c r="J1573" s="29"/>
      <c r="K1573">
        <f>IF($A1573="","","#"&amp;TRIM(SUBSTITUTE(SUBSTITUTE(SUBSTITUTE(SUBSTITUTE(SUBSTITUTE(SUBSTITUTE($A1573,"-",""),"(",""),")",""),".",""),"+","")," ","")))</f>
      </c>
    </row>
    <row r="1574" spans="1:11" x14ac:dyDescent="0.3">
      <c r="A1574" s="28"/>
      <c r="B1574" s="29"/>
      <c r="C1574" s="30"/>
      <c r="D1574" s="31"/>
      <c r="E1574" s="33">
        <f>IF(OR($D1574="",$K1574=""),"",IF(COUNTIFS(Payments!$G$5:$G$2500,$K1574,Payments!$C$5:$C$2500,"&lt;&gt;")=0,"",_xlfn.MAXIFS(Payments!$C$5:$C$2500,Payments!$G$5:$G$2500,$K1574)))</f>
      </c>
      <c r="F1574" s="34">
        <f>IF(OR($D1574="",$K1574=""),"",SUMIF(Payments!$G$5:$G$2500,$K1574,Payments!$D$5:$D$2500))</f>
      </c>
      <c r="G1574" s="36">
        <f>IF($D1574="","",ROUND($D1574-IF($F1574="",0,$F1574),2))</f>
      </c>
      <c r="H1574" s="35">
        <f>IF(OR($D1574="",$K1574=""),"",COUNTIF(Payments!$G$5:$G$2500,$K1574))</f>
      </c>
      <c r="I1574" s="37">
        <f>IF($D1574="","",IF(OR($F1574="",$F1574=0),"Pending",IF(ROUND($F1574-$D1574,2)&gt;0,"Overpaid",IF(ROUND($F1574-$D1574,2)=0,"Paid","Partial"))))</f>
      </c>
      <c r="J1574" s="29"/>
      <c r="K1574">
        <f>IF($A1574="","","#"&amp;TRIM(SUBSTITUTE(SUBSTITUTE(SUBSTITUTE(SUBSTITUTE(SUBSTITUTE(SUBSTITUTE($A1574,"-",""),"(",""),")",""),".",""),"+","")," ","")))</f>
      </c>
    </row>
    <row r="1575" spans="1:11" x14ac:dyDescent="0.3">
      <c r="A1575" s="28"/>
      <c r="B1575" s="29"/>
      <c r="C1575" s="30"/>
      <c r="D1575" s="31"/>
      <c r="E1575" s="33">
        <f>IF(OR($D1575="",$K1575=""),"",IF(COUNTIFS(Payments!$G$5:$G$2500,$K1575,Payments!$C$5:$C$2500,"&lt;&gt;")=0,"",_xlfn.MAXIFS(Payments!$C$5:$C$2500,Payments!$G$5:$G$2500,$K1575)))</f>
      </c>
      <c r="F1575" s="34">
        <f>IF(OR($D1575="",$K1575=""),"",SUMIF(Payments!$G$5:$G$2500,$K1575,Payments!$D$5:$D$2500))</f>
      </c>
      <c r="G1575" s="36">
        <f>IF($D1575="","",ROUND($D1575-IF($F1575="",0,$F1575),2))</f>
      </c>
      <c r="H1575" s="35">
        <f>IF(OR($D1575="",$K1575=""),"",COUNTIF(Payments!$G$5:$G$2500,$K1575))</f>
      </c>
      <c r="I1575" s="37">
        <f>IF($D1575="","",IF(OR($F1575="",$F1575=0),"Pending",IF(ROUND($F1575-$D1575,2)&gt;0,"Overpaid",IF(ROUND($F1575-$D1575,2)=0,"Paid","Partial"))))</f>
      </c>
      <c r="J1575" s="29"/>
      <c r="K1575">
        <f>IF($A1575="","","#"&amp;TRIM(SUBSTITUTE(SUBSTITUTE(SUBSTITUTE(SUBSTITUTE(SUBSTITUTE(SUBSTITUTE($A1575,"-",""),"(",""),")",""),".",""),"+","")," ","")))</f>
      </c>
    </row>
    <row r="1576" spans="1:11" x14ac:dyDescent="0.3">
      <c r="A1576" s="28"/>
      <c r="B1576" s="29"/>
      <c r="C1576" s="30"/>
      <c r="D1576" s="31"/>
      <c r="E1576" s="33">
        <f>IF(OR($D1576="",$K1576=""),"",IF(COUNTIFS(Payments!$G$5:$G$2500,$K1576,Payments!$C$5:$C$2500,"&lt;&gt;")=0,"",_xlfn.MAXIFS(Payments!$C$5:$C$2500,Payments!$G$5:$G$2500,$K1576)))</f>
      </c>
      <c r="F1576" s="34">
        <f>IF(OR($D1576="",$K1576=""),"",SUMIF(Payments!$G$5:$G$2500,$K1576,Payments!$D$5:$D$2500))</f>
      </c>
      <c r="G1576" s="36">
        <f>IF($D1576="","",ROUND($D1576-IF($F1576="",0,$F1576),2))</f>
      </c>
      <c r="H1576" s="35">
        <f>IF(OR($D1576="",$K1576=""),"",COUNTIF(Payments!$G$5:$G$2500,$K1576))</f>
      </c>
      <c r="I1576" s="37">
        <f>IF($D1576="","",IF(OR($F1576="",$F1576=0),"Pending",IF(ROUND($F1576-$D1576,2)&gt;0,"Overpaid",IF(ROUND($F1576-$D1576,2)=0,"Paid","Partial"))))</f>
      </c>
      <c r="J1576" s="29"/>
      <c r="K1576">
        <f>IF($A1576="","","#"&amp;TRIM(SUBSTITUTE(SUBSTITUTE(SUBSTITUTE(SUBSTITUTE(SUBSTITUTE(SUBSTITUTE($A1576,"-",""),"(",""),")",""),".",""),"+","")," ","")))</f>
      </c>
    </row>
    <row r="1577" spans="1:11" x14ac:dyDescent="0.3">
      <c r="A1577" s="28"/>
      <c r="B1577" s="29"/>
      <c r="C1577" s="30"/>
      <c r="D1577" s="31"/>
      <c r="E1577" s="33">
        <f>IF(OR($D1577="",$K1577=""),"",IF(COUNTIFS(Payments!$G$5:$G$2500,$K1577,Payments!$C$5:$C$2500,"&lt;&gt;")=0,"",_xlfn.MAXIFS(Payments!$C$5:$C$2500,Payments!$G$5:$G$2500,$K1577)))</f>
      </c>
      <c r="F1577" s="34">
        <f>IF(OR($D1577="",$K1577=""),"",SUMIF(Payments!$G$5:$G$2500,$K1577,Payments!$D$5:$D$2500))</f>
      </c>
      <c r="G1577" s="36">
        <f>IF($D1577="","",ROUND($D1577-IF($F1577="",0,$F1577),2))</f>
      </c>
      <c r="H1577" s="35">
        <f>IF(OR($D1577="",$K1577=""),"",COUNTIF(Payments!$G$5:$G$2500,$K1577))</f>
      </c>
      <c r="I1577" s="37">
        <f>IF($D1577="","",IF(OR($F1577="",$F1577=0),"Pending",IF(ROUND($F1577-$D1577,2)&gt;0,"Overpaid",IF(ROUND($F1577-$D1577,2)=0,"Paid","Partial"))))</f>
      </c>
      <c r="J1577" s="29"/>
      <c r="K1577">
        <f>IF($A1577="","","#"&amp;TRIM(SUBSTITUTE(SUBSTITUTE(SUBSTITUTE(SUBSTITUTE(SUBSTITUTE(SUBSTITUTE($A1577,"-",""),"(",""),")",""),".",""),"+","")," ","")))</f>
      </c>
    </row>
    <row r="1578" spans="1:11" x14ac:dyDescent="0.3">
      <c r="A1578" s="28"/>
      <c r="B1578" s="29"/>
      <c r="C1578" s="30"/>
      <c r="D1578" s="31"/>
      <c r="E1578" s="33">
        <f>IF(OR($D1578="",$K1578=""),"",IF(COUNTIFS(Payments!$G$5:$G$2500,$K1578,Payments!$C$5:$C$2500,"&lt;&gt;")=0,"",_xlfn.MAXIFS(Payments!$C$5:$C$2500,Payments!$G$5:$G$2500,$K1578)))</f>
      </c>
      <c r="F1578" s="34">
        <f>IF(OR($D1578="",$K1578=""),"",SUMIF(Payments!$G$5:$G$2500,$K1578,Payments!$D$5:$D$2500))</f>
      </c>
      <c r="G1578" s="36">
        <f>IF($D1578="","",ROUND($D1578-IF($F1578="",0,$F1578),2))</f>
      </c>
      <c r="H1578" s="35">
        <f>IF(OR($D1578="",$K1578=""),"",COUNTIF(Payments!$G$5:$G$2500,$K1578))</f>
      </c>
      <c r="I1578" s="37">
        <f>IF($D1578="","",IF(OR($F1578="",$F1578=0),"Pending",IF(ROUND($F1578-$D1578,2)&gt;0,"Overpaid",IF(ROUND($F1578-$D1578,2)=0,"Paid","Partial"))))</f>
      </c>
      <c r="J1578" s="29"/>
      <c r="K1578">
        <f>IF($A1578="","","#"&amp;TRIM(SUBSTITUTE(SUBSTITUTE(SUBSTITUTE(SUBSTITUTE(SUBSTITUTE(SUBSTITUTE($A1578,"-",""),"(",""),")",""),".",""),"+","")," ","")))</f>
      </c>
    </row>
    <row r="1579" spans="1:11" x14ac:dyDescent="0.3">
      <c r="A1579" s="28"/>
      <c r="B1579" s="29"/>
      <c r="C1579" s="30"/>
      <c r="D1579" s="31"/>
      <c r="E1579" s="33">
        <f>IF(OR($D1579="",$K1579=""),"",IF(COUNTIFS(Payments!$G$5:$G$2500,$K1579,Payments!$C$5:$C$2500,"&lt;&gt;")=0,"",_xlfn.MAXIFS(Payments!$C$5:$C$2500,Payments!$G$5:$G$2500,$K1579)))</f>
      </c>
      <c r="F1579" s="34">
        <f>IF(OR($D1579="",$K1579=""),"",SUMIF(Payments!$G$5:$G$2500,$K1579,Payments!$D$5:$D$2500))</f>
      </c>
      <c r="G1579" s="36">
        <f>IF($D1579="","",ROUND($D1579-IF($F1579="",0,$F1579),2))</f>
      </c>
      <c r="H1579" s="35">
        <f>IF(OR($D1579="",$K1579=""),"",COUNTIF(Payments!$G$5:$G$2500,$K1579))</f>
      </c>
      <c r="I1579" s="37">
        <f>IF($D1579="","",IF(OR($F1579="",$F1579=0),"Pending",IF(ROUND($F1579-$D1579,2)&gt;0,"Overpaid",IF(ROUND($F1579-$D1579,2)=0,"Paid","Partial"))))</f>
      </c>
      <c r="J1579" s="29"/>
      <c r="K1579">
        <f>IF($A1579="","","#"&amp;TRIM(SUBSTITUTE(SUBSTITUTE(SUBSTITUTE(SUBSTITUTE(SUBSTITUTE(SUBSTITUTE($A1579,"-",""),"(",""),")",""),".",""),"+","")," ","")))</f>
      </c>
    </row>
    <row r="1580" spans="1:11" x14ac:dyDescent="0.3">
      <c r="A1580" s="28"/>
      <c r="B1580" s="29"/>
      <c r="C1580" s="30"/>
      <c r="D1580" s="31"/>
      <c r="E1580" s="33">
        <f>IF(OR($D1580="",$K1580=""),"",IF(COUNTIFS(Payments!$G$5:$G$2500,$K1580,Payments!$C$5:$C$2500,"&lt;&gt;")=0,"",_xlfn.MAXIFS(Payments!$C$5:$C$2500,Payments!$G$5:$G$2500,$K1580)))</f>
      </c>
      <c r="F1580" s="34">
        <f>IF(OR($D1580="",$K1580=""),"",SUMIF(Payments!$G$5:$G$2500,$K1580,Payments!$D$5:$D$2500))</f>
      </c>
      <c r="G1580" s="36">
        <f>IF($D1580="","",ROUND($D1580-IF($F1580="",0,$F1580),2))</f>
      </c>
      <c r="H1580" s="35">
        <f>IF(OR($D1580="",$K1580=""),"",COUNTIF(Payments!$G$5:$G$2500,$K1580))</f>
      </c>
      <c r="I1580" s="37">
        <f>IF($D1580="","",IF(OR($F1580="",$F1580=0),"Pending",IF(ROUND($F1580-$D1580,2)&gt;0,"Overpaid",IF(ROUND($F1580-$D1580,2)=0,"Paid","Partial"))))</f>
      </c>
      <c r="J1580" s="29"/>
      <c r="K1580">
        <f>IF($A1580="","","#"&amp;TRIM(SUBSTITUTE(SUBSTITUTE(SUBSTITUTE(SUBSTITUTE(SUBSTITUTE(SUBSTITUTE($A1580,"-",""),"(",""),")",""),".",""),"+","")," ","")))</f>
      </c>
    </row>
    <row r="1581" spans="1:11" x14ac:dyDescent="0.3">
      <c r="A1581" s="28"/>
      <c r="B1581" s="29"/>
      <c r="C1581" s="30"/>
      <c r="D1581" s="31"/>
      <c r="E1581" s="33">
        <f>IF(OR($D1581="",$K1581=""),"",IF(COUNTIFS(Payments!$G$5:$G$2500,$K1581,Payments!$C$5:$C$2500,"&lt;&gt;")=0,"",_xlfn.MAXIFS(Payments!$C$5:$C$2500,Payments!$G$5:$G$2500,$K1581)))</f>
      </c>
      <c r="F1581" s="34">
        <f>IF(OR($D1581="",$K1581=""),"",SUMIF(Payments!$G$5:$G$2500,$K1581,Payments!$D$5:$D$2500))</f>
      </c>
      <c r="G1581" s="36">
        <f>IF($D1581="","",ROUND($D1581-IF($F1581="",0,$F1581),2))</f>
      </c>
      <c r="H1581" s="35">
        <f>IF(OR($D1581="",$K1581=""),"",COUNTIF(Payments!$G$5:$G$2500,$K1581))</f>
      </c>
      <c r="I1581" s="37">
        <f>IF($D1581="","",IF(OR($F1581="",$F1581=0),"Pending",IF(ROUND($F1581-$D1581,2)&gt;0,"Overpaid",IF(ROUND($F1581-$D1581,2)=0,"Paid","Partial"))))</f>
      </c>
      <c r="J1581" s="29"/>
      <c r="K1581">
        <f>IF($A1581="","","#"&amp;TRIM(SUBSTITUTE(SUBSTITUTE(SUBSTITUTE(SUBSTITUTE(SUBSTITUTE(SUBSTITUTE($A1581,"-",""),"(",""),")",""),".",""),"+","")," ","")))</f>
      </c>
    </row>
    <row r="1582" spans="1:11" x14ac:dyDescent="0.3">
      <c r="A1582" s="28"/>
      <c r="B1582" s="29"/>
      <c r="C1582" s="30"/>
      <c r="D1582" s="31"/>
      <c r="E1582" s="33">
        <f>IF(OR($D1582="",$K1582=""),"",IF(COUNTIFS(Payments!$G$5:$G$2500,$K1582,Payments!$C$5:$C$2500,"&lt;&gt;")=0,"",_xlfn.MAXIFS(Payments!$C$5:$C$2500,Payments!$G$5:$G$2500,$K1582)))</f>
      </c>
      <c r="F1582" s="34">
        <f>IF(OR($D1582="",$K1582=""),"",SUMIF(Payments!$G$5:$G$2500,$K1582,Payments!$D$5:$D$2500))</f>
      </c>
      <c r="G1582" s="36">
        <f>IF($D1582="","",ROUND($D1582-IF($F1582="",0,$F1582),2))</f>
      </c>
      <c r="H1582" s="35">
        <f>IF(OR($D1582="",$K1582=""),"",COUNTIF(Payments!$G$5:$G$2500,$K1582))</f>
      </c>
      <c r="I1582" s="37">
        <f>IF($D1582="","",IF(OR($F1582="",$F1582=0),"Pending",IF(ROUND($F1582-$D1582,2)&gt;0,"Overpaid",IF(ROUND($F1582-$D1582,2)=0,"Paid","Partial"))))</f>
      </c>
      <c r="J1582" s="29"/>
      <c r="K1582">
        <f>IF($A1582="","","#"&amp;TRIM(SUBSTITUTE(SUBSTITUTE(SUBSTITUTE(SUBSTITUTE(SUBSTITUTE(SUBSTITUTE($A1582,"-",""),"(",""),")",""),".",""),"+","")," ","")))</f>
      </c>
    </row>
    <row r="1583" spans="1:11" x14ac:dyDescent="0.3">
      <c r="A1583" s="28"/>
      <c r="B1583" s="29"/>
      <c r="C1583" s="30"/>
      <c r="D1583" s="31"/>
      <c r="E1583" s="33">
        <f>IF(OR($D1583="",$K1583=""),"",IF(COUNTIFS(Payments!$G$5:$G$2500,$K1583,Payments!$C$5:$C$2500,"&lt;&gt;")=0,"",_xlfn.MAXIFS(Payments!$C$5:$C$2500,Payments!$G$5:$G$2500,$K1583)))</f>
      </c>
      <c r="F1583" s="34">
        <f>IF(OR($D1583="",$K1583=""),"",SUMIF(Payments!$G$5:$G$2500,$K1583,Payments!$D$5:$D$2500))</f>
      </c>
      <c r="G1583" s="36">
        <f>IF($D1583="","",ROUND($D1583-IF($F1583="",0,$F1583),2))</f>
      </c>
      <c r="H1583" s="35">
        <f>IF(OR($D1583="",$K1583=""),"",COUNTIF(Payments!$G$5:$G$2500,$K1583))</f>
      </c>
      <c r="I1583" s="37">
        <f>IF($D1583="","",IF(OR($F1583="",$F1583=0),"Pending",IF(ROUND($F1583-$D1583,2)&gt;0,"Overpaid",IF(ROUND($F1583-$D1583,2)=0,"Paid","Partial"))))</f>
      </c>
      <c r="J1583" s="29"/>
      <c r="K1583">
        <f>IF($A1583="","","#"&amp;TRIM(SUBSTITUTE(SUBSTITUTE(SUBSTITUTE(SUBSTITUTE(SUBSTITUTE(SUBSTITUTE($A1583,"-",""),"(",""),")",""),".",""),"+","")," ","")))</f>
      </c>
    </row>
    <row r="1584" spans="1:11" x14ac:dyDescent="0.3">
      <c r="A1584" s="28"/>
      <c r="B1584" s="29"/>
      <c r="C1584" s="30"/>
      <c r="D1584" s="31"/>
      <c r="E1584" s="33">
        <f>IF(OR($D1584="",$K1584=""),"",IF(COUNTIFS(Payments!$G$5:$G$2500,$K1584,Payments!$C$5:$C$2500,"&lt;&gt;")=0,"",_xlfn.MAXIFS(Payments!$C$5:$C$2500,Payments!$G$5:$G$2500,$K1584)))</f>
      </c>
      <c r="F1584" s="34">
        <f>IF(OR($D1584="",$K1584=""),"",SUMIF(Payments!$G$5:$G$2500,$K1584,Payments!$D$5:$D$2500))</f>
      </c>
      <c r="G1584" s="36">
        <f>IF($D1584="","",ROUND($D1584-IF($F1584="",0,$F1584),2))</f>
      </c>
      <c r="H1584" s="35">
        <f>IF(OR($D1584="",$K1584=""),"",COUNTIF(Payments!$G$5:$G$2500,$K1584))</f>
      </c>
      <c r="I1584" s="37">
        <f>IF($D1584="","",IF(OR($F1584="",$F1584=0),"Pending",IF(ROUND($F1584-$D1584,2)&gt;0,"Overpaid",IF(ROUND($F1584-$D1584,2)=0,"Paid","Partial"))))</f>
      </c>
      <c r="J1584" s="29"/>
      <c r="K1584">
        <f>IF($A1584="","","#"&amp;TRIM(SUBSTITUTE(SUBSTITUTE(SUBSTITUTE(SUBSTITUTE(SUBSTITUTE(SUBSTITUTE($A1584,"-",""),"(",""),")",""),".",""),"+","")," ","")))</f>
      </c>
    </row>
    <row r="1585" spans="1:11" x14ac:dyDescent="0.3">
      <c r="A1585" s="28"/>
      <c r="B1585" s="29"/>
      <c r="C1585" s="30"/>
      <c r="D1585" s="31"/>
      <c r="E1585" s="33">
        <f>IF(OR($D1585="",$K1585=""),"",IF(COUNTIFS(Payments!$G$5:$G$2500,$K1585,Payments!$C$5:$C$2500,"&lt;&gt;")=0,"",_xlfn.MAXIFS(Payments!$C$5:$C$2500,Payments!$G$5:$G$2500,$K1585)))</f>
      </c>
      <c r="F1585" s="34">
        <f>IF(OR($D1585="",$K1585=""),"",SUMIF(Payments!$G$5:$G$2500,$K1585,Payments!$D$5:$D$2500))</f>
      </c>
      <c r="G1585" s="36">
        <f>IF($D1585="","",ROUND($D1585-IF($F1585="",0,$F1585),2))</f>
      </c>
      <c r="H1585" s="35">
        <f>IF(OR($D1585="",$K1585=""),"",COUNTIF(Payments!$G$5:$G$2500,$K1585))</f>
      </c>
      <c r="I1585" s="37">
        <f>IF($D1585="","",IF(OR($F1585="",$F1585=0),"Pending",IF(ROUND($F1585-$D1585,2)&gt;0,"Overpaid",IF(ROUND($F1585-$D1585,2)=0,"Paid","Partial"))))</f>
      </c>
      <c r="J1585" s="29"/>
      <c r="K1585">
        <f>IF($A1585="","","#"&amp;TRIM(SUBSTITUTE(SUBSTITUTE(SUBSTITUTE(SUBSTITUTE(SUBSTITUTE(SUBSTITUTE($A1585,"-",""),"(",""),")",""),".",""),"+","")," ","")))</f>
      </c>
    </row>
    <row r="1586" spans="1:11" x14ac:dyDescent="0.3">
      <c r="A1586" s="28"/>
      <c r="B1586" s="29"/>
      <c r="C1586" s="30"/>
      <c r="D1586" s="31"/>
      <c r="E1586" s="33">
        <f>IF(OR($D1586="",$K1586=""),"",IF(COUNTIFS(Payments!$G$5:$G$2500,$K1586,Payments!$C$5:$C$2500,"&lt;&gt;")=0,"",_xlfn.MAXIFS(Payments!$C$5:$C$2500,Payments!$G$5:$G$2500,$K1586)))</f>
      </c>
      <c r="F1586" s="34">
        <f>IF(OR($D1586="",$K1586=""),"",SUMIF(Payments!$G$5:$G$2500,$K1586,Payments!$D$5:$D$2500))</f>
      </c>
      <c r="G1586" s="36">
        <f>IF($D1586="","",ROUND($D1586-IF($F1586="",0,$F1586),2))</f>
      </c>
      <c r="H1586" s="35">
        <f>IF(OR($D1586="",$K1586=""),"",COUNTIF(Payments!$G$5:$G$2500,$K1586))</f>
      </c>
      <c r="I1586" s="37">
        <f>IF($D1586="","",IF(OR($F1586="",$F1586=0),"Pending",IF(ROUND($F1586-$D1586,2)&gt;0,"Overpaid",IF(ROUND($F1586-$D1586,2)=0,"Paid","Partial"))))</f>
      </c>
      <c r="J1586" s="29"/>
      <c r="K1586">
        <f>IF($A1586="","","#"&amp;TRIM(SUBSTITUTE(SUBSTITUTE(SUBSTITUTE(SUBSTITUTE(SUBSTITUTE(SUBSTITUTE($A1586,"-",""),"(",""),")",""),".",""),"+","")," ","")))</f>
      </c>
    </row>
    <row r="1587" spans="1:11" x14ac:dyDescent="0.3">
      <c r="A1587" s="28"/>
      <c r="B1587" s="29"/>
      <c r="C1587" s="30"/>
      <c r="D1587" s="31"/>
      <c r="E1587" s="33">
        <f>IF(OR($D1587="",$K1587=""),"",IF(COUNTIFS(Payments!$G$5:$G$2500,$K1587,Payments!$C$5:$C$2500,"&lt;&gt;")=0,"",_xlfn.MAXIFS(Payments!$C$5:$C$2500,Payments!$G$5:$G$2500,$K1587)))</f>
      </c>
      <c r="F1587" s="34">
        <f>IF(OR($D1587="",$K1587=""),"",SUMIF(Payments!$G$5:$G$2500,$K1587,Payments!$D$5:$D$2500))</f>
      </c>
      <c r="G1587" s="36">
        <f>IF($D1587="","",ROUND($D1587-IF($F1587="",0,$F1587),2))</f>
      </c>
      <c r="H1587" s="35">
        <f>IF(OR($D1587="",$K1587=""),"",COUNTIF(Payments!$G$5:$G$2500,$K1587))</f>
      </c>
      <c r="I1587" s="37">
        <f>IF($D1587="","",IF(OR($F1587="",$F1587=0),"Pending",IF(ROUND($F1587-$D1587,2)&gt;0,"Overpaid",IF(ROUND($F1587-$D1587,2)=0,"Paid","Partial"))))</f>
      </c>
      <c r="J1587" s="29"/>
      <c r="K1587">
        <f>IF($A1587="","","#"&amp;TRIM(SUBSTITUTE(SUBSTITUTE(SUBSTITUTE(SUBSTITUTE(SUBSTITUTE(SUBSTITUTE($A1587,"-",""),"(",""),")",""),".",""),"+","")," ","")))</f>
      </c>
    </row>
    <row r="1588" spans="1:11" x14ac:dyDescent="0.3">
      <c r="A1588" s="28"/>
      <c r="B1588" s="29"/>
      <c r="C1588" s="30"/>
      <c r="D1588" s="31"/>
      <c r="E1588" s="33">
        <f>IF(OR($D1588="",$K1588=""),"",IF(COUNTIFS(Payments!$G$5:$G$2500,$K1588,Payments!$C$5:$C$2500,"&lt;&gt;")=0,"",_xlfn.MAXIFS(Payments!$C$5:$C$2500,Payments!$G$5:$G$2500,$K1588)))</f>
      </c>
      <c r="F1588" s="34">
        <f>IF(OR($D1588="",$K1588=""),"",SUMIF(Payments!$G$5:$G$2500,$K1588,Payments!$D$5:$D$2500))</f>
      </c>
      <c r="G1588" s="36">
        <f>IF($D1588="","",ROUND($D1588-IF($F1588="",0,$F1588),2))</f>
      </c>
      <c r="H1588" s="35">
        <f>IF(OR($D1588="",$K1588=""),"",COUNTIF(Payments!$G$5:$G$2500,$K1588))</f>
      </c>
      <c r="I1588" s="37">
        <f>IF($D1588="","",IF(OR($F1588="",$F1588=0),"Pending",IF(ROUND($F1588-$D1588,2)&gt;0,"Overpaid",IF(ROUND($F1588-$D1588,2)=0,"Paid","Partial"))))</f>
      </c>
      <c r="J1588" s="29"/>
      <c r="K1588">
        <f>IF($A1588="","","#"&amp;TRIM(SUBSTITUTE(SUBSTITUTE(SUBSTITUTE(SUBSTITUTE(SUBSTITUTE(SUBSTITUTE($A1588,"-",""),"(",""),")",""),".",""),"+","")," ","")))</f>
      </c>
    </row>
    <row r="1589" spans="1:11" x14ac:dyDescent="0.3">
      <c r="A1589" s="28"/>
      <c r="B1589" s="29"/>
      <c r="C1589" s="30"/>
      <c r="D1589" s="31"/>
      <c r="E1589" s="33">
        <f>IF(OR($D1589="",$K1589=""),"",IF(COUNTIFS(Payments!$G$5:$G$2500,$K1589,Payments!$C$5:$C$2500,"&lt;&gt;")=0,"",_xlfn.MAXIFS(Payments!$C$5:$C$2500,Payments!$G$5:$G$2500,$K1589)))</f>
      </c>
      <c r="F1589" s="34">
        <f>IF(OR($D1589="",$K1589=""),"",SUMIF(Payments!$G$5:$G$2500,$K1589,Payments!$D$5:$D$2500))</f>
      </c>
      <c r="G1589" s="36">
        <f>IF($D1589="","",ROUND($D1589-IF($F1589="",0,$F1589),2))</f>
      </c>
      <c r="H1589" s="35">
        <f>IF(OR($D1589="",$K1589=""),"",COUNTIF(Payments!$G$5:$G$2500,$K1589))</f>
      </c>
      <c r="I1589" s="37">
        <f>IF($D1589="","",IF(OR($F1589="",$F1589=0),"Pending",IF(ROUND($F1589-$D1589,2)&gt;0,"Overpaid",IF(ROUND($F1589-$D1589,2)=0,"Paid","Partial"))))</f>
      </c>
      <c r="J1589" s="29"/>
      <c r="K1589">
        <f>IF($A1589="","","#"&amp;TRIM(SUBSTITUTE(SUBSTITUTE(SUBSTITUTE(SUBSTITUTE(SUBSTITUTE(SUBSTITUTE($A1589,"-",""),"(",""),")",""),".",""),"+","")," ","")))</f>
      </c>
    </row>
    <row r="1590" spans="1:11" x14ac:dyDescent="0.3">
      <c r="A1590" s="28"/>
      <c r="B1590" s="29"/>
      <c r="C1590" s="30"/>
      <c r="D1590" s="31"/>
      <c r="E1590" s="33">
        <f>IF(OR($D1590="",$K1590=""),"",IF(COUNTIFS(Payments!$G$5:$G$2500,$K1590,Payments!$C$5:$C$2500,"&lt;&gt;")=0,"",_xlfn.MAXIFS(Payments!$C$5:$C$2500,Payments!$G$5:$G$2500,$K1590)))</f>
      </c>
      <c r="F1590" s="34">
        <f>IF(OR($D1590="",$K1590=""),"",SUMIF(Payments!$G$5:$G$2500,$K1590,Payments!$D$5:$D$2500))</f>
      </c>
      <c r="G1590" s="36">
        <f>IF($D1590="","",ROUND($D1590-IF($F1590="",0,$F1590),2))</f>
      </c>
      <c r="H1590" s="35">
        <f>IF(OR($D1590="",$K1590=""),"",COUNTIF(Payments!$G$5:$G$2500,$K1590))</f>
      </c>
      <c r="I1590" s="37">
        <f>IF($D1590="","",IF(OR($F1590="",$F1590=0),"Pending",IF(ROUND($F1590-$D1590,2)&gt;0,"Overpaid",IF(ROUND($F1590-$D1590,2)=0,"Paid","Partial"))))</f>
      </c>
      <c r="J1590" s="29"/>
      <c r="K1590">
        <f>IF($A1590="","","#"&amp;TRIM(SUBSTITUTE(SUBSTITUTE(SUBSTITUTE(SUBSTITUTE(SUBSTITUTE(SUBSTITUTE($A1590,"-",""),"(",""),")",""),".",""),"+","")," ","")))</f>
      </c>
    </row>
    <row r="1591" spans="1:11" x14ac:dyDescent="0.3">
      <c r="A1591" s="28"/>
      <c r="B1591" s="29"/>
      <c r="C1591" s="30"/>
      <c r="D1591" s="31"/>
      <c r="E1591" s="33">
        <f>IF(OR($D1591="",$K1591=""),"",IF(COUNTIFS(Payments!$G$5:$G$2500,$K1591,Payments!$C$5:$C$2500,"&lt;&gt;")=0,"",_xlfn.MAXIFS(Payments!$C$5:$C$2500,Payments!$G$5:$G$2500,$K1591)))</f>
      </c>
      <c r="F1591" s="34">
        <f>IF(OR($D1591="",$K1591=""),"",SUMIF(Payments!$G$5:$G$2500,$K1591,Payments!$D$5:$D$2500))</f>
      </c>
      <c r="G1591" s="36">
        <f>IF($D1591="","",ROUND($D1591-IF($F1591="",0,$F1591),2))</f>
      </c>
      <c r="H1591" s="35">
        <f>IF(OR($D1591="",$K1591=""),"",COUNTIF(Payments!$G$5:$G$2500,$K1591))</f>
      </c>
      <c r="I1591" s="37">
        <f>IF($D1591="","",IF(OR($F1591="",$F1591=0),"Pending",IF(ROUND($F1591-$D1591,2)&gt;0,"Overpaid",IF(ROUND($F1591-$D1591,2)=0,"Paid","Partial"))))</f>
      </c>
      <c r="J1591" s="29"/>
      <c r="K1591">
        <f>IF($A1591="","","#"&amp;TRIM(SUBSTITUTE(SUBSTITUTE(SUBSTITUTE(SUBSTITUTE(SUBSTITUTE(SUBSTITUTE($A1591,"-",""),"(",""),")",""),".",""),"+","")," ","")))</f>
      </c>
    </row>
    <row r="1592" spans="1:11" x14ac:dyDescent="0.3">
      <c r="A1592" s="28"/>
      <c r="B1592" s="29"/>
      <c r="C1592" s="30"/>
      <c r="D1592" s="31"/>
      <c r="E1592" s="33">
        <f>IF(OR($D1592="",$K1592=""),"",IF(COUNTIFS(Payments!$G$5:$G$2500,$K1592,Payments!$C$5:$C$2500,"&lt;&gt;")=0,"",_xlfn.MAXIFS(Payments!$C$5:$C$2500,Payments!$G$5:$G$2500,$K1592)))</f>
      </c>
      <c r="F1592" s="34">
        <f>IF(OR($D1592="",$K1592=""),"",SUMIF(Payments!$G$5:$G$2500,$K1592,Payments!$D$5:$D$2500))</f>
      </c>
      <c r="G1592" s="36">
        <f>IF($D1592="","",ROUND($D1592-IF($F1592="",0,$F1592),2))</f>
      </c>
      <c r="H1592" s="35">
        <f>IF(OR($D1592="",$K1592=""),"",COUNTIF(Payments!$G$5:$G$2500,$K1592))</f>
      </c>
      <c r="I1592" s="37">
        <f>IF($D1592="","",IF(OR($F1592="",$F1592=0),"Pending",IF(ROUND($F1592-$D1592,2)&gt;0,"Overpaid",IF(ROUND($F1592-$D1592,2)=0,"Paid","Partial"))))</f>
      </c>
      <c r="J1592" s="29"/>
      <c r="K1592">
        <f>IF($A1592="","","#"&amp;TRIM(SUBSTITUTE(SUBSTITUTE(SUBSTITUTE(SUBSTITUTE(SUBSTITUTE(SUBSTITUTE($A1592,"-",""),"(",""),")",""),".",""),"+","")," ","")))</f>
      </c>
    </row>
    <row r="1593" spans="1:11" x14ac:dyDescent="0.3">
      <c r="A1593" s="28"/>
      <c r="B1593" s="29"/>
      <c r="C1593" s="30"/>
      <c r="D1593" s="31"/>
      <c r="E1593" s="33">
        <f>IF(OR($D1593="",$K1593=""),"",IF(COUNTIFS(Payments!$G$5:$G$2500,$K1593,Payments!$C$5:$C$2500,"&lt;&gt;")=0,"",_xlfn.MAXIFS(Payments!$C$5:$C$2500,Payments!$G$5:$G$2500,$K1593)))</f>
      </c>
      <c r="F1593" s="34">
        <f>IF(OR($D1593="",$K1593=""),"",SUMIF(Payments!$G$5:$G$2500,$K1593,Payments!$D$5:$D$2500))</f>
      </c>
      <c r="G1593" s="36">
        <f>IF($D1593="","",ROUND($D1593-IF($F1593="",0,$F1593),2))</f>
      </c>
      <c r="H1593" s="35">
        <f>IF(OR($D1593="",$K1593=""),"",COUNTIF(Payments!$G$5:$G$2500,$K1593))</f>
      </c>
      <c r="I1593" s="37">
        <f>IF($D1593="","",IF(OR($F1593="",$F1593=0),"Pending",IF(ROUND($F1593-$D1593,2)&gt;0,"Overpaid",IF(ROUND($F1593-$D1593,2)=0,"Paid","Partial"))))</f>
      </c>
      <c r="J1593" s="29"/>
      <c r="K1593">
        <f>IF($A1593="","","#"&amp;TRIM(SUBSTITUTE(SUBSTITUTE(SUBSTITUTE(SUBSTITUTE(SUBSTITUTE(SUBSTITUTE($A1593,"-",""),"(",""),")",""),".",""),"+","")," ","")))</f>
      </c>
    </row>
    <row r="1594" spans="1:11" x14ac:dyDescent="0.3">
      <c r="A1594" s="28"/>
      <c r="B1594" s="29"/>
      <c r="C1594" s="30"/>
      <c r="D1594" s="31"/>
      <c r="E1594" s="33">
        <f>IF(OR($D1594="",$K1594=""),"",IF(COUNTIFS(Payments!$G$5:$G$2500,$K1594,Payments!$C$5:$C$2500,"&lt;&gt;")=0,"",_xlfn.MAXIFS(Payments!$C$5:$C$2500,Payments!$G$5:$G$2500,$K1594)))</f>
      </c>
      <c r="F1594" s="34">
        <f>IF(OR($D1594="",$K1594=""),"",SUMIF(Payments!$G$5:$G$2500,$K1594,Payments!$D$5:$D$2500))</f>
      </c>
      <c r="G1594" s="36">
        <f>IF($D1594="","",ROUND($D1594-IF($F1594="",0,$F1594),2))</f>
      </c>
      <c r="H1594" s="35">
        <f>IF(OR($D1594="",$K1594=""),"",COUNTIF(Payments!$G$5:$G$2500,$K1594))</f>
      </c>
      <c r="I1594" s="37">
        <f>IF($D1594="","",IF(OR($F1594="",$F1594=0),"Pending",IF(ROUND($F1594-$D1594,2)&gt;0,"Overpaid",IF(ROUND($F1594-$D1594,2)=0,"Paid","Partial"))))</f>
      </c>
      <c r="J1594" s="29"/>
      <c r="K1594">
        <f>IF($A1594="","","#"&amp;TRIM(SUBSTITUTE(SUBSTITUTE(SUBSTITUTE(SUBSTITUTE(SUBSTITUTE(SUBSTITUTE($A1594,"-",""),"(",""),")",""),".",""),"+","")," ","")))</f>
      </c>
    </row>
    <row r="1595" spans="1:11" x14ac:dyDescent="0.3">
      <c r="A1595" s="28"/>
      <c r="B1595" s="29"/>
      <c r="C1595" s="30"/>
      <c r="D1595" s="31"/>
      <c r="E1595" s="33">
        <f>IF(OR($D1595="",$K1595=""),"",IF(COUNTIFS(Payments!$G$5:$G$2500,$K1595,Payments!$C$5:$C$2500,"&lt;&gt;")=0,"",_xlfn.MAXIFS(Payments!$C$5:$C$2500,Payments!$G$5:$G$2500,$K1595)))</f>
      </c>
      <c r="F1595" s="34">
        <f>IF(OR($D1595="",$K1595=""),"",SUMIF(Payments!$G$5:$G$2500,$K1595,Payments!$D$5:$D$2500))</f>
      </c>
      <c r="G1595" s="36">
        <f>IF($D1595="","",ROUND($D1595-IF($F1595="",0,$F1595),2))</f>
      </c>
      <c r="H1595" s="35">
        <f>IF(OR($D1595="",$K1595=""),"",COUNTIF(Payments!$G$5:$G$2500,$K1595))</f>
      </c>
      <c r="I1595" s="37">
        <f>IF($D1595="","",IF(OR($F1595="",$F1595=0),"Pending",IF(ROUND($F1595-$D1595,2)&gt;0,"Overpaid",IF(ROUND($F1595-$D1595,2)=0,"Paid","Partial"))))</f>
      </c>
      <c r="J1595" s="29"/>
      <c r="K1595">
        <f>IF($A1595="","","#"&amp;TRIM(SUBSTITUTE(SUBSTITUTE(SUBSTITUTE(SUBSTITUTE(SUBSTITUTE(SUBSTITUTE($A1595,"-",""),"(",""),")",""),".",""),"+","")," ","")))</f>
      </c>
    </row>
    <row r="1596" spans="1:11" x14ac:dyDescent="0.3">
      <c r="A1596" s="28"/>
      <c r="B1596" s="29"/>
      <c r="C1596" s="30"/>
      <c r="D1596" s="31"/>
      <c r="E1596" s="33">
        <f>IF(OR($D1596="",$K1596=""),"",IF(COUNTIFS(Payments!$G$5:$G$2500,$K1596,Payments!$C$5:$C$2500,"&lt;&gt;")=0,"",_xlfn.MAXIFS(Payments!$C$5:$C$2500,Payments!$G$5:$G$2500,$K1596)))</f>
      </c>
      <c r="F1596" s="34">
        <f>IF(OR($D1596="",$K1596=""),"",SUMIF(Payments!$G$5:$G$2500,$K1596,Payments!$D$5:$D$2500))</f>
      </c>
      <c r="G1596" s="36">
        <f>IF($D1596="","",ROUND($D1596-IF($F1596="",0,$F1596),2))</f>
      </c>
      <c r="H1596" s="35">
        <f>IF(OR($D1596="",$K1596=""),"",COUNTIF(Payments!$G$5:$G$2500,$K1596))</f>
      </c>
      <c r="I1596" s="37">
        <f>IF($D1596="","",IF(OR($F1596="",$F1596=0),"Pending",IF(ROUND($F1596-$D1596,2)&gt;0,"Overpaid",IF(ROUND($F1596-$D1596,2)=0,"Paid","Partial"))))</f>
      </c>
      <c r="J1596" s="29"/>
      <c r="K1596">
        <f>IF($A1596="","","#"&amp;TRIM(SUBSTITUTE(SUBSTITUTE(SUBSTITUTE(SUBSTITUTE(SUBSTITUTE(SUBSTITUTE($A1596,"-",""),"(",""),")",""),".",""),"+","")," ","")))</f>
      </c>
    </row>
    <row r="1597" spans="1:11" x14ac:dyDescent="0.3">
      <c r="A1597" s="28"/>
      <c r="B1597" s="29"/>
      <c r="C1597" s="30"/>
      <c r="D1597" s="31"/>
      <c r="E1597" s="33">
        <f>IF(OR($D1597="",$K1597=""),"",IF(COUNTIFS(Payments!$G$5:$G$2500,$K1597,Payments!$C$5:$C$2500,"&lt;&gt;")=0,"",_xlfn.MAXIFS(Payments!$C$5:$C$2500,Payments!$G$5:$G$2500,$K1597)))</f>
      </c>
      <c r="F1597" s="34">
        <f>IF(OR($D1597="",$K1597=""),"",SUMIF(Payments!$G$5:$G$2500,$K1597,Payments!$D$5:$D$2500))</f>
      </c>
      <c r="G1597" s="36">
        <f>IF($D1597="","",ROUND($D1597-IF($F1597="",0,$F1597),2))</f>
      </c>
      <c r="H1597" s="35">
        <f>IF(OR($D1597="",$K1597=""),"",COUNTIF(Payments!$G$5:$G$2500,$K1597))</f>
      </c>
      <c r="I1597" s="37">
        <f>IF($D1597="","",IF(OR($F1597="",$F1597=0),"Pending",IF(ROUND($F1597-$D1597,2)&gt;0,"Overpaid",IF(ROUND($F1597-$D1597,2)=0,"Paid","Partial"))))</f>
      </c>
      <c r="J1597" s="29"/>
      <c r="K1597">
        <f>IF($A1597="","","#"&amp;TRIM(SUBSTITUTE(SUBSTITUTE(SUBSTITUTE(SUBSTITUTE(SUBSTITUTE(SUBSTITUTE($A1597,"-",""),"(",""),")",""),".",""),"+","")," ","")))</f>
      </c>
    </row>
    <row r="1598" spans="1:11" x14ac:dyDescent="0.3">
      <c r="A1598" s="28"/>
      <c r="B1598" s="29"/>
      <c r="C1598" s="30"/>
      <c r="D1598" s="31"/>
      <c r="E1598" s="33">
        <f>IF(OR($D1598="",$K1598=""),"",IF(COUNTIFS(Payments!$G$5:$G$2500,$K1598,Payments!$C$5:$C$2500,"&lt;&gt;")=0,"",_xlfn.MAXIFS(Payments!$C$5:$C$2500,Payments!$G$5:$G$2500,$K1598)))</f>
      </c>
      <c r="F1598" s="34">
        <f>IF(OR($D1598="",$K1598=""),"",SUMIF(Payments!$G$5:$G$2500,$K1598,Payments!$D$5:$D$2500))</f>
      </c>
      <c r="G1598" s="36">
        <f>IF($D1598="","",ROUND($D1598-IF($F1598="",0,$F1598),2))</f>
      </c>
      <c r="H1598" s="35">
        <f>IF(OR($D1598="",$K1598=""),"",COUNTIF(Payments!$G$5:$G$2500,$K1598))</f>
      </c>
      <c r="I1598" s="37">
        <f>IF($D1598="","",IF(OR($F1598="",$F1598=0),"Pending",IF(ROUND($F1598-$D1598,2)&gt;0,"Overpaid",IF(ROUND($F1598-$D1598,2)=0,"Paid","Partial"))))</f>
      </c>
      <c r="J1598" s="29"/>
      <c r="K1598">
        <f>IF($A1598="","","#"&amp;TRIM(SUBSTITUTE(SUBSTITUTE(SUBSTITUTE(SUBSTITUTE(SUBSTITUTE(SUBSTITUTE($A1598,"-",""),"(",""),")",""),".",""),"+","")," ","")))</f>
      </c>
    </row>
    <row r="1599" spans="1:11" x14ac:dyDescent="0.3">
      <c r="A1599" s="28"/>
      <c r="B1599" s="29"/>
      <c r="C1599" s="30"/>
      <c r="D1599" s="31"/>
      <c r="E1599" s="33">
        <f>IF(OR($D1599="",$K1599=""),"",IF(COUNTIFS(Payments!$G$5:$G$2500,$K1599,Payments!$C$5:$C$2500,"&lt;&gt;")=0,"",_xlfn.MAXIFS(Payments!$C$5:$C$2500,Payments!$G$5:$G$2500,$K1599)))</f>
      </c>
      <c r="F1599" s="34">
        <f>IF(OR($D1599="",$K1599=""),"",SUMIF(Payments!$G$5:$G$2500,$K1599,Payments!$D$5:$D$2500))</f>
      </c>
      <c r="G1599" s="36">
        <f>IF($D1599="","",ROUND($D1599-IF($F1599="",0,$F1599),2))</f>
      </c>
      <c r="H1599" s="35">
        <f>IF(OR($D1599="",$K1599=""),"",COUNTIF(Payments!$G$5:$G$2500,$K1599))</f>
      </c>
      <c r="I1599" s="37">
        <f>IF($D1599="","",IF(OR($F1599="",$F1599=0),"Pending",IF(ROUND($F1599-$D1599,2)&gt;0,"Overpaid",IF(ROUND($F1599-$D1599,2)=0,"Paid","Partial"))))</f>
      </c>
      <c r="J1599" s="29"/>
      <c r="K1599">
        <f>IF($A1599="","","#"&amp;TRIM(SUBSTITUTE(SUBSTITUTE(SUBSTITUTE(SUBSTITUTE(SUBSTITUTE(SUBSTITUTE($A1599,"-",""),"(",""),")",""),".",""),"+","")," ","")))</f>
      </c>
    </row>
    <row r="1600" spans="1:11" x14ac:dyDescent="0.3">
      <c r="A1600" s="28"/>
      <c r="B1600" s="29"/>
      <c r="C1600" s="30"/>
      <c r="D1600" s="31"/>
      <c r="E1600" s="33">
        <f>IF(OR($D1600="",$K1600=""),"",IF(COUNTIFS(Payments!$G$5:$G$2500,$K1600,Payments!$C$5:$C$2500,"&lt;&gt;")=0,"",_xlfn.MAXIFS(Payments!$C$5:$C$2500,Payments!$G$5:$G$2500,$K1600)))</f>
      </c>
      <c r="F1600" s="34">
        <f>IF(OR($D1600="",$K1600=""),"",SUMIF(Payments!$G$5:$G$2500,$K1600,Payments!$D$5:$D$2500))</f>
      </c>
      <c r="G1600" s="36">
        <f>IF($D1600="","",ROUND($D1600-IF($F1600="",0,$F1600),2))</f>
      </c>
      <c r="H1600" s="35">
        <f>IF(OR($D1600="",$K1600=""),"",COUNTIF(Payments!$G$5:$G$2500,$K1600))</f>
      </c>
      <c r="I1600" s="37">
        <f>IF($D1600="","",IF(OR($F1600="",$F1600=0),"Pending",IF(ROUND($F1600-$D1600,2)&gt;0,"Overpaid",IF(ROUND($F1600-$D1600,2)=0,"Paid","Partial"))))</f>
      </c>
      <c r="J1600" s="29"/>
      <c r="K1600">
        <f>IF($A1600="","","#"&amp;TRIM(SUBSTITUTE(SUBSTITUTE(SUBSTITUTE(SUBSTITUTE(SUBSTITUTE(SUBSTITUTE($A1600,"-",""),"(",""),")",""),".",""),"+","")," ","")))</f>
      </c>
    </row>
    <row r="1601" spans="1:11" x14ac:dyDescent="0.3">
      <c r="A1601" s="28"/>
      <c r="B1601" s="29"/>
      <c r="C1601" s="30"/>
      <c r="D1601" s="31"/>
      <c r="E1601" s="33">
        <f>IF(OR($D1601="",$K1601=""),"",IF(COUNTIFS(Payments!$G$5:$G$2500,$K1601,Payments!$C$5:$C$2500,"&lt;&gt;")=0,"",_xlfn.MAXIFS(Payments!$C$5:$C$2500,Payments!$G$5:$G$2500,$K1601)))</f>
      </c>
      <c r="F1601" s="34">
        <f>IF(OR($D1601="",$K1601=""),"",SUMIF(Payments!$G$5:$G$2500,$K1601,Payments!$D$5:$D$2500))</f>
      </c>
      <c r="G1601" s="36">
        <f>IF($D1601="","",ROUND($D1601-IF($F1601="",0,$F1601),2))</f>
      </c>
      <c r="H1601" s="35">
        <f>IF(OR($D1601="",$K1601=""),"",COUNTIF(Payments!$G$5:$G$2500,$K1601))</f>
      </c>
      <c r="I1601" s="37">
        <f>IF($D1601="","",IF(OR($F1601="",$F1601=0),"Pending",IF(ROUND($F1601-$D1601,2)&gt;0,"Overpaid",IF(ROUND($F1601-$D1601,2)=0,"Paid","Partial"))))</f>
      </c>
      <c r="J1601" s="29"/>
      <c r="K1601">
        <f>IF($A1601="","","#"&amp;TRIM(SUBSTITUTE(SUBSTITUTE(SUBSTITUTE(SUBSTITUTE(SUBSTITUTE(SUBSTITUTE($A1601,"-",""),"(",""),")",""),".",""),"+","")," ","")))</f>
      </c>
    </row>
    <row r="1602" spans="1:11" x14ac:dyDescent="0.3">
      <c r="A1602" s="28"/>
      <c r="B1602" s="29"/>
      <c r="C1602" s="30"/>
      <c r="D1602" s="31"/>
      <c r="E1602" s="33">
        <f>IF(OR($D1602="",$K1602=""),"",IF(COUNTIFS(Payments!$G$5:$G$2500,$K1602,Payments!$C$5:$C$2500,"&lt;&gt;")=0,"",_xlfn.MAXIFS(Payments!$C$5:$C$2500,Payments!$G$5:$G$2500,$K1602)))</f>
      </c>
      <c r="F1602" s="34">
        <f>IF(OR($D1602="",$K1602=""),"",SUMIF(Payments!$G$5:$G$2500,$K1602,Payments!$D$5:$D$2500))</f>
      </c>
      <c r="G1602" s="36">
        <f>IF($D1602="","",ROUND($D1602-IF($F1602="",0,$F1602),2))</f>
      </c>
      <c r="H1602" s="35">
        <f>IF(OR($D1602="",$K1602=""),"",COUNTIF(Payments!$G$5:$G$2500,$K1602))</f>
      </c>
      <c r="I1602" s="37">
        <f>IF($D1602="","",IF(OR($F1602="",$F1602=0),"Pending",IF(ROUND($F1602-$D1602,2)&gt;0,"Overpaid",IF(ROUND($F1602-$D1602,2)=0,"Paid","Partial"))))</f>
      </c>
      <c r="J1602" s="29"/>
      <c r="K1602">
        <f>IF($A1602="","","#"&amp;TRIM(SUBSTITUTE(SUBSTITUTE(SUBSTITUTE(SUBSTITUTE(SUBSTITUTE(SUBSTITUTE($A1602,"-",""),"(",""),")",""),".",""),"+","")," ","")))</f>
      </c>
    </row>
    <row r="1603" spans="1:11" x14ac:dyDescent="0.3">
      <c r="A1603" s="28"/>
      <c r="B1603" s="29"/>
      <c r="C1603" s="30"/>
      <c r="D1603" s="31"/>
      <c r="E1603" s="33">
        <f>IF(OR($D1603="",$K1603=""),"",IF(COUNTIFS(Payments!$G$5:$G$2500,$K1603,Payments!$C$5:$C$2500,"&lt;&gt;")=0,"",_xlfn.MAXIFS(Payments!$C$5:$C$2500,Payments!$G$5:$G$2500,$K1603)))</f>
      </c>
      <c r="F1603" s="34">
        <f>IF(OR($D1603="",$K1603=""),"",SUMIF(Payments!$G$5:$G$2500,$K1603,Payments!$D$5:$D$2500))</f>
      </c>
      <c r="G1603" s="36">
        <f>IF($D1603="","",ROUND($D1603-IF($F1603="",0,$F1603),2))</f>
      </c>
      <c r="H1603" s="35">
        <f>IF(OR($D1603="",$K1603=""),"",COUNTIF(Payments!$G$5:$G$2500,$K1603))</f>
      </c>
      <c r="I1603" s="37">
        <f>IF($D1603="","",IF(OR($F1603="",$F1603=0),"Pending",IF(ROUND($F1603-$D1603,2)&gt;0,"Overpaid",IF(ROUND($F1603-$D1603,2)=0,"Paid","Partial"))))</f>
      </c>
      <c r="J1603" s="29"/>
      <c r="K1603">
        <f>IF($A1603="","","#"&amp;TRIM(SUBSTITUTE(SUBSTITUTE(SUBSTITUTE(SUBSTITUTE(SUBSTITUTE(SUBSTITUTE($A1603,"-",""),"(",""),")",""),".",""),"+","")," ","")))</f>
      </c>
    </row>
    <row r="1604" spans="1:11" x14ac:dyDescent="0.3">
      <c r="A1604" s="28"/>
      <c r="B1604" s="29"/>
      <c r="C1604" s="30"/>
      <c r="D1604" s="31"/>
      <c r="E1604" s="33">
        <f>IF(OR($D1604="",$K1604=""),"",IF(COUNTIFS(Payments!$G$5:$G$2500,$K1604,Payments!$C$5:$C$2500,"&lt;&gt;")=0,"",_xlfn.MAXIFS(Payments!$C$5:$C$2500,Payments!$G$5:$G$2500,$K1604)))</f>
      </c>
      <c r="F1604" s="34">
        <f>IF(OR($D1604="",$K1604=""),"",SUMIF(Payments!$G$5:$G$2500,$K1604,Payments!$D$5:$D$2500))</f>
      </c>
      <c r="G1604" s="36">
        <f>IF($D1604="","",ROUND($D1604-IF($F1604="",0,$F1604),2))</f>
      </c>
      <c r="H1604" s="35">
        <f>IF(OR($D1604="",$K1604=""),"",COUNTIF(Payments!$G$5:$G$2500,$K1604))</f>
      </c>
      <c r="I1604" s="37">
        <f>IF($D1604="","",IF(OR($F1604="",$F1604=0),"Pending",IF(ROUND($F1604-$D1604,2)&gt;0,"Overpaid",IF(ROUND($F1604-$D1604,2)=0,"Paid","Partial"))))</f>
      </c>
      <c r="J1604" s="29"/>
      <c r="K1604">
        <f>IF($A1604="","","#"&amp;TRIM(SUBSTITUTE(SUBSTITUTE(SUBSTITUTE(SUBSTITUTE(SUBSTITUTE(SUBSTITUTE($A1604,"-",""),"(",""),")",""),".",""),"+","")," ","")))</f>
      </c>
    </row>
    <row r="1605" spans="1:11" x14ac:dyDescent="0.3">
      <c r="A1605" s="28"/>
      <c r="B1605" s="29"/>
      <c r="C1605" s="30"/>
      <c r="D1605" s="31"/>
      <c r="E1605" s="33">
        <f>IF(OR($D1605="",$K1605=""),"",IF(COUNTIFS(Payments!$G$5:$G$2500,$K1605,Payments!$C$5:$C$2500,"&lt;&gt;")=0,"",_xlfn.MAXIFS(Payments!$C$5:$C$2500,Payments!$G$5:$G$2500,$K1605)))</f>
      </c>
      <c r="F1605" s="34">
        <f>IF(OR($D1605="",$K1605=""),"",SUMIF(Payments!$G$5:$G$2500,$K1605,Payments!$D$5:$D$2500))</f>
      </c>
      <c r="G1605" s="36">
        <f>IF($D1605="","",ROUND($D1605-IF($F1605="",0,$F1605),2))</f>
      </c>
      <c r="H1605" s="35">
        <f>IF(OR($D1605="",$K1605=""),"",COUNTIF(Payments!$G$5:$G$2500,$K1605))</f>
      </c>
      <c r="I1605" s="37">
        <f>IF($D1605="","",IF(OR($F1605="",$F1605=0),"Pending",IF(ROUND($F1605-$D1605,2)&gt;0,"Overpaid",IF(ROUND($F1605-$D1605,2)=0,"Paid","Partial"))))</f>
      </c>
      <c r="J1605" s="29"/>
      <c r="K1605">
        <f>IF($A1605="","","#"&amp;TRIM(SUBSTITUTE(SUBSTITUTE(SUBSTITUTE(SUBSTITUTE(SUBSTITUTE(SUBSTITUTE($A1605,"-",""),"(",""),")",""),".",""),"+","")," ","")))</f>
      </c>
    </row>
    <row r="1606" spans="1:11" x14ac:dyDescent="0.3">
      <c r="A1606" s="28"/>
      <c r="B1606" s="29"/>
      <c r="C1606" s="30"/>
      <c r="D1606" s="31"/>
      <c r="E1606" s="33">
        <f>IF(OR($D1606="",$K1606=""),"",IF(COUNTIFS(Payments!$G$5:$G$2500,$K1606,Payments!$C$5:$C$2500,"&lt;&gt;")=0,"",_xlfn.MAXIFS(Payments!$C$5:$C$2500,Payments!$G$5:$G$2500,$K1606)))</f>
      </c>
      <c r="F1606" s="34">
        <f>IF(OR($D1606="",$K1606=""),"",SUMIF(Payments!$G$5:$G$2500,$K1606,Payments!$D$5:$D$2500))</f>
      </c>
      <c r="G1606" s="36">
        <f>IF($D1606="","",ROUND($D1606-IF($F1606="",0,$F1606),2))</f>
      </c>
      <c r="H1606" s="35">
        <f>IF(OR($D1606="",$K1606=""),"",COUNTIF(Payments!$G$5:$G$2500,$K1606))</f>
      </c>
      <c r="I1606" s="37">
        <f>IF($D1606="","",IF(OR($F1606="",$F1606=0),"Pending",IF(ROUND($F1606-$D1606,2)&gt;0,"Overpaid",IF(ROUND($F1606-$D1606,2)=0,"Paid","Partial"))))</f>
      </c>
      <c r="J1606" s="29"/>
      <c r="K1606">
        <f>IF($A1606="","","#"&amp;TRIM(SUBSTITUTE(SUBSTITUTE(SUBSTITUTE(SUBSTITUTE(SUBSTITUTE(SUBSTITUTE($A1606,"-",""),"(",""),")",""),".",""),"+","")," ","")))</f>
      </c>
    </row>
    <row r="1607" spans="1:11" x14ac:dyDescent="0.3">
      <c r="A1607" s="28"/>
      <c r="B1607" s="29"/>
      <c r="C1607" s="30"/>
      <c r="D1607" s="31"/>
      <c r="E1607" s="33">
        <f>IF(OR($D1607="",$K1607=""),"",IF(COUNTIFS(Payments!$G$5:$G$2500,$K1607,Payments!$C$5:$C$2500,"&lt;&gt;")=0,"",_xlfn.MAXIFS(Payments!$C$5:$C$2500,Payments!$G$5:$G$2500,$K1607)))</f>
      </c>
      <c r="F1607" s="34">
        <f>IF(OR($D1607="",$K1607=""),"",SUMIF(Payments!$G$5:$G$2500,$K1607,Payments!$D$5:$D$2500))</f>
      </c>
      <c r="G1607" s="36">
        <f>IF($D1607="","",ROUND($D1607-IF($F1607="",0,$F1607),2))</f>
      </c>
      <c r="H1607" s="35">
        <f>IF(OR($D1607="",$K1607=""),"",COUNTIF(Payments!$G$5:$G$2500,$K1607))</f>
      </c>
      <c r="I1607" s="37">
        <f>IF($D1607="","",IF(OR($F1607="",$F1607=0),"Pending",IF(ROUND($F1607-$D1607,2)&gt;0,"Overpaid",IF(ROUND($F1607-$D1607,2)=0,"Paid","Partial"))))</f>
      </c>
      <c r="J1607" s="29"/>
      <c r="K1607">
        <f>IF($A1607="","","#"&amp;TRIM(SUBSTITUTE(SUBSTITUTE(SUBSTITUTE(SUBSTITUTE(SUBSTITUTE(SUBSTITUTE($A1607,"-",""),"(",""),")",""),".",""),"+","")," ","")))</f>
      </c>
    </row>
    <row r="1608" spans="1:11" x14ac:dyDescent="0.3">
      <c r="A1608" s="28"/>
      <c r="B1608" s="29"/>
      <c r="C1608" s="30"/>
      <c r="D1608" s="31"/>
      <c r="E1608" s="33">
        <f>IF(OR($D1608="",$K1608=""),"",IF(COUNTIFS(Payments!$G$5:$G$2500,$K1608,Payments!$C$5:$C$2500,"&lt;&gt;")=0,"",_xlfn.MAXIFS(Payments!$C$5:$C$2500,Payments!$G$5:$G$2500,$K1608)))</f>
      </c>
      <c r="F1608" s="34">
        <f>IF(OR($D1608="",$K1608=""),"",SUMIF(Payments!$G$5:$G$2500,$K1608,Payments!$D$5:$D$2500))</f>
      </c>
      <c r="G1608" s="36">
        <f>IF($D1608="","",ROUND($D1608-IF($F1608="",0,$F1608),2))</f>
      </c>
      <c r="H1608" s="35">
        <f>IF(OR($D1608="",$K1608=""),"",COUNTIF(Payments!$G$5:$G$2500,$K1608))</f>
      </c>
      <c r="I1608" s="37">
        <f>IF($D1608="","",IF(OR($F1608="",$F1608=0),"Pending",IF(ROUND($F1608-$D1608,2)&gt;0,"Overpaid",IF(ROUND($F1608-$D1608,2)=0,"Paid","Partial"))))</f>
      </c>
      <c r="J1608" s="29"/>
      <c r="K1608">
        <f>IF($A1608="","","#"&amp;TRIM(SUBSTITUTE(SUBSTITUTE(SUBSTITUTE(SUBSTITUTE(SUBSTITUTE(SUBSTITUTE($A1608,"-",""),"(",""),")",""),".",""),"+","")," ","")))</f>
      </c>
    </row>
    <row r="1609" spans="1:11" x14ac:dyDescent="0.3">
      <c r="A1609" s="28"/>
      <c r="B1609" s="29"/>
      <c r="C1609" s="30"/>
      <c r="D1609" s="31"/>
      <c r="E1609" s="33">
        <f>IF(OR($D1609="",$K1609=""),"",IF(COUNTIFS(Payments!$G$5:$G$2500,$K1609,Payments!$C$5:$C$2500,"&lt;&gt;")=0,"",_xlfn.MAXIFS(Payments!$C$5:$C$2500,Payments!$G$5:$G$2500,$K1609)))</f>
      </c>
      <c r="F1609" s="34">
        <f>IF(OR($D1609="",$K1609=""),"",SUMIF(Payments!$G$5:$G$2500,$K1609,Payments!$D$5:$D$2500))</f>
      </c>
      <c r="G1609" s="36">
        <f>IF($D1609="","",ROUND($D1609-IF($F1609="",0,$F1609),2))</f>
      </c>
      <c r="H1609" s="35">
        <f>IF(OR($D1609="",$K1609=""),"",COUNTIF(Payments!$G$5:$G$2500,$K1609))</f>
      </c>
      <c r="I1609" s="37">
        <f>IF($D1609="","",IF(OR($F1609="",$F1609=0),"Pending",IF(ROUND($F1609-$D1609,2)&gt;0,"Overpaid",IF(ROUND($F1609-$D1609,2)=0,"Paid","Partial"))))</f>
      </c>
      <c r="J1609" s="29"/>
      <c r="K1609">
        <f>IF($A1609="","","#"&amp;TRIM(SUBSTITUTE(SUBSTITUTE(SUBSTITUTE(SUBSTITUTE(SUBSTITUTE(SUBSTITUTE($A1609,"-",""),"(",""),")",""),".",""),"+","")," ","")))</f>
      </c>
    </row>
    <row r="1610" spans="1:11" x14ac:dyDescent="0.3">
      <c r="A1610" s="28"/>
      <c r="B1610" s="29"/>
      <c r="C1610" s="30"/>
      <c r="D1610" s="31"/>
      <c r="E1610" s="33">
        <f>IF(OR($D1610="",$K1610=""),"",IF(COUNTIFS(Payments!$G$5:$G$2500,$K1610,Payments!$C$5:$C$2500,"&lt;&gt;")=0,"",_xlfn.MAXIFS(Payments!$C$5:$C$2500,Payments!$G$5:$G$2500,$K1610)))</f>
      </c>
      <c r="F1610" s="34">
        <f>IF(OR($D1610="",$K1610=""),"",SUMIF(Payments!$G$5:$G$2500,$K1610,Payments!$D$5:$D$2500))</f>
      </c>
      <c r="G1610" s="36">
        <f>IF($D1610="","",ROUND($D1610-IF($F1610="",0,$F1610),2))</f>
      </c>
      <c r="H1610" s="35">
        <f>IF(OR($D1610="",$K1610=""),"",COUNTIF(Payments!$G$5:$G$2500,$K1610))</f>
      </c>
      <c r="I1610" s="37">
        <f>IF($D1610="","",IF(OR($F1610="",$F1610=0),"Pending",IF(ROUND($F1610-$D1610,2)&gt;0,"Overpaid",IF(ROUND($F1610-$D1610,2)=0,"Paid","Partial"))))</f>
      </c>
      <c r="J1610" s="29"/>
      <c r="K1610">
        <f>IF($A1610="","","#"&amp;TRIM(SUBSTITUTE(SUBSTITUTE(SUBSTITUTE(SUBSTITUTE(SUBSTITUTE(SUBSTITUTE($A1610,"-",""),"(",""),")",""),".",""),"+","")," ","")))</f>
      </c>
    </row>
    <row r="1611" spans="1:11" x14ac:dyDescent="0.3">
      <c r="A1611" s="28"/>
      <c r="B1611" s="29"/>
      <c r="C1611" s="30"/>
      <c r="D1611" s="31"/>
      <c r="E1611" s="33">
        <f>IF(OR($D1611="",$K1611=""),"",IF(COUNTIFS(Payments!$G$5:$G$2500,$K1611,Payments!$C$5:$C$2500,"&lt;&gt;")=0,"",_xlfn.MAXIFS(Payments!$C$5:$C$2500,Payments!$G$5:$G$2500,$K1611)))</f>
      </c>
      <c r="F1611" s="34">
        <f>IF(OR($D1611="",$K1611=""),"",SUMIF(Payments!$G$5:$G$2500,$K1611,Payments!$D$5:$D$2500))</f>
      </c>
      <c r="G1611" s="36">
        <f>IF($D1611="","",ROUND($D1611-IF($F1611="",0,$F1611),2))</f>
      </c>
      <c r="H1611" s="35">
        <f>IF(OR($D1611="",$K1611=""),"",COUNTIF(Payments!$G$5:$G$2500,$K1611))</f>
      </c>
      <c r="I1611" s="37">
        <f>IF($D1611="","",IF(OR($F1611="",$F1611=0),"Pending",IF(ROUND($F1611-$D1611,2)&gt;0,"Overpaid",IF(ROUND($F1611-$D1611,2)=0,"Paid","Partial"))))</f>
      </c>
      <c r="J1611" s="29"/>
      <c r="K1611">
        <f>IF($A1611="","","#"&amp;TRIM(SUBSTITUTE(SUBSTITUTE(SUBSTITUTE(SUBSTITUTE(SUBSTITUTE(SUBSTITUTE($A1611,"-",""),"(",""),")",""),".",""),"+","")," ","")))</f>
      </c>
    </row>
    <row r="1612" spans="1:11" x14ac:dyDescent="0.3">
      <c r="A1612" s="28"/>
      <c r="B1612" s="29"/>
      <c r="C1612" s="30"/>
      <c r="D1612" s="31"/>
      <c r="E1612" s="33">
        <f>IF(OR($D1612="",$K1612=""),"",IF(COUNTIFS(Payments!$G$5:$G$2500,$K1612,Payments!$C$5:$C$2500,"&lt;&gt;")=0,"",_xlfn.MAXIFS(Payments!$C$5:$C$2500,Payments!$G$5:$G$2500,$K1612)))</f>
      </c>
      <c r="F1612" s="34">
        <f>IF(OR($D1612="",$K1612=""),"",SUMIF(Payments!$G$5:$G$2500,$K1612,Payments!$D$5:$D$2500))</f>
      </c>
      <c r="G1612" s="36">
        <f>IF($D1612="","",ROUND($D1612-IF($F1612="",0,$F1612),2))</f>
      </c>
      <c r="H1612" s="35">
        <f>IF(OR($D1612="",$K1612=""),"",COUNTIF(Payments!$G$5:$G$2500,$K1612))</f>
      </c>
      <c r="I1612" s="37">
        <f>IF($D1612="","",IF(OR($F1612="",$F1612=0),"Pending",IF(ROUND($F1612-$D1612,2)&gt;0,"Overpaid",IF(ROUND($F1612-$D1612,2)=0,"Paid","Partial"))))</f>
      </c>
      <c r="J1612" s="29"/>
      <c r="K1612">
        <f>IF($A1612="","","#"&amp;TRIM(SUBSTITUTE(SUBSTITUTE(SUBSTITUTE(SUBSTITUTE(SUBSTITUTE(SUBSTITUTE($A1612,"-",""),"(",""),")",""),".",""),"+","")," ","")))</f>
      </c>
    </row>
    <row r="1613" spans="1:11" x14ac:dyDescent="0.3">
      <c r="A1613" s="28"/>
      <c r="B1613" s="29"/>
      <c r="C1613" s="30"/>
      <c r="D1613" s="31"/>
      <c r="E1613" s="33">
        <f>IF(OR($D1613="",$K1613=""),"",IF(COUNTIFS(Payments!$G$5:$G$2500,$K1613,Payments!$C$5:$C$2500,"&lt;&gt;")=0,"",_xlfn.MAXIFS(Payments!$C$5:$C$2500,Payments!$G$5:$G$2500,$K1613)))</f>
      </c>
      <c r="F1613" s="34">
        <f>IF(OR($D1613="",$K1613=""),"",SUMIF(Payments!$G$5:$G$2500,$K1613,Payments!$D$5:$D$2500))</f>
      </c>
      <c r="G1613" s="36">
        <f>IF($D1613="","",ROUND($D1613-IF($F1613="",0,$F1613),2))</f>
      </c>
      <c r="H1613" s="35">
        <f>IF(OR($D1613="",$K1613=""),"",COUNTIF(Payments!$G$5:$G$2500,$K1613))</f>
      </c>
      <c r="I1613" s="37">
        <f>IF($D1613="","",IF(OR($F1613="",$F1613=0),"Pending",IF(ROUND($F1613-$D1613,2)&gt;0,"Overpaid",IF(ROUND($F1613-$D1613,2)=0,"Paid","Partial"))))</f>
      </c>
      <c r="J1613" s="29"/>
      <c r="K1613">
        <f>IF($A1613="","","#"&amp;TRIM(SUBSTITUTE(SUBSTITUTE(SUBSTITUTE(SUBSTITUTE(SUBSTITUTE(SUBSTITUTE($A1613,"-",""),"(",""),")",""),".",""),"+","")," ","")))</f>
      </c>
    </row>
    <row r="1614" spans="1:11" x14ac:dyDescent="0.3">
      <c r="A1614" s="28"/>
      <c r="B1614" s="29"/>
      <c r="C1614" s="30"/>
      <c r="D1614" s="31"/>
      <c r="E1614" s="33">
        <f>IF(OR($D1614="",$K1614=""),"",IF(COUNTIFS(Payments!$G$5:$G$2500,$K1614,Payments!$C$5:$C$2500,"&lt;&gt;")=0,"",_xlfn.MAXIFS(Payments!$C$5:$C$2500,Payments!$G$5:$G$2500,$K1614)))</f>
      </c>
      <c r="F1614" s="34">
        <f>IF(OR($D1614="",$K1614=""),"",SUMIF(Payments!$G$5:$G$2500,$K1614,Payments!$D$5:$D$2500))</f>
      </c>
      <c r="G1614" s="36">
        <f>IF($D1614="","",ROUND($D1614-IF($F1614="",0,$F1614),2))</f>
      </c>
      <c r="H1614" s="35">
        <f>IF(OR($D1614="",$K1614=""),"",COUNTIF(Payments!$G$5:$G$2500,$K1614))</f>
      </c>
      <c r="I1614" s="37">
        <f>IF($D1614="","",IF(OR($F1614="",$F1614=0),"Pending",IF(ROUND($F1614-$D1614,2)&gt;0,"Overpaid",IF(ROUND($F1614-$D1614,2)=0,"Paid","Partial"))))</f>
      </c>
      <c r="J1614" s="29"/>
      <c r="K1614">
        <f>IF($A1614="","","#"&amp;TRIM(SUBSTITUTE(SUBSTITUTE(SUBSTITUTE(SUBSTITUTE(SUBSTITUTE(SUBSTITUTE($A1614,"-",""),"(",""),")",""),".",""),"+","")," ","")))</f>
      </c>
    </row>
    <row r="1615" spans="1:11" x14ac:dyDescent="0.3">
      <c r="A1615" s="28"/>
      <c r="B1615" s="29"/>
      <c r="C1615" s="30"/>
      <c r="D1615" s="31"/>
      <c r="E1615" s="33">
        <f>IF(OR($D1615="",$K1615=""),"",IF(COUNTIFS(Payments!$G$5:$G$2500,$K1615,Payments!$C$5:$C$2500,"&lt;&gt;")=0,"",_xlfn.MAXIFS(Payments!$C$5:$C$2500,Payments!$G$5:$G$2500,$K1615)))</f>
      </c>
      <c r="F1615" s="34">
        <f>IF(OR($D1615="",$K1615=""),"",SUMIF(Payments!$G$5:$G$2500,$K1615,Payments!$D$5:$D$2500))</f>
      </c>
      <c r="G1615" s="36">
        <f>IF($D1615="","",ROUND($D1615-IF($F1615="",0,$F1615),2))</f>
      </c>
      <c r="H1615" s="35">
        <f>IF(OR($D1615="",$K1615=""),"",COUNTIF(Payments!$G$5:$G$2500,$K1615))</f>
      </c>
      <c r="I1615" s="37">
        <f>IF($D1615="","",IF(OR($F1615="",$F1615=0),"Pending",IF(ROUND($F1615-$D1615,2)&gt;0,"Overpaid",IF(ROUND($F1615-$D1615,2)=0,"Paid","Partial"))))</f>
      </c>
      <c r="J1615" s="29"/>
      <c r="K1615">
        <f>IF($A1615="","","#"&amp;TRIM(SUBSTITUTE(SUBSTITUTE(SUBSTITUTE(SUBSTITUTE(SUBSTITUTE(SUBSTITUTE($A1615,"-",""),"(",""),")",""),".",""),"+","")," ","")))</f>
      </c>
    </row>
    <row r="1616" spans="1:11" x14ac:dyDescent="0.3">
      <c r="A1616" s="28"/>
      <c r="B1616" s="29"/>
      <c r="C1616" s="30"/>
      <c r="D1616" s="31"/>
      <c r="E1616" s="33">
        <f>IF(OR($D1616="",$K1616=""),"",IF(COUNTIFS(Payments!$G$5:$G$2500,$K1616,Payments!$C$5:$C$2500,"&lt;&gt;")=0,"",_xlfn.MAXIFS(Payments!$C$5:$C$2500,Payments!$G$5:$G$2500,$K1616)))</f>
      </c>
      <c r="F1616" s="34">
        <f>IF(OR($D1616="",$K1616=""),"",SUMIF(Payments!$G$5:$G$2500,$K1616,Payments!$D$5:$D$2500))</f>
      </c>
      <c r="G1616" s="36">
        <f>IF($D1616="","",ROUND($D1616-IF($F1616="",0,$F1616),2))</f>
      </c>
      <c r="H1616" s="35">
        <f>IF(OR($D1616="",$K1616=""),"",COUNTIF(Payments!$G$5:$G$2500,$K1616))</f>
      </c>
      <c r="I1616" s="37">
        <f>IF($D1616="","",IF(OR($F1616="",$F1616=0),"Pending",IF(ROUND($F1616-$D1616,2)&gt;0,"Overpaid",IF(ROUND($F1616-$D1616,2)=0,"Paid","Partial"))))</f>
      </c>
      <c r="J1616" s="29"/>
      <c r="K1616">
        <f>IF($A1616="","","#"&amp;TRIM(SUBSTITUTE(SUBSTITUTE(SUBSTITUTE(SUBSTITUTE(SUBSTITUTE(SUBSTITUTE($A1616,"-",""),"(",""),")",""),".",""),"+","")," ","")))</f>
      </c>
    </row>
    <row r="1617" spans="1:11" x14ac:dyDescent="0.3">
      <c r="A1617" s="28"/>
      <c r="B1617" s="29"/>
      <c r="C1617" s="30"/>
      <c r="D1617" s="31"/>
      <c r="E1617" s="33">
        <f>IF(OR($D1617="",$K1617=""),"",IF(COUNTIFS(Payments!$G$5:$G$2500,$K1617,Payments!$C$5:$C$2500,"&lt;&gt;")=0,"",_xlfn.MAXIFS(Payments!$C$5:$C$2500,Payments!$G$5:$G$2500,$K1617)))</f>
      </c>
      <c r="F1617" s="34">
        <f>IF(OR($D1617="",$K1617=""),"",SUMIF(Payments!$G$5:$G$2500,$K1617,Payments!$D$5:$D$2500))</f>
      </c>
      <c r="G1617" s="36">
        <f>IF($D1617="","",ROUND($D1617-IF($F1617="",0,$F1617),2))</f>
      </c>
      <c r="H1617" s="35">
        <f>IF(OR($D1617="",$K1617=""),"",COUNTIF(Payments!$G$5:$G$2500,$K1617))</f>
      </c>
      <c r="I1617" s="37">
        <f>IF($D1617="","",IF(OR($F1617="",$F1617=0),"Pending",IF(ROUND($F1617-$D1617,2)&gt;0,"Overpaid",IF(ROUND($F1617-$D1617,2)=0,"Paid","Partial"))))</f>
      </c>
      <c r="J1617" s="29"/>
      <c r="K1617">
        <f>IF($A1617="","","#"&amp;TRIM(SUBSTITUTE(SUBSTITUTE(SUBSTITUTE(SUBSTITUTE(SUBSTITUTE(SUBSTITUTE($A1617,"-",""),"(",""),")",""),".",""),"+","")," ","")))</f>
      </c>
    </row>
    <row r="1618" spans="1:11" x14ac:dyDescent="0.3">
      <c r="A1618" s="28"/>
      <c r="B1618" s="29"/>
      <c r="C1618" s="30"/>
      <c r="D1618" s="31"/>
      <c r="E1618" s="33">
        <f>IF(OR($D1618="",$K1618=""),"",IF(COUNTIFS(Payments!$G$5:$G$2500,$K1618,Payments!$C$5:$C$2500,"&lt;&gt;")=0,"",_xlfn.MAXIFS(Payments!$C$5:$C$2500,Payments!$G$5:$G$2500,$K1618)))</f>
      </c>
      <c r="F1618" s="34">
        <f>IF(OR($D1618="",$K1618=""),"",SUMIF(Payments!$G$5:$G$2500,$K1618,Payments!$D$5:$D$2500))</f>
      </c>
      <c r="G1618" s="36">
        <f>IF($D1618="","",ROUND($D1618-IF($F1618="",0,$F1618),2))</f>
      </c>
      <c r="H1618" s="35">
        <f>IF(OR($D1618="",$K1618=""),"",COUNTIF(Payments!$G$5:$G$2500,$K1618))</f>
      </c>
      <c r="I1618" s="37">
        <f>IF($D1618="","",IF(OR($F1618="",$F1618=0),"Pending",IF(ROUND($F1618-$D1618,2)&gt;0,"Overpaid",IF(ROUND($F1618-$D1618,2)=0,"Paid","Partial"))))</f>
      </c>
      <c r="J1618" s="29"/>
      <c r="K1618">
        <f>IF($A1618="","","#"&amp;TRIM(SUBSTITUTE(SUBSTITUTE(SUBSTITUTE(SUBSTITUTE(SUBSTITUTE(SUBSTITUTE($A1618,"-",""),"(",""),")",""),".",""),"+","")," ","")))</f>
      </c>
    </row>
    <row r="1619" spans="1:11" x14ac:dyDescent="0.3">
      <c r="A1619" s="28"/>
      <c r="B1619" s="29"/>
      <c r="C1619" s="30"/>
      <c r="D1619" s="31"/>
      <c r="E1619" s="33">
        <f>IF(OR($D1619="",$K1619=""),"",IF(COUNTIFS(Payments!$G$5:$G$2500,$K1619,Payments!$C$5:$C$2500,"&lt;&gt;")=0,"",_xlfn.MAXIFS(Payments!$C$5:$C$2500,Payments!$G$5:$G$2500,$K1619)))</f>
      </c>
      <c r="F1619" s="34">
        <f>IF(OR($D1619="",$K1619=""),"",SUMIF(Payments!$G$5:$G$2500,$K1619,Payments!$D$5:$D$2500))</f>
      </c>
      <c r="G1619" s="36">
        <f>IF($D1619="","",ROUND($D1619-IF($F1619="",0,$F1619),2))</f>
      </c>
      <c r="H1619" s="35">
        <f>IF(OR($D1619="",$K1619=""),"",COUNTIF(Payments!$G$5:$G$2500,$K1619))</f>
      </c>
      <c r="I1619" s="37">
        <f>IF($D1619="","",IF(OR($F1619="",$F1619=0),"Pending",IF(ROUND($F1619-$D1619,2)&gt;0,"Overpaid",IF(ROUND($F1619-$D1619,2)=0,"Paid","Partial"))))</f>
      </c>
      <c r="J1619" s="29"/>
      <c r="K1619">
        <f>IF($A1619="","","#"&amp;TRIM(SUBSTITUTE(SUBSTITUTE(SUBSTITUTE(SUBSTITUTE(SUBSTITUTE(SUBSTITUTE($A1619,"-",""),"(",""),")",""),".",""),"+","")," ","")))</f>
      </c>
    </row>
    <row r="1620" spans="1:11" x14ac:dyDescent="0.3">
      <c r="A1620" s="28"/>
      <c r="B1620" s="29"/>
      <c r="C1620" s="30"/>
      <c r="D1620" s="31"/>
      <c r="E1620" s="33">
        <f>IF(OR($D1620="",$K1620=""),"",IF(COUNTIFS(Payments!$G$5:$G$2500,$K1620,Payments!$C$5:$C$2500,"&lt;&gt;")=0,"",_xlfn.MAXIFS(Payments!$C$5:$C$2500,Payments!$G$5:$G$2500,$K1620)))</f>
      </c>
      <c r="F1620" s="34">
        <f>IF(OR($D1620="",$K1620=""),"",SUMIF(Payments!$G$5:$G$2500,$K1620,Payments!$D$5:$D$2500))</f>
      </c>
      <c r="G1620" s="36">
        <f>IF($D1620="","",ROUND($D1620-IF($F1620="",0,$F1620),2))</f>
      </c>
      <c r="H1620" s="35">
        <f>IF(OR($D1620="",$K1620=""),"",COUNTIF(Payments!$G$5:$G$2500,$K1620))</f>
      </c>
      <c r="I1620" s="37">
        <f>IF($D1620="","",IF(OR($F1620="",$F1620=0),"Pending",IF(ROUND($F1620-$D1620,2)&gt;0,"Overpaid",IF(ROUND($F1620-$D1620,2)=0,"Paid","Partial"))))</f>
      </c>
      <c r="J1620" s="29"/>
      <c r="K1620">
        <f>IF($A1620="","","#"&amp;TRIM(SUBSTITUTE(SUBSTITUTE(SUBSTITUTE(SUBSTITUTE(SUBSTITUTE(SUBSTITUTE($A1620,"-",""),"(",""),")",""),".",""),"+","")," ","")))</f>
      </c>
    </row>
    <row r="1621" spans="1:11" x14ac:dyDescent="0.3">
      <c r="A1621" s="28"/>
      <c r="B1621" s="29"/>
      <c r="C1621" s="30"/>
      <c r="D1621" s="31"/>
      <c r="E1621" s="33">
        <f>IF(OR($D1621="",$K1621=""),"",IF(COUNTIFS(Payments!$G$5:$G$2500,$K1621,Payments!$C$5:$C$2500,"&lt;&gt;")=0,"",_xlfn.MAXIFS(Payments!$C$5:$C$2500,Payments!$G$5:$G$2500,$K1621)))</f>
      </c>
      <c r="F1621" s="34">
        <f>IF(OR($D1621="",$K1621=""),"",SUMIF(Payments!$G$5:$G$2500,$K1621,Payments!$D$5:$D$2500))</f>
      </c>
      <c r="G1621" s="36">
        <f>IF($D1621="","",ROUND($D1621-IF($F1621="",0,$F1621),2))</f>
      </c>
      <c r="H1621" s="35">
        <f>IF(OR($D1621="",$K1621=""),"",COUNTIF(Payments!$G$5:$G$2500,$K1621))</f>
      </c>
      <c r="I1621" s="37">
        <f>IF($D1621="","",IF(OR($F1621="",$F1621=0),"Pending",IF(ROUND($F1621-$D1621,2)&gt;0,"Overpaid",IF(ROUND($F1621-$D1621,2)=0,"Paid","Partial"))))</f>
      </c>
      <c r="J1621" s="29"/>
      <c r="K1621">
        <f>IF($A1621="","","#"&amp;TRIM(SUBSTITUTE(SUBSTITUTE(SUBSTITUTE(SUBSTITUTE(SUBSTITUTE(SUBSTITUTE($A1621,"-",""),"(",""),")",""),".",""),"+","")," ","")))</f>
      </c>
    </row>
    <row r="1622" spans="1:11" x14ac:dyDescent="0.3">
      <c r="A1622" s="28"/>
      <c r="B1622" s="29"/>
      <c r="C1622" s="30"/>
      <c r="D1622" s="31"/>
      <c r="E1622" s="33">
        <f>IF(OR($D1622="",$K1622=""),"",IF(COUNTIFS(Payments!$G$5:$G$2500,$K1622,Payments!$C$5:$C$2500,"&lt;&gt;")=0,"",_xlfn.MAXIFS(Payments!$C$5:$C$2500,Payments!$G$5:$G$2500,$K1622)))</f>
      </c>
      <c r="F1622" s="34">
        <f>IF(OR($D1622="",$K1622=""),"",SUMIF(Payments!$G$5:$G$2500,$K1622,Payments!$D$5:$D$2500))</f>
      </c>
      <c r="G1622" s="36">
        <f>IF($D1622="","",ROUND($D1622-IF($F1622="",0,$F1622),2))</f>
      </c>
      <c r="H1622" s="35">
        <f>IF(OR($D1622="",$K1622=""),"",COUNTIF(Payments!$G$5:$G$2500,$K1622))</f>
      </c>
      <c r="I1622" s="37">
        <f>IF($D1622="","",IF(OR($F1622="",$F1622=0),"Pending",IF(ROUND($F1622-$D1622,2)&gt;0,"Overpaid",IF(ROUND($F1622-$D1622,2)=0,"Paid","Partial"))))</f>
      </c>
      <c r="J1622" s="29"/>
      <c r="K1622">
        <f>IF($A1622="","","#"&amp;TRIM(SUBSTITUTE(SUBSTITUTE(SUBSTITUTE(SUBSTITUTE(SUBSTITUTE(SUBSTITUTE($A1622,"-",""),"(",""),")",""),".",""),"+","")," ","")))</f>
      </c>
    </row>
    <row r="1623" spans="1:11" x14ac:dyDescent="0.3">
      <c r="A1623" s="28"/>
      <c r="B1623" s="29"/>
      <c r="C1623" s="30"/>
      <c r="D1623" s="31"/>
      <c r="E1623" s="33">
        <f>IF(OR($D1623="",$K1623=""),"",IF(COUNTIFS(Payments!$G$5:$G$2500,$K1623,Payments!$C$5:$C$2500,"&lt;&gt;")=0,"",_xlfn.MAXIFS(Payments!$C$5:$C$2500,Payments!$G$5:$G$2500,$K1623)))</f>
      </c>
      <c r="F1623" s="34">
        <f>IF(OR($D1623="",$K1623=""),"",SUMIF(Payments!$G$5:$G$2500,$K1623,Payments!$D$5:$D$2500))</f>
      </c>
      <c r="G1623" s="36">
        <f>IF($D1623="","",ROUND($D1623-IF($F1623="",0,$F1623),2))</f>
      </c>
      <c r="H1623" s="35">
        <f>IF(OR($D1623="",$K1623=""),"",COUNTIF(Payments!$G$5:$G$2500,$K1623))</f>
      </c>
      <c r="I1623" s="37">
        <f>IF($D1623="","",IF(OR($F1623="",$F1623=0),"Pending",IF(ROUND($F1623-$D1623,2)&gt;0,"Overpaid",IF(ROUND($F1623-$D1623,2)=0,"Paid","Partial"))))</f>
      </c>
      <c r="J1623" s="29"/>
      <c r="K1623">
        <f>IF($A1623="","","#"&amp;TRIM(SUBSTITUTE(SUBSTITUTE(SUBSTITUTE(SUBSTITUTE(SUBSTITUTE(SUBSTITUTE($A1623,"-",""),"(",""),")",""),".",""),"+","")," ","")))</f>
      </c>
    </row>
    <row r="1624" spans="1:11" x14ac:dyDescent="0.3">
      <c r="A1624" s="28"/>
      <c r="B1624" s="29"/>
      <c r="C1624" s="30"/>
      <c r="D1624" s="31"/>
      <c r="E1624" s="33">
        <f>IF(OR($D1624="",$K1624=""),"",IF(COUNTIFS(Payments!$G$5:$G$2500,$K1624,Payments!$C$5:$C$2500,"&lt;&gt;")=0,"",_xlfn.MAXIFS(Payments!$C$5:$C$2500,Payments!$G$5:$G$2500,$K1624)))</f>
      </c>
      <c r="F1624" s="34">
        <f>IF(OR($D1624="",$K1624=""),"",SUMIF(Payments!$G$5:$G$2500,$K1624,Payments!$D$5:$D$2500))</f>
      </c>
      <c r="G1624" s="36">
        <f>IF($D1624="","",ROUND($D1624-IF($F1624="",0,$F1624),2))</f>
      </c>
      <c r="H1624" s="35">
        <f>IF(OR($D1624="",$K1624=""),"",COUNTIF(Payments!$G$5:$G$2500,$K1624))</f>
      </c>
      <c r="I1624" s="37">
        <f>IF($D1624="","",IF(OR($F1624="",$F1624=0),"Pending",IF(ROUND($F1624-$D1624,2)&gt;0,"Overpaid",IF(ROUND($F1624-$D1624,2)=0,"Paid","Partial"))))</f>
      </c>
      <c r="J1624" s="29"/>
      <c r="K1624">
        <f>IF($A1624="","","#"&amp;TRIM(SUBSTITUTE(SUBSTITUTE(SUBSTITUTE(SUBSTITUTE(SUBSTITUTE(SUBSTITUTE($A1624,"-",""),"(",""),")",""),".",""),"+","")," ","")))</f>
      </c>
    </row>
    <row r="1625" spans="1:11" x14ac:dyDescent="0.3">
      <c r="A1625" s="28"/>
      <c r="B1625" s="29"/>
      <c r="C1625" s="30"/>
      <c r="D1625" s="31"/>
      <c r="E1625" s="33">
        <f>IF(OR($D1625="",$K1625=""),"",IF(COUNTIFS(Payments!$G$5:$G$2500,$K1625,Payments!$C$5:$C$2500,"&lt;&gt;")=0,"",_xlfn.MAXIFS(Payments!$C$5:$C$2500,Payments!$G$5:$G$2500,$K1625)))</f>
      </c>
      <c r="F1625" s="34">
        <f>IF(OR($D1625="",$K1625=""),"",SUMIF(Payments!$G$5:$G$2500,$K1625,Payments!$D$5:$D$2500))</f>
      </c>
      <c r="G1625" s="36">
        <f>IF($D1625="","",ROUND($D1625-IF($F1625="",0,$F1625),2))</f>
      </c>
      <c r="H1625" s="35">
        <f>IF(OR($D1625="",$K1625=""),"",COUNTIF(Payments!$G$5:$G$2500,$K1625))</f>
      </c>
      <c r="I1625" s="37">
        <f>IF($D1625="","",IF(OR($F1625="",$F1625=0),"Pending",IF(ROUND($F1625-$D1625,2)&gt;0,"Overpaid",IF(ROUND($F1625-$D1625,2)=0,"Paid","Partial"))))</f>
      </c>
      <c r="J1625" s="29"/>
      <c r="K1625">
        <f>IF($A1625="","","#"&amp;TRIM(SUBSTITUTE(SUBSTITUTE(SUBSTITUTE(SUBSTITUTE(SUBSTITUTE(SUBSTITUTE($A1625,"-",""),"(",""),")",""),".",""),"+","")," ","")))</f>
      </c>
    </row>
    <row r="1626" spans="1:11" x14ac:dyDescent="0.3">
      <c r="A1626" s="28"/>
      <c r="B1626" s="29"/>
      <c r="C1626" s="30"/>
      <c r="D1626" s="31"/>
      <c r="E1626" s="33">
        <f>IF(OR($D1626="",$K1626=""),"",IF(COUNTIFS(Payments!$G$5:$G$2500,$K1626,Payments!$C$5:$C$2500,"&lt;&gt;")=0,"",_xlfn.MAXIFS(Payments!$C$5:$C$2500,Payments!$G$5:$G$2500,$K1626)))</f>
      </c>
      <c r="F1626" s="34">
        <f>IF(OR($D1626="",$K1626=""),"",SUMIF(Payments!$G$5:$G$2500,$K1626,Payments!$D$5:$D$2500))</f>
      </c>
      <c r="G1626" s="36">
        <f>IF($D1626="","",ROUND($D1626-IF($F1626="",0,$F1626),2))</f>
      </c>
      <c r="H1626" s="35">
        <f>IF(OR($D1626="",$K1626=""),"",COUNTIF(Payments!$G$5:$G$2500,$K1626))</f>
      </c>
      <c r="I1626" s="37">
        <f>IF($D1626="","",IF(OR($F1626="",$F1626=0),"Pending",IF(ROUND($F1626-$D1626,2)&gt;0,"Overpaid",IF(ROUND($F1626-$D1626,2)=0,"Paid","Partial"))))</f>
      </c>
      <c r="J1626" s="29"/>
      <c r="K1626">
        <f>IF($A1626="","","#"&amp;TRIM(SUBSTITUTE(SUBSTITUTE(SUBSTITUTE(SUBSTITUTE(SUBSTITUTE(SUBSTITUTE($A1626,"-",""),"(",""),")",""),".",""),"+","")," ","")))</f>
      </c>
    </row>
    <row r="1627" spans="1:11" x14ac:dyDescent="0.3">
      <c r="A1627" s="28"/>
      <c r="B1627" s="29"/>
      <c r="C1627" s="30"/>
      <c r="D1627" s="31"/>
      <c r="E1627" s="33">
        <f>IF(OR($D1627="",$K1627=""),"",IF(COUNTIFS(Payments!$G$5:$G$2500,$K1627,Payments!$C$5:$C$2500,"&lt;&gt;")=0,"",_xlfn.MAXIFS(Payments!$C$5:$C$2500,Payments!$G$5:$G$2500,$K1627)))</f>
      </c>
      <c r="F1627" s="34">
        <f>IF(OR($D1627="",$K1627=""),"",SUMIF(Payments!$G$5:$G$2500,$K1627,Payments!$D$5:$D$2500))</f>
      </c>
      <c r="G1627" s="36">
        <f>IF($D1627="","",ROUND($D1627-IF($F1627="",0,$F1627),2))</f>
      </c>
      <c r="H1627" s="35">
        <f>IF(OR($D1627="",$K1627=""),"",COUNTIF(Payments!$G$5:$G$2500,$K1627))</f>
      </c>
      <c r="I1627" s="37">
        <f>IF($D1627="","",IF(OR($F1627="",$F1627=0),"Pending",IF(ROUND($F1627-$D1627,2)&gt;0,"Overpaid",IF(ROUND($F1627-$D1627,2)=0,"Paid","Partial"))))</f>
      </c>
      <c r="J1627" s="29"/>
      <c r="K1627">
        <f>IF($A1627="","","#"&amp;TRIM(SUBSTITUTE(SUBSTITUTE(SUBSTITUTE(SUBSTITUTE(SUBSTITUTE(SUBSTITUTE($A1627,"-",""),"(",""),")",""),".",""),"+","")," ","")))</f>
      </c>
    </row>
    <row r="1628" spans="1:11" x14ac:dyDescent="0.3">
      <c r="A1628" s="28"/>
      <c r="B1628" s="29"/>
      <c r="C1628" s="30"/>
      <c r="D1628" s="31"/>
      <c r="E1628" s="33">
        <f>IF(OR($D1628="",$K1628=""),"",IF(COUNTIFS(Payments!$G$5:$G$2500,$K1628,Payments!$C$5:$C$2500,"&lt;&gt;")=0,"",_xlfn.MAXIFS(Payments!$C$5:$C$2500,Payments!$G$5:$G$2500,$K1628)))</f>
      </c>
      <c r="F1628" s="34">
        <f>IF(OR($D1628="",$K1628=""),"",SUMIF(Payments!$G$5:$G$2500,$K1628,Payments!$D$5:$D$2500))</f>
      </c>
      <c r="G1628" s="36">
        <f>IF($D1628="","",ROUND($D1628-IF($F1628="",0,$F1628),2))</f>
      </c>
      <c r="H1628" s="35">
        <f>IF(OR($D1628="",$K1628=""),"",COUNTIF(Payments!$G$5:$G$2500,$K1628))</f>
      </c>
      <c r="I1628" s="37">
        <f>IF($D1628="","",IF(OR($F1628="",$F1628=0),"Pending",IF(ROUND($F1628-$D1628,2)&gt;0,"Overpaid",IF(ROUND($F1628-$D1628,2)=0,"Paid","Partial"))))</f>
      </c>
      <c r="J1628" s="29"/>
      <c r="K1628">
        <f>IF($A1628="","","#"&amp;TRIM(SUBSTITUTE(SUBSTITUTE(SUBSTITUTE(SUBSTITUTE(SUBSTITUTE(SUBSTITUTE($A1628,"-",""),"(",""),")",""),".",""),"+","")," ","")))</f>
      </c>
    </row>
    <row r="1629" spans="1:11" x14ac:dyDescent="0.3">
      <c r="A1629" s="28"/>
      <c r="B1629" s="29"/>
      <c r="C1629" s="30"/>
      <c r="D1629" s="31"/>
      <c r="E1629" s="33">
        <f>IF(OR($D1629="",$K1629=""),"",IF(COUNTIFS(Payments!$G$5:$G$2500,$K1629,Payments!$C$5:$C$2500,"&lt;&gt;")=0,"",_xlfn.MAXIFS(Payments!$C$5:$C$2500,Payments!$G$5:$G$2500,$K1629)))</f>
      </c>
      <c r="F1629" s="34">
        <f>IF(OR($D1629="",$K1629=""),"",SUMIF(Payments!$G$5:$G$2500,$K1629,Payments!$D$5:$D$2500))</f>
      </c>
      <c r="G1629" s="36">
        <f>IF($D1629="","",ROUND($D1629-IF($F1629="",0,$F1629),2))</f>
      </c>
      <c r="H1629" s="35">
        <f>IF(OR($D1629="",$K1629=""),"",COUNTIF(Payments!$G$5:$G$2500,$K1629))</f>
      </c>
      <c r="I1629" s="37">
        <f>IF($D1629="","",IF(OR($F1629="",$F1629=0),"Pending",IF(ROUND($F1629-$D1629,2)&gt;0,"Overpaid",IF(ROUND($F1629-$D1629,2)=0,"Paid","Partial"))))</f>
      </c>
      <c r="J1629" s="29"/>
      <c r="K1629">
        <f>IF($A1629="","","#"&amp;TRIM(SUBSTITUTE(SUBSTITUTE(SUBSTITUTE(SUBSTITUTE(SUBSTITUTE(SUBSTITUTE($A1629,"-",""),"(",""),")",""),".",""),"+","")," ","")))</f>
      </c>
    </row>
    <row r="1630" spans="1:11" x14ac:dyDescent="0.3">
      <c r="A1630" s="28"/>
      <c r="B1630" s="29"/>
      <c r="C1630" s="30"/>
      <c r="D1630" s="31"/>
      <c r="E1630" s="33">
        <f>IF(OR($D1630="",$K1630=""),"",IF(COUNTIFS(Payments!$G$5:$G$2500,$K1630,Payments!$C$5:$C$2500,"&lt;&gt;")=0,"",_xlfn.MAXIFS(Payments!$C$5:$C$2500,Payments!$G$5:$G$2500,$K1630)))</f>
      </c>
      <c r="F1630" s="34">
        <f>IF(OR($D1630="",$K1630=""),"",SUMIF(Payments!$G$5:$G$2500,$K1630,Payments!$D$5:$D$2500))</f>
      </c>
      <c r="G1630" s="36">
        <f>IF($D1630="","",ROUND($D1630-IF($F1630="",0,$F1630),2))</f>
      </c>
      <c r="H1630" s="35">
        <f>IF(OR($D1630="",$K1630=""),"",COUNTIF(Payments!$G$5:$G$2500,$K1630))</f>
      </c>
      <c r="I1630" s="37">
        <f>IF($D1630="","",IF(OR($F1630="",$F1630=0),"Pending",IF(ROUND($F1630-$D1630,2)&gt;0,"Overpaid",IF(ROUND($F1630-$D1630,2)=0,"Paid","Partial"))))</f>
      </c>
      <c r="J1630" s="29"/>
      <c r="K1630">
        <f>IF($A1630="","","#"&amp;TRIM(SUBSTITUTE(SUBSTITUTE(SUBSTITUTE(SUBSTITUTE(SUBSTITUTE(SUBSTITUTE($A1630,"-",""),"(",""),")",""),".",""),"+","")," ","")))</f>
      </c>
    </row>
    <row r="1631" spans="1:11" x14ac:dyDescent="0.3">
      <c r="A1631" s="28"/>
      <c r="B1631" s="29"/>
      <c r="C1631" s="30"/>
      <c r="D1631" s="31"/>
      <c r="E1631" s="33">
        <f>IF(OR($D1631="",$K1631=""),"",IF(COUNTIFS(Payments!$G$5:$G$2500,$K1631,Payments!$C$5:$C$2500,"&lt;&gt;")=0,"",_xlfn.MAXIFS(Payments!$C$5:$C$2500,Payments!$G$5:$G$2500,$K1631)))</f>
      </c>
      <c r="F1631" s="34">
        <f>IF(OR($D1631="",$K1631=""),"",SUMIF(Payments!$G$5:$G$2500,$K1631,Payments!$D$5:$D$2500))</f>
      </c>
      <c r="G1631" s="36">
        <f>IF($D1631="","",ROUND($D1631-IF($F1631="",0,$F1631),2))</f>
      </c>
      <c r="H1631" s="35">
        <f>IF(OR($D1631="",$K1631=""),"",COUNTIF(Payments!$G$5:$G$2500,$K1631))</f>
      </c>
      <c r="I1631" s="37">
        <f>IF($D1631="","",IF(OR($F1631="",$F1631=0),"Pending",IF(ROUND($F1631-$D1631,2)&gt;0,"Overpaid",IF(ROUND($F1631-$D1631,2)=0,"Paid","Partial"))))</f>
      </c>
      <c r="J1631" s="29"/>
      <c r="K1631">
        <f>IF($A1631="","","#"&amp;TRIM(SUBSTITUTE(SUBSTITUTE(SUBSTITUTE(SUBSTITUTE(SUBSTITUTE(SUBSTITUTE($A1631,"-",""),"(",""),")",""),".",""),"+","")," ","")))</f>
      </c>
    </row>
    <row r="1632" spans="1:11" x14ac:dyDescent="0.3">
      <c r="A1632" s="28"/>
      <c r="B1632" s="29"/>
      <c r="C1632" s="30"/>
      <c r="D1632" s="31"/>
      <c r="E1632" s="33">
        <f>IF(OR($D1632="",$K1632=""),"",IF(COUNTIFS(Payments!$G$5:$G$2500,$K1632,Payments!$C$5:$C$2500,"&lt;&gt;")=0,"",_xlfn.MAXIFS(Payments!$C$5:$C$2500,Payments!$G$5:$G$2500,$K1632)))</f>
      </c>
      <c r="F1632" s="34">
        <f>IF(OR($D1632="",$K1632=""),"",SUMIF(Payments!$G$5:$G$2500,$K1632,Payments!$D$5:$D$2500))</f>
      </c>
      <c r="G1632" s="36">
        <f>IF($D1632="","",ROUND($D1632-IF($F1632="",0,$F1632),2))</f>
      </c>
      <c r="H1632" s="35">
        <f>IF(OR($D1632="",$K1632=""),"",COUNTIF(Payments!$G$5:$G$2500,$K1632))</f>
      </c>
      <c r="I1632" s="37">
        <f>IF($D1632="","",IF(OR($F1632="",$F1632=0),"Pending",IF(ROUND($F1632-$D1632,2)&gt;0,"Overpaid",IF(ROUND($F1632-$D1632,2)=0,"Paid","Partial"))))</f>
      </c>
      <c r="J1632" s="29"/>
      <c r="K1632">
        <f>IF($A1632="","","#"&amp;TRIM(SUBSTITUTE(SUBSTITUTE(SUBSTITUTE(SUBSTITUTE(SUBSTITUTE(SUBSTITUTE($A1632,"-",""),"(",""),")",""),".",""),"+","")," ","")))</f>
      </c>
    </row>
    <row r="1633" spans="1:11" x14ac:dyDescent="0.3">
      <c r="A1633" s="28"/>
      <c r="B1633" s="29"/>
      <c r="C1633" s="30"/>
      <c r="D1633" s="31"/>
      <c r="E1633" s="33">
        <f>IF(OR($D1633="",$K1633=""),"",IF(COUNTIFS(Payments!$G$5:$G$2500,$K1633,Payments!$C$5:$C$2500,"&lt;&gt;")=0,"",_xlfn.MAXIFS(Payments!$C$5:$C$2500,Payments!$G$5:$G$2500,$K1633)))</f>
      </c>
      <c r="F1633" s="34">
        <f>IF(OR($D1633="",$K1633=""),"",SUMIF(Payments!$G$5:$G$2500,$K1633,Payments!$D$5:$D$2500))</f>
      </c>
      <c r="G1633" s="36">
        <f>IF($D1633="","",ROUND($D1633-IF($F1633="",0,$F1633),2))</f>
      </c>
      <c r="H1633" s="35">
        <f>IF(OR($D1633="",$K1633=""),"",COUNTIF(Payments!$G$5:$G$2500,$K1633))</f>
      </c>
      <c r="I1633" s="37">
        <f>IF($D1633="","",IF(OR($F1633="",$F1633=0),"Pending",IF(ROUND($F1633-$D1633,2)&gt;0,"Overpaid",IF(ROUND($F1633-$D1633,2)=0,"Paid","Partial"))))</f>
      </c>
      <c r="J1633" s="29"/>
      <c r="K1633">
        <f>IF($A1633="","","#"&amp;TRIM(SUBSTITUTE(SUBSTITUTE(SUBSTITUTE(SUBSTITUTE(SUBSTITUTE(SUBSTITUTE($A1633,"-",""),"(",""),")",""),".",""),"+","")," ","")))</f>
      </c>
    </row>
    <row r="1634" spans="1:11" x14ac:dyDescent="0.3">
      <c r="A1634" s="28"/>
      <c r="B1634" s="29"/>
      <c r="C1634" s="30"/>
      <c r="D1634" s="31"/>
      <c r="E1634" s="33">
        <f>IF(OR($D1634="",$K1634=""),"",IF(COUNTIFS(Payments!$G$5:$G$2500,$K1634,Payments!$C$5:$C$2500,"&lt;&gt;")=0,"",_xlfn.MAXIFS(Payments!$C$5:$C$2500,Payments!$G$5:$G$2500,$K1634)))</f>
      </c>
      <c r="F1634" s="34">
        <f>IF(OR($D1634="",$K1634=""),"",SUMIF(Payments!$G$5:$G$2500,$K1634,Payments!$D$5:$D$2500))</f>
      </c>
      <c r="G1634" s="36">
        <f>IF($D1634="","",ROUND($D1634-IF($F1634="",0,$F1634),2))</f>
      </c>
      <c r="H1634" s="35">
        <f>IF(OR($D1634="",$K1634=""),"",COUNTIF(Payments!$G$5:$G$2500,$K1634))</f>
      </c>
      <c r="I1634" s="37">
        <f>IF($D1634="","",IF(OR($F1634="",$F1634=0),"Pending",IF(ROUND($F1634-$D1634,2)&gt;0,"Overpaid",IF(ROUND($F1634-$D1634,2)=0,"Paid","Partial"))))</f>
      </c>
      <c r="J1634" s="29"/>
      <c r="K1634">
        <f>IF($A1634="","","#"&amp;TRIM(SUBSTITUTE(SUBSTITUTE(SUBSTITUTE(SUBSTITUTE(SUBSTITUTE(SUBSTITUTE($A1634,"-",""),"(",""),")",""),".",""),"+","")," ","")))</f>
      </c>
    </row>
    <row r="1635" spans="1:11" x14ac:dyDescent="0.3">
      <c r="A1635" s="28"/>
      <c r="B1635" s="29"/>
      <c r="C1635" s="30"/>
      <c r="D1635" s="31"/>
      <c r="E1635" s="33">
        <f>IF(OR($D1635="",$K1635=""),"",IF(COUNTIFS(Payments!$G$5:$G$2500,$K1635,Payments!$C$5:$C$2500,"&lt;&gt;")=0,"",_xlfn.MAXIFS(Payments!$C$5:$C$2500,Payments!$G$5:$G$2500,$K1635)))</f>
      </c>
      <c r="F1635" s="34">
        <f>IF(OR($D1635="",$K1635=""),"",SUMIF(Payments!$G$5:$G$2500,$K1635,Payments!$D$5:$D$2500))</f>
      </c>
      <c r="G1635" s="36">
        <f>IF($D1635="","",ROUND($D1635-IF($F1635="",0,$F1635),2))</f>
      </c>
      <c r="H1635" s="35">
        <f>IF(OR($D1635="",$K1635=""),"",COUNTIF(Payments!$G$5:$G$2500,$K1635))</f>
      </c>
      <c r="I1635" s="37">
        <f>IF($D1635="","",IF(OR($F1635="",$F1635=0),"Pending",IF(ROUND($F1635-$D1635,2)&gt;0,"Overpaid",IF(ROUND($F1635-$D1635,2)=0,"Paid","Partial"))))</f>
      </c>
      <c r="J1635" s="29"/>
      <c r="K1635">
        <f>IF($A1635="","","#"&amp;TRIM(SUBSTITUTE(SUBSTITUTE(SUBSTITUTE(SUBSTITUTE(SUBSTITUTE(SUBSTITUTE($A1635,"-",""),"(",""),")",""),".",""),"+","")," ","")))</f>
      </c>
    </row>
    <row r="1636" spans="1:11" x14ac:dyDescent="0.3">
      <c r="A1636" s="28"/>
      <c r="B1636" s="29"/>
      <c r="C1636" s="30"/>
      <c r="D1636" s="31"/>
      <c r="E1636" s="33">
        <f>IF(OR($D1636="",$K1636=""),"",IF(COUNTIFS(Payments!$G$5:$G$2500,$K1636,Payments!$C$5:$C$2500,"&lt;&gt;")=0,"",_xlfn.MAXIFS(Payments!$C$5:$C$2500,Payments!$G$5:$G$2500,$K1636)))</f>
      </c>
      <c r="F1636" s="34">
        <f>IF(OR($D1636="",$K1636=""),"",SUMIF(Payments!$G$5:$G$2500,$K1636,Payments!$D$5:$D$2500))</f>
      </c>
      <c r="G1636" s="36">
        <f>IF($D1636="","",ROUND($D1636-IF($F1636="",0,$F1636),2))</f>
      </c>
      <c r="H1636" s="35">
        <f>IF(OR($D1636="",$K1636=""),"",COUNTIF(Payments!$G$5:$G$2500,$K1636))</f>
      </c>
      <c r="I1636" s="37">
        <f>IF($D1636="","",IF(OR($F1636="",$F1636=0),"Pending",IF(ROUND($F1636-$D1636,2)&gt;0,"Overpaid",IF(ROUND($F1636-$D1636,2)=0,"Paid","Partial"))))</f>
      </c>
      <c r="J1636" s="29"/>
      <c r="K1636">
        <f>IF($A1636="","","#"&amp;TRIM(SUBSTITUTE(SUBSTITUTE(SUBSTITUTE(SUBSTITUTE(SUBSTITUTE(SUBSTITUTE($A1636,"-",""),"(",""),")",""),".",""),"+","")," ","")))</f>
      </c>
    </row>
    <row r="1637" spans="1:11" x14ac:dyDescent="0.3">
      <c r="A1637" s="28"/>
      <c r="B1637" s="29"/>
      <c r="C1637" s="30"/>
      <c r="D1637" s="31"/>
      <c r="E1637" s="33">
        <f>IF(OR($D1637="",$K1637=""),"",IF(COUNTIFS(Payments!$G$5:$G$2500,$K1637,Payments!$C$5:$C$2500,"&lt;&gt;")=0,"",_xlfn.MAXIFS(Payments!$C$5:$C$2500,Payments!$G$5:$G$2500,$K1637)))</f>
      </c>
      <c r="F1637" s="34">
        <f>IF(OR($D1637="",$K1637=""),"",SUMIF(Payments!$G$5:$G$2500,$K1637,Payments!$D$5:$D$2500))</f>
      </c>
      <c r="G1637" s="36">
        <f>IF($D1637="","",ROUND($D1637-IF($F1637="",0,$F1637),2))</f>
      </c>
      <c r="H1637" s="35">
        <f>IF(OR($D1637="",$K1637=""),"",COUNTIF(Payments!$G$5:$G$2500,$K1637))</f>
      </c>
      <c r="I1637" s="37">
        <f>IF($D1637="","",IF(OR($F1637="",$F1637=0),"Pending",IF(ROUND($F1637-$D1637,2)&gt;0,"Overpaid",IF(ROUND($F1637-$D1637,2)=0,"Paid","Partial"))))</f>
      </c>
      <c r="J1637" s="29"/>
      <c r="K1637">
        <f>IF($A1637="","","#"&amp;TRIM(SUBSTITUTE(SUBSTITUTE(SUBSTITUTE(SUBSTITUTE(SUBSTITUTE(SUBSTITUTE($A1637,"-",""),"(",""),")",""),".",""),"+","")," ","")))</f>
      </c>
    </row>
    <row r="1638" spans="1:11" x14ac:dyDescent="0.3">
      <c r="A1638" s="28"/>
      <c r="B1638" s="29"/>
      <c r="C1638" s="30"/>
      <c r="D1638" s="31"/>
      <c r="E1638" s="33">
        <f>IF(OR($D1638="",$K1638=""),"",IF(COUNTIFS(Payments!$G$5:$G$2500,$K1638,Payments!$C$5:$C$2500,"&lt;&gt;")=0,"",_xlfn.MAXIFS(Payments!$C$5:$C$2500,Payments!$G$5:$G$2500,$K1638)))</f>
      </c>
      <c r="F1638" s="34">
        <f>IF(OR($D1638="",$K1638=""),"",SUMIF(Payments!$G$5:$G$2500,$K1638,Payments!$D$5:$D$2500))</f>
      </c>
      <c r="G1638" s="36">
        <f>IF($D1638="","",ROUND($D1638-IF($F1638="",0,$F1638),2))</f>
      </c>
      <c r="H1638" s="35">
        <f>IF(OR($D1638="",$K1638=""),"",COUNTIF(Payments!$G$5:$G$2500,$K1638))</f>
      </c>
      <c r="I1638" s="37">
        <f>IF($D1638="","",IF(OR($F1638="",$F1638=0),"Pending",IF(ROUND($F1638-$D1638,2)&gt;0,"Overpaid",IF(ROUND($F1638-$D1638,2)=0,"Paid","Partial"))))</f>
      </c>
      <c r="J1638" s="29"/>
      <c r="K1638">
        <f>IF($A1638="","","#"&amp;TRIM(SUBSTITUTE(SUBSTITUTE(SUBSTITUTE(SUBSTITUTE(SUBSTITUTE(SUBSTITUTE($A1638,"-",""),"(",""),")",""),".",""),"+","")," ","")))</f>
      </c>
    </row>
    <row r="1639" spans="1:11" x14ac:dyDescent="0.3">
      <c r="A1639" s="28"/>
      <c r="B1639" s="29"/>
      <c r="C1639" s="30"/>
      <c r="D1639" s="31"/>
      <c r="E1639" s="33">
        <f>IF(OR($D1639="",$K1639=""),"",IF(COUNTIFS(Payments!$G$5:$G$2500,$K1639,Payments!$C$5:$C$2500,"&lt;&gt;")=0,"",_xlfn.MAXIFS(Payments!$C$5:$C$2500,Payments!$G$5:$G$2500,$K1639)))</f>
      </c>
      <c r="F1639" s="34">
        <f>IF(OR($D1639="",$K1639=""),"",SUMIF(Payments!$G$5:$G$2500,$K1639,Payments!$D$5:$D$2500))</f>
      </c>
      <c r="G1639" s="36">
        <f>IF($D1639="","",ROUND($D1639-IF($F1639="",0,$F1639),2))</f>
      </c>
      <c r="H1639" s="35">
        <f>IF(OR($D1639="",$K1639=""),"",COUNTIF(Payments!$G$5:$G$2500,$K1639))</f>
      </c>
      <c r="I1639" s="37">
        <f>IF($D1639="","",IF(OR($F1639="",$F1639=0),"Pending",IF(ROUND($F1639-$D1639,2)&gt;0,"Overpaid",IF(ROUND($F1639-$D1639,2)=0,"Paid","Partial"))))</f>
      </c>
      <c r="J1639" s="29"/>
      <c r="K1639">
        <f>IF($A1639="","","#"&amp;TRIM(SUBSTITUTE(SUBSTITUTE(SUBSTITUTE(SUBSTITUTE(SUBSTITUTE(SUBSTITUTE($A1639,"-",""),"(",""),")",""),".",""),"+","")," ","")))</f>
      </c>
    </row>
    <row r="1640" spans="1:11" x14ac:dyDescent="0.3">
      <c r="A1640" s="28"/>
      <c r="B1640" s="29"/>
      <c r="C1640" s="30"/>
      <c r="D1640" s="31"/>
      <c r="E1640" s="33">
        <f>IF(OR($D1640="",$K1640=""),"",IF(COUNTIFS(Payments!$G$5:$G$2500,$K1640,Payments!$C$5:$C$2500,"&lt;&gt;")=0,"",_xlfn.MAXIFS(Payments!$C$5:$C$2500,Payments!$G$5:$G$2500,$K1640)))</f>
      </c>
      <c r="F1640" s="34">
        <f>IF(OR($D1640="",$K1640=""),"",SUMIF(Payments!$G$5:$G$2500,$K1640,Payments!$D$5:$D$2500))</f>
      </c>
      <c r="G1640" s="36">
        <f>IF($D1640="","",ROUND($D1640-IF($F1640="",0,$F1640),2))</f>
      </c>
      <c r="H1640" s="35">
        <f>IF(OR($D1640="",$K1640=""),"",COUNTIF(Payments!$G$5:$G$2500,$K1640))</f>
      </c>
      <c r="I1640" s="37">
        <f>IF($D1640="","",IF(OR($F1640="",$F1640=0),"Pending",IF(ROUND($F1640-$D1640,2)&gt;0,"Overpaid",IF(ROUND($F1640-$D1640,2)=0,"Paid","Partial"))))</f>
      </c>
      <c r="J1640" s="29"/>
      <c r="K1640">
        <f>IF($A1640="","","#"&amp;TRIM(SUBSTITUTE(SUBSTITUTE(SUBSTITUTE(SUBSTITUTE(SUBSTITUTE(SUBSTITUTE($A1640,"-",""),"(",""),")",""),".",""),"+","")," ","")))</f>
      </c>
    </row>
    <row r="1641" spans="1:11" x14ac:dyDescent="0.3">
      <c r="A1641" s="28"/>
      <c r="B1641" s="29"/>
      <c r="C1641" s="30"/>
      <c r="D1641" s="31"/>
      <c r="E1641" s="33">
        <f>IF(OR($D1641="",$K1641=""),"",IF(COUNTIFS(Payments!$G$5:$G$2500,$K1641,Payments!$C$5:$C$2500,"&lt;&gt;")=0,"",_xlfn.MAXIFS(Payments!$C$5:$C$2500,Payments!$G$5:$G$2500,$K1641)))</f>
      </c>
      <c r="F1641" s="34">
        <f>IF(OR($D1641="",$K1641=""),"",SUMIF(Payments!$G$5:$G$2500,$K1641,Payments!$D$5:$D$2500))</f>
      </c>
      <c r="G1641" s="36">
        <f>IF($D1641="","",ROUND($D1641-IF($F1641="",0,$F1641),2))</f>
      </c>
      <c r="H1641" s="35">
        <f>IF(OR($D1641="",$K1641=""),"",COUNTIF(Payments!$G$5:$G$2500,$K1641))</f>
      </c>
      <c r="I1641" s="37">
        <f>IF($D1641="","",IF(OR($F1641="",$F1641=0),"Pending",IF(ROUND($F1641-$D1641,2)&gt;0,"Overpaid",IF(ROUND($F1641-$D1641,2)=0,"Paid","Partial"))))</f>
      </c>
      <c r="J1641" s="29"/>
      <c r="K1641">
        <f>IF($A1641="","","#"&amp;TRIM(SUBSTITUTE(SUBSTITUTE(SUBSTITUTE(SUBSTITUTE(SUBSTITUTE(SUBSTITUTE($A1641,"-",""),"(",""),")",""),".",""),"+","")," ","")))</f>
      </c>
    </row>
    <row r="1642" spans="1:11" x14ac:dyDescent="0.3">
      <c r="A1642" s="28"/>
      <c r="B1642" s="29"/>
      <c r="C1642" s="30"/>
      <c r="D1642" s="31"/>
      <c r="E1642" s="33">
        <f>IF(OR($D1642="",$K1642=""),"",IF(COUNTIFS(Payments!$G$5:$G$2500,$K1642,Payments!$C$5:$C$2500,"&lt;&gt;")=0,"",_xlfn.MAXIFS(Payments!$C$5:$C$2500,Payments!$G$5:$G$2500,$K1642)))</f>
      </c>
      <c r="F1642" s="34">
        <f>IF(OR($D1642="",$K1642=""),"",SUMIF(Payments!$G$5:$G$2500,$K1642,Payments!$D$5:$D$2500))</f>
      </c>
      <c r="G1642" s="36">
        <f>IF($D1642="","",ROUND($D1642-IF($F1642="",0,$F1642),2))</f>
      </c>
      <c r="H1642" s="35">
        <f>IF(OR($D1642="",$K1642=""),"",COUNTIF(Payments!$G$5:$G$2500,$K1642))</f>
      </c>
      <c r="I1642" s="37">
        <f>IF($D1642="","",IF(OR($F1642="",$F1642=0),"Pending",IF(ROUND($F1642-$D1642,2)&gt;0,"Overpaid",IF(ROUND($F1642-$D1642,2)=0,"Paid","Partial"))))</f>
      </c>
      <c r="J1642" s="29"/>
      <c r="K1642">
        <f>IF($A1642="","","#"&amp;TRIM(SUBSTITUTE(SUBSTITUTE(SUBSTITUTE(SUBSTITUTE(SUBSTITUTE(SUBSTITUTE($A1642,"-",""),"(",""),")",""),".",""),"+","")," ","")))</f>
      </c>
    </row>
    <row r="1643" spans="1:11" x14ac:dyDescent="0.3">
      <c r="A1643" s="28"/>
      <c r="B1643" s="29"/>
      <c r="C1643" s="30"/>
      <c r="D1643" s="31"/>
      <c r="E1643" s="33">
        <f>IF(OR($D1643="",$K1643=""),"",IF(COUNTIFS(Payments!$G$5:$G$2500,$K1643,Payments!$C$5:$C$2500,"&lt;&gt;")=0,"",_xlfn.MAXIFS(Payments!$C$5:$C$2500,Payments!$G$5:$G$2500,$K1643)))</f>
      </c>
      <c r="F1643" s="34">
        <f>IF(OR($D1643="",$K1643=""),"",SUMIF(Payments!$G$5:$G$2500,$K1643,Payments!$D$5:$D$2500))</f>
      </c>
      <c r="G1643" s="36">
        <f>IF($D1643="","",ROUND($D1643-IF($F1643="",0,$F1643),2))</f>
      </c>
      <c r="H1643" s="35">
        <f>IF(OR($D1643="",$K1643=""),"",COUNTIF(Payments!$G$5:$G$2500,$K1643))</f>
      </c>
      <c r="I1643" s="37">
        <f>IF($D1643="","",IF(OR($F1643="",$F1643=0),"Pending",IF(ROUND($F1643-$D1643,2)&gt;0,"Overpaid",IF(ROUND($F1643-$D1643,2)=0,"Paid","Partial"))))</f>
      </c>
      <c r="J1643" s="29"/>
      <c r="K1643">
        <f>IF($A1643="","","#"&amp;TRIM(SUBSTITUTE(SUBSTITUTE(SUBSTITUTE(SUBSTITUTE(SUBSTITUTE(SUBSTITUTE($A1643,"-",""),"(",""),")",""),".",""),"+","")," ","")))</f>
      </c>
    </row>
    <row r="1644" spans="1:11" x14ac:dyDescent="0.3">
      <c r="A1644" s="28"/>
      <c r="B1644" s="29"/>
      <c r="C1644" s="30"/>
      <c r="D1644" s="31"/>
      <c r="E1644" s="33">
        <f>IF(OR($D1644="",$K1644=""),"",IF(COUNTIFS(Payments!$G$5:$G$2500,$K1644,Payments!$C$5:$C$2500,"&lt;&gt;")=0,"",_xlfn.MAXIFS(Payments!$C$5:$C$2500,Payments!$G$5:$G$2500,$K1644)))</f>
      </c>
      <c r="F1644" s="34">
        <f>IF(OR($D1644="",$K1644=""),"",SUMIF(Payments!$G$5:$G$2500,$K1644,Payments!$D$5:$D$2500))</f>
      </c>
      <c r="G1644" s="36">
        <f>IF($D1644="","",ROUND($D1644-IF($F1644="",0,$F1644),2))</f>
      </c>
      <c r="H1644" s="35">
        <f>IF(OR($D1644="",$K1644=""),"",COUNTIF(Payments!$G$5:$G$2500,$K1644))</f>
      </c>
      <c r="I1644" s="37">
        <f>IF($D1644="","",IF(OR($F1644="",$F1644=0),"Pending",IF(ROUND($F1644-$D1644,2)&gt;0,"Overpaid",IF(ROUND($F1644-$D1644,2)=0,"Paid","Partial"))))</f>
      </c>
      <c r="J1644" s="29"/>
      <c r="K1644">
        <f>IF($A1644="","","#"&amp;TRIM(SUBSTITUTE(SUBSTITUTE(SUBSTITUTE(SUBSTITUTE(SUBSTITUTE(SUBSTITUTE($A1644,"-",""),"(",""),")",""),".",""),"+","")," ","")))</f>
      </c>
    </row>
    <row r="1645" spans="1:11" x14ac:dyDescent="0.3">
      <c r="A1645" s="28"/>
      <c r="B1645" s="29"/>
      <c r="C1645" s="30"/>
      <c r="D1645" s="31"/>
      <c r="E1645" s="33">
        <f>IF(OR($D1645="",$K1645=""),"",IF(COUNTIFS(Payments!$G$5:$G$2500,$K1645,Payments!$C$5:$C$2500,"&lt;&gt;")=0,"",_xlfn.MAXIFS(Payments!$C$5:$C$2500,Payments!$G$5:$G$2500,$K1645)))</f>
      </c>
      <c r="F1645" s="34">
        <f>IF(OR($D1645="",$K1645=""),"",SUMIF(Payments!$G$5:$G$2500,$K1645,Payments!$D$5:$D$2500))</f>
      </c>
      <c r="G1645" s="36">
        <f>IF($D1645="","",ROUND($D1645-IF($F1645="",0,$F1645),2))</f>
      </c>
      <c r="H1645" s="35">
        <f>IF(OR($D1645="",$K1645=""),"",COUNTIF(Payments!$G$5:$G$2500,$K1645))</f>
      </c>
      <c r="I1645" s="37">
        <f>IF($D1645="","",IF(OR($F1645="",$F1645=0),"Pending",IF(ROUND($F1645-$D1645,2)&gt;0,"Overpaid",IF(ROUND($F1645-$D1645,2)=0,"Paid","Partial"))))</f>
      </c>
      <c r="J1645" s="29"/>
      <c r="K1645">
        <f>IF($A1645="","","#"&amp;TRIM(SUBSTITUTE(SUBSTITUTE(SUBSTITUTE(SUBSTITUTE(SUBSTITUTE(SUBSTITUTE($A1645,"-",""),"(",""),")",""),".",""),"+","")," ","")))</f>
      </c>
    </row>
    <row r="1646" spans="1:11" x14ac:dyDescent="0.3">
      <c r="A1646" s="28"/>
      <c r="B1646" s="29"/>
      <c r="C1646" s="30"/>
      <c r="D1646" s="31"/>
      <c r="E1646" s="33">
        <f>IF(OR($D1646="",$K1646=""),"",IF(COUNTIFS(Payments!$G$5:$G$2500,$K1646,Payments!$C$5:$C$2500,"&lt;&gt;")=0,"",_xlfn.MAXIFS(Payments!$C$5:$C$2500,Payments!$G$5:$G$2500,$K1646)))</f>
      </c>
      <c r="F1646" s="34">
        <f>IF(OR($D1646="",$K1646=""),"",SUMIF(Payments!$G$5:$G$2500,$K1646,Payments!$D$5:$D$2500))</f>
      </c>
      <c r="G1646" s="36">
        <f>IF($D1646="","",ROUND($D1646-IF($F1646="",0,$F1646),2))</f>
      </c>
      <c r="H1646" s="35">
        <f>IF(OR($D1646="",$K1646=""),"",COUNTIF(Payments!$G$5:$G$2500,$K1646))</f>
      </c>
      <c r="I1646" s="37">
        <f>IF($D1646="","",IF(OR($F1646="",$F1646=0),"Pending",IF(ROUND($F1646-$D1646,2)&gt;0,"Overpaid",IF(ROUND($F1646-$D1646,2)=0,"Paid","Partial"))))</f>
      </c>
      <c r="J1646" s="29"/>
      <c r="K1646">
        <f>IF($A1646="","","#"&amp;TRIM(SUBSTITUTE(SUBSTITUTE(SUBSTITUTE(SUBSTITUTE(SUBSTITUTE(SUBSTITUTE($A1646,"-",""),"(",""),")",""),".",""),"+","")," ","")))</f>
      </c>
    </row>
    <row r="1647" spans="1:11" x14ac:dyDescent="0.3">
      <c r="A1647" s="28"/>
      <c r="B1647" s="29"/>
      <c r="C1647" s="30"/>
      <c r="D1647" s="31"/>
      <c r="E1647" s="33">
        <f>IF(OR($D1647="",$K1647=""),"",IF(COUNTIFS(Payments!$G$5:$G$2500,$K1647,Payments!$C$5:$C$2500,"&lt;&gt;")=0,"",_xlfn.MAXIFS(Payments!$C$5:$C$2500,Payments!$G$5:$G$2500,$K1647)))</f>
      </c>
      <c r="F1647" s="34">
        <f>IF(OR($D1647="",$K1647=""),"",SUMIF(Payments!$G$5:$G$2500,$K1647,Payments!$D$5:$D$2500))</f>
      </c>
      <c r="G1647" s="36">
        <f>IF($D1647="","",ROUND($D1647-IF($F1647="",0,$F1647),2))</f>
      </c>
      <c r="H1647" s="35">
        <f>IF(OR($D1647="",$K1647=""),"",COUNTIF(Payments!$G$5:$G$2500,$K1647))</f>
      </c>
      <c r="I1647" s="37">
        <f>IF($D1647="","",IF(OR($F1647="",$F1647=0),"Pending",IF(ROUND($F1647-$D1647,2)&gt;0,"Overpaid",IF(ROUND($F1647-$D1647,2)=0,"Paid","Partial"))))</f>
      </c>
      <c r="J1647" s="29"/>
      <c r="K1647">
        <f>IF($A1647="","","#"&amp;TRIM(SUBSTITUTE(SUBSTITUTE(SUBSTITUTE(SUBSTITUTE(SUBSTITUTE(SUBSTITUTE($A1647,"-",""),"(",""),")",""),".",""),"+","")," ","")))</f>
      </c>
    </row>
    <row r="1648" spans="1:11" x14ac:dyDescent="0.3">
      <c r="A1648" s="28"/>
      <c r="B1648" s="29"/>
      <c r="C1648" s="30"/>
      <c r="D1648" s="31"/>
      <c r="E1648" s="33">
        <f>IF(OR($D1648="",$K1648=""),"",IF(COUNTIFS(Payments!$G$5:$G$2500,$K1648,Payments!$C$5:$C$2500,"&lt;&gt;")=0,"",_xlfn.MAXIFS(Payments!$C$5:$C$2500,Payments!$G$5:$G$2500,$K1648)))</f>
      </c>
      <c r="F1648" s="34">
        <f>IF(OR($D1648="",$K1648=""),"",SUMIF(Payments!$G$5:$G$2500,$K1648,Payments!$D$5:$D$2500))</f>
      </c>
      <c r="G1648" s="36">
        <f>IF($D1648="","",ROUND($D1648-IF($F1648="",0,$F1648),2))</f>
      </c>
      <c r="H1648" s="35">
        <f>IF(OR($D1648="",$K1648=""),"",COUNTIF(Payments!$G$5:$G$2500,$K1648))</f>
      </c>
      <c r="I1648" s="37">
        <f>IF($D1648="","",IF(OR($F1648="",$F1648=0),"Pending",IF(ROUND($F1648-$D1648,2)&gt;0,"Overpaid",IF(ROUND($F1648-$D1648,2)=0,"Paid","Partial"))))</f>
      </c>
      <c r="J1648" s="29"/>
      <c r="K1648">
        <f>IF($A1648="","","#"&amp;TRIM(SUBSTITUTE(SUBSTITUTE(SUBSTITUTE(SUBSTITUTE(SUBSTITUTE(SUBSTITUTE($A1648,"-",""),"(",""),")",""),".",""),"+","")," ","")))</f>
      </c>
    </row>
    <row r="1649" spans="1:11" x14ac:dyDescent="0.3">
      <c r="A1649" s="28"/>
      <c r="B1649" s="29"/>
      <c r="C1649" s="30"/>
      <c r="D1649" s="31"/>
      <c r="E1649" s="33">
        <f>IF(OR($D1649="",$K1649=""),"",IF(COUNTIFS(Payments!$G$5:$G$2500,$K1649,Payments!$C$5:$C$2500,"&lt;&gt;")=0,"",_xlfn.MAXIFS(Payments!$C$5:$C$2500,Payments!$G$5:$G$2500,$K1649)))</f>
      </c>
      <c r="F1649" s="34">
        <f>IF(OR($D1649="",$K1649=""),"",SUMIF(Payments!$G$5:$G$2500,$K1649,Payments!$D$5:$D$2500))</f>
      </c>
      <c r="G1649" s="36">
        <f>IF($D1649="","",ROUND($D1649-IF($F1649="",0,$F1649),2))</f>
      </c>
      <c r="H1649" s="35">
        <f>IF(OR($D1649="",$K1649=""),"",COUNTIF(Payments!$G$5:$G$2500,$K1649))</f>
      </c>
      <c r="I1649" s="37">
        <f>IF($D1649="","",IF(OR($F1649="",$F1649=0),"Pending",IF(ROUND($F1649-$D1649,2)&gt;0,"Overpaid",IF(ROUND($F1649-$D1649,2)=0,"Paid","Partial"))))</f>
      </c>
      <c r="J1649" s="29"/>
      <c r="K1649">
        <f>IF($A1649="","","#"&amp;TRIM(SUBSTITUTE(SUBSTITUTE(SUBSTITUTE(SUBSTITUTE(SUBSTITUTE(SUBSTITUTE($A1649,"-",""),"(",""),")",""),".",""),"+","")," ","")))</f>
      </c>
    </row>
    <row r="1650" spans="1:11" x14ac:dyDescent="0.3">
      <c r="A1650" s="28"/>
      <c r="B1650" s="29"/>
      <c r="C1650" s="30"/>
      <c r="D1650" s="31"/>
      <c r="E1650" s="33">
        <f>IF(OR($D1650="",$K1650=""),"",IF(COUNTIFS(Payments!$G$5:$G$2500,$K1650,Payments!$C$5:$C$2500,"&lt;&gt;")=0,"",_xlfn.MAXIFS(Payments!$C$5:$C$2500,Payments!$G$5:$G$2500,$K1650)))</f>
      </c>
      <c r="F1650" s="34">
        <f>IF(OR($D1650="",$K1650=""),"",SUMIF(Payments!$G$5:$G$2500,$K1650,Payments!$D$5:$D$2500))</f>
      </c>
      <c r="G1650" s="36">
        <f>IF($D1650="","",ROUND($D1650-IF($F1650="",0,$F1650),2))</f>
      </c>
      <c r="H1650" s="35">
        <f>IF(OR($D1650="",$K1650=""),"",COUNTIF(Payments!$G$5:$G$2500,$K1650))</f>
      </c>
      <c r="I1650" s="37">
        <f>IF($D1650="","",IF(OR($F1650="",$F1650=0),"Pending",IF(ROUND($F1650-$D1650,2)&gt;0,"Overpaid",IF(ROUND($F1650-$D1650,2)=0,"Paid","Partial"))))</f>
      </c>
      <c r="J1650" s="29"/>
      <c r="K1650">
        <f>IF($A1650="","","#"&amp;TRIM(SUBSTITUTE(SUBSTITUTE(SUBSTITUTE(SUBSTITUTE(SUBSTITUTE(SUBSTITUTE($A1650,"-",""),"(",""),")",""),".",""),"+","")," ","")))</f>
      </c>
    </row>
    <row r="1651" spans="1:11" x14ac:dyDescent="0.3">
      <c r="A1651" s="28"/>
      <c r="B1651" s="29"/>
      <c r="C1651" s="30"/>
      <c r="D1651" s="31"/>
      <c r="E1651" s="33">
        <f>IF(OR($D1651="",$K1651=""),"",IF(COUNTIFS(Payments!$G$5:$G$2500,$K1651,Payments!$C$5:$C$2500,"&lt;&gt;")=0,"",_xlfn.MAXIFS(Payments!$C$5:$C$2500,Payments!$G$5:$G$2500,$K1651)))</f>
      </c>
      <c r="F1651" s="34">
        <f>IF(OR($D1651="",$K1651=""),"",SUMIF(Payments!$G$5:$G$2500,$K1651,Payments!$D$5:$D$2500))</f>
      </c>
      <c r="G1651" s="36">
        <f>IF($D1651="","",ROUND($D1651-IF($F1651="",0,$F1651),2))</f>
      </c>
      <c r="H1651" s="35">
        <f>IF(OR($D1651="",$K1651=""),"",COUNTIF(Payments!$G$5:$G$2500,$K1651))</f>
      </c>
      <c r="I1651" s="37">
        <f>IF($D1651="","",IF(OR($F1651="",$F1651=0),"Pending",IF(ROUND($F1651-$D1651,2)&gt;0,"Overpaid",IF(ROUND($F1651-$D1651,2)=0,"Paid","Partial"))))</f>
      </c>
      <c r="J1651" s="29"/>
      <c r="K1651">
        <f>IF($A1651="","","#"&amp;TRIM(SUBSTITUTE(SUBSTITUTE(SUBSTITUTE(SUBSTITUTE(SUBSTITUTE(SUBSTITUTE($A1651,"-",""),"(",""),")",""),".",""),"+","")," ","")))</f>
      </c>
    </row>
    <row r="1652" spans="1:11" x14ac:dyDescent="0.3">
      <c r="A1652" s="28"/>
      <c r="B1652" s="29"/>
      <c r="C1652" s="30"/>
      <c r="D1652" s="31"/>
      <c r="E1652" s="33">
        <f>IF(OR($D1652="",$K1652=""),"",IF(COUNTIFS(Payments!$G$5:$G$2500,$K1652,Payments!$C$5:$C$2500,"&lt;&gt;")=0,"",_xlfn.MAXIFS(Payments!$C$5:$C$2500,Payments!$G$5:$G$2500,$K1652)))</f>
      </c>
      <c r="F1652" s="34">
        <f>IF(OR($D1652="",$K1652=""),"",SUMIF(Payments!$G$5:$G$2500,$K1652,Payments!$D$5:$D$2500))</f>
      </c>
      <c r="G1652" s="36">
        <f>IF($D1652="","",ROUND($D1652-IF($F1652="",0,$F1652),2))</f>
      </c>
      <c r="H1652" s="35">
        <f>IF(OR($D1652="",$K1652=""),"",COUNTIF(Payments!$G$5:$G$2500,$K1652))</f>
      </c>
      <c r="I1652" s="37">
        <f>IF($D1652="","",IF(OR($F1652="",$F1652=0),"Pending",IF(ROUND($F1652-$D1652,2)&gt;0,"Overpaid",IF(ROUND($F1652-$D1652,2)=0,"Paid","Partial"))))</f>
      </c>
      <c r="J1652" s="29"/>
      <c r="K1652">
        <f>IF($A1652="","","#"&amp;TRIM(SUBSTITUTE(SUBSTITUTE(SUBSTITUTE(SUBSTITUTE(SUBSTITUTE(SUBSTITUTE($A1652,"-",""),"(",""),")",""),".",""),"+","")," ","")))</f>
      </c>
    </row>
    <row r="1653" spans="1:11" x14ac:dyDescent="0.3">
      <c r="A1653" s="28"/>
      <c r="B1653" s="29"/>
      <c r="C1653" s="30"/>
      <c r="D1653" s="31"/>
      <c r="E1653" s="33">
        <f>IF(OR($D1653="",$K1653=""),"",IF(COUNTIFS(Payments!$G$5:$G$2500,$K1653,Payments!$C$5:$C$2500,"&lt;&gt;")=0,"",_xlfn.MAXIFS(Payments!$C$5:$C$2500,Payments!$G$5:$G$2500,$K1653)))</f>
      </c>
      <c r="F1653" s="34">
        <f>IF(OR($D1653="",$K1653=""),"",SUMIF(Payments!$G$5:$G$2500,$K1653,Payments!$D$5:$D$2500))</f>
      </c>
      <c r="G1653" s="36">
        <f>IF($D1653="","",ROUND($D1653-IF($F1653="",0,$F1653),2))</f>
      </c>
      <c r="H1653" s="35">
        <f>IF(OR($D1653="",$K1653=""),"",COUNTIF(Payments!$G$5:$G$2500,$K1653))</f>
      </c>
      <c r="I1653" s="37">
        <f>IF($D1653="","",IF(OR($F1653="",$F1653=0),"Pending",IF(ROUND($F1653-$D1653,2)&gt;0,"Overpaid",IF(ROUND($F1653-$D1653,2)=0,"Paid","Partial"))))</f>
      </c>
      <c r="J1653" s="29"/>
      <c r="K1653">
        <f>IF($A1653="","","#"&amp;TRIM(SUBSTITUTE(SUBSTITUTE(SUBSTITUTE(SUBSTITUTE(SUBSTITUTE(SUBSTITUTE($A1653,"-",""),"(",""),")",""),".",""),"+","")," ","")))</f>
      </c>
    </row>
    <row r="1654" spans="1:11" x14ac:dyDescent="0.3">
      <c r="A1654" s="28"/>
      <c r="B1654" s="29"/>
      <c r="C1654" s="30"/>
      <c r="D1654" s="31"/>
      <c r="E1654" s="33">
        <f>IF(OR($D1654="",$K1654=""),"",IF(COUNTIFS(Payments!$G$5:$G$2500,$K1654,Payments!$C$5:$C$2500,"&lt;&gt;")=0,"",_xlfn.MAXIFS(Payments!$C$5:$C$2500,Payments!$G$5:$G$2500,$K1654)))</f>
      </c>
      <c r="F1654" s="34">
        <f>IF(OR($D1654="",$K1654=""),"",SUMIF(Payments!$G$5:$G$2500,$K1654,Payments!$D$5:$D$2500))</f>
      </c>
      <c r="G1654" s="36">
        <f>IF($D1654="","",ROUND($D1654-IF($F1654="",0,$F1654),2))</f>
      </c>
      <c r="H1654" s="35">
        <f>IF(OR($D1654="",$K1654=""),"",COUNTIF(Payments!$G$5:$G$2500,$K1654))</f>
      </c>
      <c r="I1654" s="37">
        <f>IF($D1654="","",IF(OR($F1654="",$F1654=0),"Pending",IF(ROUND($F1654-$D1654,2)&gt;0,"Overpaid",IF(ROUND($F1654-$D1654,2)=0,"Paid","Partial"))))</f>
      </c>
      <c r="J1654" s="29"/>
      <c r="K1654">
        <f>IF($A1654="","","#"&amp;TRIM(SUBSTITUTE(SUBSTITUTE(SUBSTITUTE(SUBSTITUTE(SUBSTITUTE(SUBSTITUTE($A1654,"-",""),"(",""),")",""),".",""),"+","")," ","")))</f>
      </c>
    </row>
    <row r="1655" spans="1:11" x14ac:dyDescent="0.3">
      <c r="A1655" s="28"/>
      <c r="B1655" s="29"/>
      <c r="C1655" s="30"/>
      <c r="D1655" s="31"/>
      <c r="E1655" s="33">
        <f>IF(OR($D1655="",$K1655=""),"",IF(COUNTIFS(Payments!$G$5:$G$2500,$K1655,Payments!$C$5:$C$2500,"&lt;&gt;")=0,"",_xlfn.MAXIFS(Payments!$C$5:$C$2500,Payments!$G$5:$G$2500,$K1655)))</f>
      </c>
      <c r="F1655" s="34">
        <f>IF(OR($D1655="",$K1655=""),"",SUMIF(Payments!$G$5:$G$2500,$K1655,Payments!$D$5:$D$2500))</f>
      </c>
      <c r="G1655" s="36">
        <f>IF($D1655="","",ROUND($D1655-IF($F1655="",0,$F1655),2))</f>
      </c>
      <c r="H1655" s="35">
        <f>IF(OR($D1655="",$K1655=""),"",COUNTIF(Payments!$G$5:$G$2500,$K1655))</f>
      </c>
      <c r="I1655" s="37">
        <f>IF($D1655="","",IF(OR($F1655="",$F1655=0),"Pending",IF(ROUND($F1655-$D1655,2)&gt;0,"Overpaid",IF(ROUND($F1655-$D1655,2)=0,"Paid","Partial"))))</f>
      </c>
      <c r="J1655" s="29"/>
      <c r="K1655">
        <f>IF($A1655="","","#"&amp;TRIM(SUBSTITUTE(SUBSTITUTE(SUBSTITUTE(SUBSTITUTE(SUBSTITUTE(SUBSTITUTE($A1655,"-",""),"(",""),")",""),".",""),"+","")," ","")))</f>
      </c>
    </row>
    <row r="1656" spans="1:11" x14ac:dyDescent="0.3">
      <c r="A1656" s="28"/>
      <c r="B1656" s="29"/>
      <c r="C1656" s="30"/>
      <c r="D1656" s="31"/>
      <c r="E1656" s="33">
        <f>IF(OR($D1656="",$K1656=""),"",IF(COUNTIFS(Payments!$G$5:$G$2500,$K1656,Payments!$C$5:$C$2500,"&lt;&gt;")=0,"",_xlfn.MAXIFS(Payments!$C$5:$C$2500,Payments!$G$5:$G$2500,$K1656)))</f>
      </c>
      <c r="F1656" s="34">
        <f>IF(OR($D1656="",$K1656=""),"",SUMIF(Payments!$G$5:$G$2500,$K1656,Payments!$D$5:$D$2500))</f>
      </c>
      <c r="G1656" s="36">
        <f>IF($D1656="","",ROUND($D1656-IF($F1656="",0,$F1656),2))</f>
      </c>
      <c r="H1656" s="35">
        <f>IF(OR($D1656="",$K1656=""),"",COUNTIF(Payments!$G$5:$G$2500,$K1656))</f>
      </c>
      <c r="I1656" s="37">
        <f>IF($D1656="","",IF(OR($F1656="",$F1656=0),"Pending",IF(ROUND($F1656-$D1656,2)&gt;0,"Overpaid",IF(ROUND($F1656-$D1656,2)=0,"Paid","Partial"))))</f>
      </c>
      <c r="J1656" s="29"/>
      <c r="K1656">
        <f>IF($A1656="","","#"&amp;TRIM(SUBSTITUTE(SUBSTITUTE(SUBSTITUTE(SUBSTITUTE(SUBSTITUTE(SUBSTITUTE($A1656,"-",""),"(",""),")",""),".",""),"+","")," ","")))</f>
      </c>
    </row>
    <row r="1657" spans="1:11" x14ac:dyDescent="0.3">
      <c r="A1657" s="28"/>
      <c r="B1657" s="29"/>
      <c r="C1657" s="30"/>
      <c r="D1657" s="31"/>
      <c r="E1657" s="33">
        <f>IF(OR($D1657="",$K1657=""),"",IF(COUNTIFS(Payments!$G$5:$G$2500,$K1657,Payments!$C$5:$C$2500,"&lt;&gt;")=0,"",_xlfn.MAXIFS(Payments!$C$5:$C$2500,Payments!$G$5:$G$2500,$K1657)))</f>
      </c>
      <c r="F1657" s="34">
        <f>IF(OR($D1657="",$K1657=""),"",SUMIF(Payments!$G$5:$G$2500,$K1657,Payments!$D$5:$D$2500))</f>
      </c>
      <c r="G1657" s="36">
        <f>IF($D1657="","",ROUND($D1657-IF($F1657="",0,$F1657),2))</f>
      </c>
      <c r="H1657" s="35">
        <f>IF(OR($D1657="",$K1657=""),"",COUNTIF(Payments!$G$5:$G$2500,$K1657))</f>
      </c>
      <c r="I1657" s="37">
        <f>IF($D1657="","",IF(OR($F1657="",$F1657=0),"Pending",IF(ROUND($F1657-$D1657,2)&gt;0,"Overpaid",IF(ROUND($F1657-$D1657,2)=0,"Paid","Partial"))))</f>
      </c>
      <c r="J1657" s="29"/>
      <c r="K1657">
        <f>IF($A1657="","","#"&amp;TRIM(SUBSTITUTE(SUBSTITUTE(SUBSTITUTE(SUBSTITUTE(SUBSTITUTE(SUBSTITUTE($A1657,"-",""),"(",""),")",""),".",""),"+","")," ","")))</f>
      </c>
    </row>
    <row r="1658" spans="1:11" x14ac:dyDescent="0.3">
      <c r="A1658" s="28"/>
      <c r="B1658" s="29"/>
      <c r="C1658" s="30"/>
      <c r="D1658" s="31"/>
      <c r="E1658" s="33">
        <f>IF(OR($D1658="",$K1658=""),"",IF(COUNTIFS(Payments!$G$5:$G$2500,$K1658,Payments!$C$5:$C$2500,"&lt;&gt;")=0,"",_xlfn.MAXIFS(Payments!$C$5:$C$2500,Payments!$G$5:$G$2500,$K1658)))</f>
      </c>
      <c r="F1658" s="34">
        <f>IF(OR($D1658="",$K1658=""),"",SUMIF(Payments!$G$5:$G$2500,$K1658,Payments!$D$5:$D$2500))</f>
      </c>
      <c r="G1658" s="36">
        <f>IF($D1658="","",ROUND($D1658-IF($F1658="",0,$F1658),2))</f>
      </c>
      <c r="H1658" s="35">
        <f>IF(OR($D1658="",$K1658=""),"",COUNTIF(Payments!$G$5:$G$2500,$K1658))</f>
      </c>
      <c r="I1658" s="37">
        <f>IF($D1658="","",IF(OR($F1658="",$F1658=0),"Pending",IF(ROUND($F1658-$D1658,2)&gt;0,"Overpaid",IF(ROUND($F1658-$D1658,2)=0,"Paid","Partial"))))</f>
      </c>
      <c r="J1658" s="29"/>
      <c r="K1658">
        <f>IF($A1658="","","#"&amp;TRIM(SUBSTITUTE(SUBSTITUTE(SUBSTITUTE(SUBSTITUTE(SUBSTITUTE(SUBSTITUTE($A1658,"-",""),"(",""),")",""),".",""),"+","")," ","")))</f>
      </c>
    </row>
    <row r="1659" spans="1:11" x14ac:dyDescent="0.3">
      <c r="A1659" s="28"/>
      <c r="B1659" s="29"/>
      <c r="C1659" s="30"/>
      <c r="D1659" s="31"/>
      <c r="E1659" s="33">
        <f>IF(OR($D1659="",$K1659=""),"",IF(COUNTIFS(Payments!$G$5:$G$2500,$K1659,Payments!$C$5:$C$2500,"&lt;&gt;")=0,"",_xlfn.MAXIFS(Payments!$C$5:$C$2500,Payments!$G$5:$G$2500,$K1659)))</f>
      </c>
      <c r="F1659" s="34">
        <f>IF(OR($D1659="",$K1659=""),"",SUMIF(Payments!$G$5:$G$2500,$K1659,Payments!$D$5:$D$2500))</f>
      </c>
      <c r="G1659" s="36">
        <f>IF($D1659="","",ROUND($D1659-IF($F1659="",0,$F1659),2))</f>
      </c>
      <c r="H1659" s="35">
        <f>IF(OR($D1659="",$K1659=""),"",COUNTIF(Payments!$G$5:$G$2500,$K1659))</f>
      </c>
      <c r="I1659" s="37">
        <f>IF($D1659="","",IF(OR($F1659="",$F1659=0),"Pending",IF(ROUND($F1659-$D1659,2)&gt;0,"Overpaid",IF(ROUND($F1659-$D1659,2)=0,"Paid","Partial"))))</f>
      </c>
      <c r="J1659" s="29"/>
      <c r="K1659">
        <f>IF($A1659="","","#"&amp;TRIM(SUBSTITUTE(SUBSTITUTE(SUBSTITUTE(SUBSTITUTE(SUBSTITUTE(SUBSTITUTE($A1659,"-",""),"(",""),")",""),".",""),"+","")," ","")))</f>
      </c>
    </row>
    <row r="1660" spans="1:11" x14ac:dyDescent="0.3">
      <c r="A1660" s="28"/>
      <c r="B1660" s="29"/>
      <c r="C1660" s="30"/>
      <c r="D1660" s="31"/>
      <c r="E1660" s="33">
        <f>IF(OR($D1660="",$K1660=""),"",IF(COUNTIFS(Payments!$G$5:$G$2500,$K1660,Payments!$C$5:$C$2500,"&lt;&gt;")=0,"",_xlfn.MAXIFS(Payments!$C$5:$C$2500,Payments!$G$5:$G$2500,$K1660)))</f>
      </c>
      <c r="F1660" s="34">
        <f>IF(OR($D1660="",$K1660=""),"",SUMIF(Payments!$G$5:$G$2500,$K1660,Payments!$D$5:$D$2500))</f>
      </c>
      <c r="G1660" s="36">
        <f>IF($D1660="","",ROUND($D1660-IF($F1660="",0,$F1660),2))</f>
      </c>
      <c r="H1660" s="35">
        <f>IF(OR($D1660="",$K1660=""),"",COUNTIF(Payments!$G$5:$G$2500,$K1660))</f>
      </c>
      <c r="I1660" s="37">
        <f>IF($D1660="","",IF(OR($F1660="",$F1660=0),"Pending",IF(ROUND($F1660-$D1660,2)&gt;0,"Overpaid",IF(ROUND($F1660-$D1660,2)=0,"Paid","Partial"))))</f>
      </c>
      <c r="J1660" s="29"/>
      <c r="K1660">
        <f>IF($A1660="","","#"&amp;TRIM(SUBSTITUTE(SUBSTITUTE(SUBSTITUTE(SUBSTITUTE(SUBSTITUTE(SUBSTITUTE($A1660,"-",""),"(",""),")",""),".",""),"+","")," ","")))</f>
      </c>
    </row>
    <row r="1661" spans="1:11" x14ac:dyDescent="0.3">
      <c r="A1661" s="28"/>
      <c r="B1661" s="29"/>
      <c r="C1661" s="30"/>
      <c r="D1661" s="31"/>
      <c r="E1661" s="33">
        <f>IF(OR($D1661="",$K1661=""),"",IF(COUNTIFS(Payments!$G$5:$G$2500,$K1661,Payments!$C$5:$C$2500,"&lt;&gt;")=0,"",_xlfn.MAXIFS(Payments!$C$5:$C$2500,Payments!$G$5:$G$2500,$K1661)))</f>
      </c>
      <c r="F1661" s="34">
        <f>IF(OR($D1661="",$K1661=""),"",SUMIF(Payments!$G$5:$G$2500,$K1661,Payments!$D$5:$D$2500))</f>
      </c>
      <c r="G1661" s="36">
        <f>IF($D1661="","",ROUND($D1661-IF($F1661="",0,$F1661),2))</f>
      </c>
      <c r="H1661" s="35">
        <f>IF(OR($D1661="",$K1661=""),"",COUNTIF(Payments!$G$5:$G$2500,$K1661))</f>
      </c>
      <c r="I1661" s="37">
        <f>IF($D1661="","",IF(OR($F1661="",$F1661=0),"Pending",IF(ROUND($F1661-$D1661,2)&gt;0,"Overpaid",IF(ROUND($F1661-$D1661,2)=0,"Paid","Partial"))))</f>
      </c>
      <c r="J1661" s="29"/>
      <c r="K1661">
        <f>IF($A1661="","","#"&amp;TRIM(SUBSTITUTE(SUBSTITUTE(SUBSTITUTE(SUBSTITUTE(SUBSTITUTE(SUBSTITUTE($A1661,"-",""),"(",""),")",""),".",""),"+","")," ","")))</f>
      </c>
    </row>
    <row r="1662" spans="1:11" x14ac:dyDescent="0.3">
      <c r="A1662" s="28"/>
      <c r="B1662" s="29"/>
      <c r="C1662" s="30"/>
      <c r="D1662" s="31"/>
      <c r="E1662" s="33">
        <f>IF(OR($D1662="",$K1662=""),"",IF(COUNTIFS(Payments!$G$5:$G$2500,$K1662,Payments!$C$5:$C$2500,"&lt;&gt;")=0,"",_xlfn.MAXIFS(Payments!$C$5:$C$2500,Payments!$G$5:$G$2500,$K1662)))</f>
      </c>
      <c r="F1662" s="34">
        <f>IF(OR($D1662="",$K1662=""),"",SUMIF(Payments!$G$5:$G$2500,$K1662,Payments!$D$5:$D$2500))</f>
      </c>
      <c r="G1662" s="36">
        <f>IF($D1662="","",ROUND($D1662-IF($F1662="",0,$F1662),2))</f>
      </c>
      <c r="H1662" s="35">
        <f>IF(OR($D1662="",$K1662=""),"",COUNTIF(Payments!$G$5:$G$2500,$K1662))</f>
      </c>
      <c r="I1662" s="37">
        <f>IF($D1662="","",IF(OR($F1662="",$F1662=0),"Pending",IF(ROUND($F1662-$D1662,2)&gt;0,"Overpaid",IF(ROUND($F1662-$D1662,2)=0,"Paid","Partial"))))</f>
      </c>
      <c r="J1662" s="29"/>
      <c r="K1662">
        <f>IF($A1662="","","#"&amp;TRIM(SUBSTITUTE(SUBSTITUTE(SUBSTITUTE(SUBSTITUTE(SUBSTITUTE(SUBSTITUTE($A1662,"-",""),"(",""),")",""),".",""),"+","")," ","")))</f>
      </c>
    </row>
    <row r="1663" spans="1:11" x14ac:dyDescent="0.3">
      <c r="A1663" s="28"/>
      <c r="B1663" s="29"/>
      <c r="C1663" s="30"/>
      <c r="D1663" s="31"/>
      <c r="E1663" s="33">
        <f>IF(OR($D1663="",$K1663=""),"",IF(COUNTIFS(Payments!$G$5:$G$2500,$K1663,Payments!$C$5:$C$2500,"&lt;&gt;")=0,"",_xlfn.MAXIFS(Payments!$C$5:$C$2500,Payments!$G$5:$G$2500,$K1663)))</f>
      </c>
      <c r="F1663" s="34">
        <f>IF(OR($D1663="",$K1663=""),"",SUMIF(Payments!$G$5:$G$2500,$K1663,Payments!$D$5:$D$2500))</f>
      </c>
      <c r="G1663" s="36">
        <f>IF($D1663="","",ROUND($D1663-IF($F1663="",0,$F1663),2))</f>
      </c>
      <c r="H1663" s="35">
        <f>IF(OR($D1663="",$K1663=""),"",COUNTIF(Payments!$G$5:$G$2500,$K1663))</f>
      </c>
      <c r="I1663" s="37">
        <f>IF($D1663="","",IF(OR($F1663="",$F1663=0),"Pending",IF(ROUND($F1663-$D1663,2)&gt;0,"Overpaid",IF(ROUND($F1663-$D1663,2)=0,"Paid","Partial"))))</f>
      </c>
      <c r="J1663" s="29"/>
      <c r="K1663">
        <f>IF($A1663="","","#"&amp;TRIM(SUBSTITUTE(SUBSTITUTE(SUBSTITUTE(SUBSTITUTE(SUBSTITUTE(SUBSTITUTE($A1663,"-",""),"(",""),")",""),".",""),"+","")," ","")))</f>
      </c>
    </row>
    <row r="1664" spans="1:11" x14ac:dyDescent="0.3">
      <c r="A1664" s="28"/>
      <c r="B1664" s="29"/>
      <c r="C1664" s="30"/>
      <c r="D1664" s="31"/>
      <c r="E1664" s="33">
        <f>IF(OR($D1664="",$K1664=""),"",IF(COUNTIFS(Payments!$G$5:$G$2500,$K1664,Payments!$C$5:$C$2500,"&lt;&gt;")=0,"",_xlfn.MAXIFS(Payments!$C$5:$C$2500,Payments!$G$5:$G$2500,$K1664)))</f>
      </c>
      <c r="F1664" s="34">
        <f>IF(OR($D1664="",$K1664=""),"",SUMIF(Payments!$G$5:$G$2500,$K1664,Payments!$D$5:$D$2500))</f>
      </c>
      <c r="G1664" s="36">
        <f>IF($D1664="","",ROUND($D1664-IF($F1664="",0,$F1664),2))</f>
      </c>
      <c r="H1664" s="35">
        <f>IF(OR($D1664="",$K1664=""),"",COUNTIF(Payments!$G$5:$G$2500,$K1664))</f>
      </c>
      <c r="I1664" s="37">
        <f>IF($D1664="","",IF(OR($F1664="",$F1664=0),"Pending",IF(ROUND($F1664-$D1664,2)&gt;0,"Overpaid",IF(ROUND($F1664-$D1664,2)=0,"Paid","Partial"))))</f>
      </c>
      <c r="J1664" s="29"/>
      <c r="K1664">
        <f>IF($A1664="","","#"&amp;TRIM(SUBSTITUTE(SUBSTITUTE(SUBSTITUTE(SUBSTITUTE(SUBSTITUTE(SUBSTITUTE($A1664,"-",""),"(",""),")",""),".",""),"+","")," ","")))</f>
      </c>
    </row>
    <row r="1665" spans="1:11" x14ac:dyDescent="0.3">
      <c r="A1665" s="28"/>
      <c r="B1665" s="29"/>
      <c r="C1665" s="30"/>
      <c r="D1665" s="31"/>
      <c r="E1665" s="33">
        <f>IF(OR($D1665="",$K1665=""),"",IF(COUNTIFS(Payments!$G$5:$G$2500,$K1665,Payments!$C$5:$C$2500,"&lt;&gt;")=0,"",_xlfn.MAXIFS(Payments!$C$5:$C$2500,Payments!$G$5:$G$2500,$K1665)))</f>
      </c>
      <c r="F1665" s="34">
        <f>IF(OR($D1665="",$K1665=""),"",SUMIF(Payments!$G$5:$G$2500,$K1665,Payments!$D$5:$D$2500))</f>
      </c>
      <c r="G1665" s="36">
        <f>IF($D1665="","",ROUND($D1665-IF($F1665="",0,$F1665),2))</f>
      </c>
      <c r="H1665" s="35">
        <f>IF(OR($D1665="",$K1665=""),"",COUNTIF(Payments!$G$5:$G$2500,$K1665))</f>
      </c>
      <c r="I1665" s="37">
        <f>IF($D1665="","",IF(OR($F1665="",$F1665=0),"Pending",IF(ROUND($F1665-$D1665,2)&gt;0,"Overpaid",IF(ROUND($F1665-$D1665,2)=0,"Paid","Partial"))))</f>
      </c>
      <c r="J1665" s="29"/>
      <c r="K1665">
        <f>IF($A1665="","","#"&amp;TRIM(SUBSTITUTE(SUBSTITUTE(SUBSTITUTE(SUBSTITUTE(SUBSTITUTE(SUBSTITUTE($A1665,"-",""),"(",""),")",""),".",""),"+","")," ","")))</f>
      </c>
    </row>
    <row r="1666" spans="1:11" x14ac:dyDescent="0.3">
      <c r="A1666" s="28"/>
      <c r="B1666" s="29"/>
      <c r="C1666" s="30"/>
      <c r="D1666" s="31"/>
      <c r="E1666" s="33">
        <f>IF(OR($D1666="",$K1666=""),"",IF(COUNTIFS(Payments!$G$5:$G$2500,$K1666,Payments!$C$5:$C$2500,"&lt;&gt;")=0,"",_xlfn.MAXIFS(Payments!$C$5:$C$2500,Payments!$G$5:$G$2500,$K1666)))</f>
      </c>
      <c r="F1666" s="34">
        <f>IF(OR($D1666="",$K1666=""),"",SUMIF(Payments!$G$5:$G$2500,$K1666,Payments!$D$5:$D$2500))</f>
      </c>
      <c r="G1666" s="36">
        <f>IF($D1666="","",ROUND($D1666-IF($F1666="",0,$F1666),2))</f>
      </c>
      <c r="H1666" s="35">
        <f>IF(OR($D1666="",$K1666=""),"",COUNTIF(Payments!$G$5:$G$2500,$K1666))</f>
      </c>
      <c r="I1666" s="37">
        <f>IF($D1666="","",IF(OR($F1666="",$F1666=0),"Pending",IF(ROUND($F1666-$D1666,2)&gt;0,"Overpaid",IF(ROUND($F1666-$D1666,2)=0,"Paid","Partial"))))</f>
      </c>
      <c r="J1666" s="29"/>
      <c r="K1666">
        <f>IF($A1666="","","#"&amp;TRIM(SUBSTITUTE(SUBSTITUTE(SUBSTITUTE(SUBSTITUTE(SUBSTITUTE(SUBSTITUTE($A1666,"-",""),"(",""),")",""),".",""),"+","")," ","")))</f>
      </c>
    </row>
    <row r="1667" spans="1:11" x14ac:dyDescent="0.3">
      <c r="A1667" s="28"/>
      <c r="B1667" s="29"/>
      <c r="C1667" s="30"/>
      <c r="D1667" s="31"/>
      <c r="E1667" s="33">
        <f>IF(OR($D1667="",$K1667=""),"",IF(COUNTIFS(Payments!$G$5:$G$2500,$K1667,Payments!$C$5:$C$2500,"&lt;&gt;")=0,"",_xlfn.MAXIFS(Payments!$C$5:$C$2500,Payments!$G$5:$G$2500,$K1667)))</f>
      </c>
      <c r="F1667" s="34">
        <f>IF(OR($D1667="",$K1667=""),"",SUMIF(Payments!$G$5:$G$2500,$K1667,Payments!$D$5:$D$2500))</f>
      </c>
      <c r="G1667" s="36">
        <f>IF($D1667="","",ROUND($D1667-IF($F1667="",0,$F1667),2))</f>
      </c>
      <c r="H1667" s="35">
        <f>IF(OR($D1667="",$K1667=""),"",COUNTIF(Payments!$G$5:$G$2500,$K1667))</f>
      </c>
      <c r="I1667" s="37">
        <f>IF($D1667="","",IF(OR($F1667="",$F1667=0),"Pending",IF(ROUND($F1667-$D1667,2)&gt;0,"Overpaid",IF(ROUND($F1667-$D1667,2)=0,"Paid","Partial"))))</f>
      </c>
      <c r="J1667" s="29"/>
      <c r="K1667">
        <f>IF($A1667="","","#"&amp;TRIM(SUBSTITUTE(SUBSTITUTE(SUBSTITUTE(SUBSTITUTE(SUBSTITUTE(SUBSTITUTE($A1667,"-",""),"(",""),")",""),".",""),"+","")," ","")))</f>
      </c>
    </row>
    <row r="1668" spans="1:11" x14ac:dyDescent="0.3">
      <c r="A1668" s="28"/>
      <c r="B1668" s="29"/>
      <c r="C1668" s="30"/>
      <c r="D1668" s="31"/>
      <c r="E1668" s="33">
        <f>IF(OR($D1668="",$K1668=""),"",IF(COUNTIFS(Payments!$G$5:$G$2500,$K1668,Payments!$C$5:$C$2500,"&lt;&gt;")=0,"",_xlfn.MAXIFS(Payments!$C$5:$C$2500,Payments!$G$5:$G$2500,$K1668)))</f>
      </c>
      <c r="F1668" s="34">
        <f>IF(OR($D1668="",$K1668=""),"",SUMIF(Payments!$G$5:$G$2500,$K1668,Payments!$D$5:$D$2500))</f>
      </c>
      <c r="G1668" s="36">
        <f>IF($D1668="","",ROUND($D1668-IF($F1668="",0,$F1668),2))</f>
      </c>
      <c r="H1668" s="35">
        <f>IF(OR($D1668="",$K1668=""),"",COUNTIF(Payments!$G$5:$G$2500,$K1668))</f>
      </c>
      <c r="I1668" s="37">
        <f>IF($D1668="","",IF(OR($F1668="",$F1668=0),"Pending",IF(ROUND($F1668-$D1668,2)&gt;0,"Overpaid",IF(ROUND($F1668-$D1668,2)=0,"Paid","Partial"))))</f>
      </c>
      <c r="J1668" s="29"/>
      <c r="K1668">
        <f>IF($A1668="","","#"&amp;TRIM(SUBSTITUTE(SUBSTITUTE(SUBSTITUTE(SUBSTITUTE(SUBSTITUTE(SUBSTITUTE($A1668,"-",""),"(",""),")",""),".",""),"+","")," ","")))</f>
      </c>
    </row>
    <row r="1669" spans="1:11" x14ac:dyDescent="0.3">
      <c r="A1669" s="28"/>
      <c r="B1669" s="29"/>
      <c r="C1669" s="30"/>
      <c r="D1669" s="31"/>
      <c r="E1669" s="33">
        <f>IF(OR($D1669="",$K1669=""),"",IF(COUNTIFS(Payments!$G$5:$G$2500,$K1669,Payments!$C$5:$C$2500,"&lt;&gt;")=0,"",_xlfn.MAXIFS(Payments!$C$5:$C$2500,Payments!$G$5:$G$2500,$K1669)))</f>
      </c>
      <c r="F1669" s="34">
        <f>IF(OR($D1669="",$K1669=""),"",SUMIF(Payments!$G$5:$G$2500,$K1669,Payments!$D$5:$D$2500))</f>
      </c>
      <c r="G1669" s="36">
        <f>IF($D1669="","",ROUND($D1669-IF($F1669="",0,$F1669),2))</f>
      </c>
      <c r="H1669" s="35">
        <f>IF(OR($D1669="",$K1669=""),"",COUNTIF(Payments!$G$5:$G$2500,$K1669))</f>
      </c>
      <c r="I1669" s="37">
        <f>IF($D1669="","",IF(OR($F1669="",$F1669=0),"Pending",IF(ROUND($F1669-$D1669,2)&gt;0,"Overpaid",IF(ROUND($F1669-$D1669,2)=0,"Paid","Partial"))))</f>
      </c>
      <c r="J1669" s="29"/>
      <c r="K1669">
        <f>IF($A1669="","","#"&amp;TRIM(SUBSTITUTE(SUBSTITUTE(SUBSTITUTE(SUBSTITUTE(SUBSTITUTE(SUBSTITUTE($A1669,"-",""),"(",""),")",""),".",""),"+","")," ","")))</f>
      </c>
    </row>
    <row r="1670" spans="1:11" x14ac:dyDescent="0.3">
      <c r="A1670" s="28"/>
      <c r="B1670" s="29"/>
      <c r="C1670" s="30"/>
      <c r="D1670" s="31"/>
      <c r="E1670" s="33">
        <f>IF(OR($D1670="",$K1670=""),"",IF(COUNTIFS(Payments!$G$5:$G$2500,$K1670,Payments!$C$5:$C$2500,"&lt;&gt;")=0,"",_xlfn.MAXIFS(Payments!$C$5:$C$2500,Payments!$G$5:$G$2500,$K1670)))</f>
      </c>
      <c r="F1670" s="34">
        <f>IF(OR($D1670="",$K1670=""),"",SUMIF(Payments!$G$5:$G$2500,$K1670,Payments!$D$5:$D$2500))</f>
      </c>
      <c r="G1670" s="36">
        <f>IF($D1670="","",ROUND($D1670-IF($F1670="",0,$F1670),2))</f>
      </c>
      <c r="H1670" s="35">
        <f>IF(OR($D1670="",$K1670=""),"",COUNTIF(Payments!$G$5:$G$2500,$K1670))</f>
      </c>
      <c r="I1670" s="37">
        <f>IF($D1670="","",IF(OR($F1670="",$F1670=0),"Pending",IF(ROUND($F1670-$D1670,2)&gt;0,"Overpaid",IF(ROUND($F1670-$D1670,2)=0,"Paid","Partial"))))</f>
      </c>
      <c r="J1670" s="29"/>
      <c r="K1670">
        <f>IF($A1670="","","#"&amp;TRIM(SUBSTITUTE(SUBSTITUTE(SUBSTITUTE(SUBSTITUTE(SUBSTITUTE(SUBSTITUTE($A1670,"-",""),"(",""),")",""),".",""),"+","")," ","")))</f>
      </c>
    </row>
    <row r="1671" spans="1:11" x14ac:dyDescent="0.3">
      <c r="A1671" s="28"/>
      <c r="B1671" s="29"/>
      <c r="C1671" s="30"/>
      <c r="D1671" s="31"/>
      <c r="E1671" s="33">
        <f>IF(OR($D1671="",$K1671=""),"",IF(COUNTIFS(Payments!$G$5:$G$2500,$K1671,Payments!$C$5:$C$2500,"&lt;&gt;")=0,"",_xlfn.MAXIFS(Payments!$C$5:$C$2500,Payments!$G$5:$G$2500,$K1671)))</f>
      </c>
      <c r="F1671" s="34">
        <f>IF(OR($D1671="",$K1671=""),"",SUMIF(Payments!$G$5:$G$2500,$K1671,Payments!$D$5:$D$2500))</f>
      </c>
      <c r="G1671" s="36">
        <f>IF($D1671="","",ROUND($D1671-IF($F1671="",0,$F1671),2))</f>
      </c>
      <c r="H1671" s="35">
        <f>IF(OR($D1671="",$K1671=""),"",COUNTIF(Payments!$G$5:$G$2500,$K1671))</f>
      </c>
      <c r="I1671" s="37">
        <f>IF($D1671="","",IF(OR($F1671="",$F1671=0),"Pending",IF(ROUND($F1671-$D1671,2)&gt;0,"Overpaid",IF(ROUND($F1671-$D1671,2)=0,"Paid","Partial"))))</f>
      </c>
      <c r="J1671" s="29"/>
      <c r="K1671">
        <f>IF($A1671="","","#"&amp;TRIM(SUBSTITUTE(SUBSTITUTE(SUBSTITUTE(SUBSTITUTE(SUBSTITUTE(SUBSTITUTE($A1671,"-",""),"(",""),")",""),".",""),"+","")," ","")))</f>
      </c>
    </row>
    <row r="1672" spans="1:11" x14ac:dyDescent="0.3">
      <c r="A1672" s="28"/>
      <c r="B1672" s="29"/>
      <c r="C1672" s="30"/>
      <c r="D1672" s="31"/>
      <c r="E1672" s="33">
        <f>IF(OR($D1672="",$K1672=""),"",IF(COUNTIFS(Payments!$G$5:$G$2500,$K1672,Payments!$C$5:$C$2500,"&lt;&gt;")=0,"",_xlfn.MAXIFS(Payments!$C$5:$C$2500,Payments!$G$5:$G$2500,$K1672)))</f>
      </c>
      <c r="F1672" s="34">
        <f>IF(OR($D1672="",$K1672=""),"",SUMIF(Payments!$G$5:$G$2500,$K1672,Payments!$D$5:$D$2500))</f>
      </c>
      <c r="G1672" s="36">
        <f>IF($D1672="","",ROUND($D1672-IF($F1672="",0,$F1672),2))</f>
      </c>
      <c r="H1672" s="35">
        <f>IF(OR($D1672="",$K1672=""),"",COUNTIF(Payments!$G$5:$G$2500,$K1672))</f>
      </c>
      <c r="I1672" s="37">
        <f>IF($D1672="","",IF(OR($F1672="",$F1672=0),"Pending",IF(ROUND($F1672-$D1672,2)&gt;0,"Overpaid",IF(ROUND($F1672-$D1672,2)=0,"Paid","Partial"))))</f>
      </c>
      <c r="J1672" s="29"/>
      <c r="K1672">
        <f>IF($A1672="","","#"&amp;TRIM(SUBSTITUTE(SUBSTITUTE(SUBSTITUTE(SUBSTITUTE(SUBSTITUTE(SUBSTITUTE($A1672,"-",""),"(",""),")",""),".",""),"+","")," ","")))</f>
      </c>
    </row>
    <row r="1673" spans="1:11" x14ac:dyDescent="0.3">
      <c r="A1673" s="28"/>
      <c r="B1673" s="29"/>
      <c r="C1673" s="30"/>
      <c r="D1673" s="31"/>
      <c r="E1673" s="33">
        <f>IF(OR($D1673="",$K1673=""),"",IF(COUNTIFS(Payments!$G$5:$G$2500,$K1673,Payments!$C$5:$C$2500,"&lt;&gt;")=0,"",_xlfn.MAXIFS(Payments!$C$5:$C$2500,Payments!$G$5:$G$2500,$K1673)))</f>
      </c>
      <c r="F1673" s="34">
        <f>IF(OR($D1673="",$K1673=""),"",SUMIF(Payments!$G$5:$G$2500,$K1673,Payments!$D$5:$D$2500))</f>
      </c>
      <c r="G1673" s="36">
        <f>IF($D1673="","",ROUND($D1673-IF($F1673="",0,$F1673),2))</f>
      </c>
      <c r="H1673" s="35">
        <f>IF(OR($D1673="",$K1673=""),"",COUNTIF(Payments!$G$5:$G$2500,$K1673))</f>
      </c>
      <c r="I1673" s="37">
        <f>IF($D1673="","",IF(OR($F1673="",$F1673=0),"Pending",IF(ROUND($F1673-$D1673,2)&gt;0,"Overpaid",IF(ROUND($F1673-$D1673,2)=0,"Paid","Partial"))))</f>
      </c>
      <c r="J1673" s="29"/>
      <c r="K1673">
        <f>IF($A1673="","","#"&amp;TRIM(SUBSTITUTE(SUBSTITUTE(SUBSTITUTE(SUBSTITUTE(SUBSTITUTE(SUBSTITUTE($A1673,"-",""),"(",""),")",""),".",""),"+","")," ","")))</f>
      </c>
    </row>
    <row r="1674" spans="1:11" x14ac:dyDescent="0.3">
      <c r="A1674" s="28"/>
      <c r="B1674" s="29"/>
      <c r="C1674" s="30"/>
      <c r="D1674" s="31"/>
      <c r="E1674" s="33">
        <f>IF(OR($D1674="",$K1674=""),"",IF(COUNTIFS(Payments!$G$5:$G$2500,$K1674,Payments!$C$5:$C$2500,"&lt;&gt;")=0,"",_xlfn.MAXIFS(Payments!$C$5:$C$2500,Payments!$G$5:$G$2500,$K1674)))</f>
      </c>
      <c r="F1674" s="34">
        <f>IF(OR($D1674="",$K1674=""),"",SUMIF(Payments!$G$5:$G$2500,$K1674,Payments!$D$5:$D$2500))</f>
      </c>
      <c r="G1674" s="36">
        <f>IF($D1674="","",ROUND($D1674-IF($F1674="",0,$F1674),2))</f>
      </c>
      <c r="H1674" s="35">
        <f>IF(OR($D1674="",$K1674=""),"",COUNTIF(Payments!$G$5:$G$2500,$K1674))</f>
      </c>
      <c r="I1674" s="37">
        <f>IF($D1674="","",IF(OR($F1674="",$F1674=0),"Pending",IF(ROUND($F1674-$D1674,2)&gt;0,"Overpaid",IF(ROUND($F1674-$D1674,2)=0,"Paid","Partial"))))</f>
      </c>
      <c r="J1674" s="29"/>
      <c r="K1674">
        <f>IF($A1674="","","#"&amp;TRIM(SUBSTITUTE(SUBSTITUTE(SUBSTITUTE(SUBSTITUTE(SUBSTITUTE(SUBSTITUTE($A1674,"-",""),"(",""),")",""),".",""),"+","")," ","")))</f>
      </c>
    </row>
    <row r="1675" spans="1:11" x14ac:dyDescent="0.3">
      <c r="A1675" s="28"/>
      <c r="B1675" s="29"/>
      <c r="C1675" s="30"/>
      <c r="D1675" s="31"/>
      <c r="E1675" s="33">
        <f>IF(OR($D1675="",$K1675=""),"",IF(COUNTIFS(Payments!$G$5:$G$2500,$K1675,Payments!$C$5:$C$2500,"&lt;&gt;")=0,"",_xlfn.MAXIFS(Payments!$C$5:$C$2500,Payments!$G$5:$G$2500,$K1675)))</f>
      </c>
      <c r="F1675" s="34">
        <f>IF(OR($D1675="",$K1675=""),"",SUMIF(Payments!$G$5:$G$2500,$K1675,Payments!$D$5:$D$2500))</f>
      </c>
      <c r="G1675" s="36">
        <f>IF($D1675="","",ROUND($D1675-IF($F1675="",0,$F1675),2))</f>
      </c>
      <c r="H1675" s="35">
        <f>IF(OR($D1675="",$K1675=""),"",COUNTIF(Payments!$G$5:$G$2500,$K1675))</f>
      </c>
      <c r="I1675" s="37">
        <f>IF($D1675="","",IF(OR($F1675="",$F1675=0),"Pending",IF(ROUND($F1675-$D1675,2)&gt;0,"Overpaid",IF(ROUND($F1675-$D1675,2)=0,"Paid","Partial"))))</f>
      </c>
      <c r="J1675" s="29"/>
      <c r="K1675">
        <f>IF($A1675="","","#"&amp;TRIM(SUBSTITUTE(SUBSTITUTE(SUBSTITUTE(SUBSTITUTE(SUBSTITUTE(SUBSTITUTE($A1675,"-",""),"(",""),")",""),".",""),"+","")," ","")))</f>
      </c>
    </row>
    <row r="1676" spans="1:11" x14ac:dyDescent="0.3">
      <c r="A1676" s="28"/>
      <c r="B1676" s="29"/>
      <c r="C1676" s="30"/>
      <c r="D1676" s="31"/>
      <c r="E1676" s="33">
        <f>IF(OR($D1676="",$K1676=""),"",IF(COUNTIFS(Payments!$G$5:$G$2500,$K1676,Payments!$C$5:$C$2500,"&lt;&gt;")=0,"",_xlfn.MAXIFS(Payments!$C$5:$C$2500,Payments!$G$5:$G$2500,$K1676)))</f>
      </c>
      <c r="F1676" s="34">
        <f>IF(OR($D1676="",$K1676=""),"",SUMIF(Payments!$G$5:$G$2500,$K1676,Payments!$D$5:$D$2500))</f>
      </c>
      <c r="G1676" s="36">
        <f>IF($D1676="","",ROUND($D1676-IF($F1676="",0,$F1676),2))</f>
      </c>
      <c r="H1676" s="35">
        <f>IF(OR($D1676="",$K1676=""),"",COUNTIF(Payments!$G$5:$G$2500,$K1676))</f>
      </c>
      <c r="I1676" s="37">
        <f>IF($D1676="","",IF(OR($F1676="",$F1676=0),"Pending",IF(ROUND($F1676-$D1676,2)&gt;0,"Overpaid",IF(ROUND($F1676-$D1676,2)=0,"Paid","Partial"))))</f>
      </c>
      <c r="J1676" s="29"/>
      <c r="K1676">
        <f>IF($A1676="","","#"&amp;TRIM(SUBSTITUTE(SUBSTITUTE(SUBSTITUTE(SUBSTITUTE(SUBSTITUTE(SUBSTITUTE($A1676,"-",""),"(",""),")",""),".",""),"+","")," ","")))</f>
      </c>
    </row>
    <row r="1677" spans="1:11" x14ac:dyDescent="0.3">
      <c r="A1677" s="28"/>
      <c r="B1677" s="29"/>
      <c r="C1677" s="30"/>
      <c r="D1677" s="31"/>
      <c r="E1677" s="33">
        <f>IF(OR($D1677="",$K1677=""),"",IF(COUNTIFS(Payments!$G$5:$G$2500,$K1677,Payments!$C$5:$C$2500,"&lt;&gt;")=0,"",_xlfn.MAXIFS(Payments!$C$5:$C$2500,Payments!$G$5:$G$2500,$K1677)))</f>
      </c>
      <c r="F1677" s="34">
        <f>IF(OR($D1677="",$K1677=""),"",SUMIF(Payments!$G$5:$G$2500,$K1677,Payments!$D$5:$D$2500))</f>
      </c>
      <c r="G1677" s="36">
        <f>IF($D1677="","",ROUND($D1677-IF($F1677="",0,$F1677),2))</f>
      </c>
      <c r="H1677" s="35">
        <f>IF(OR($D1677="",$K1677=""),"",COUNTIF(Payments!$G$5:$G$2500,$K1677))</f>
      </c>
      <c r="I1677" s="37">
        <f>IF($D1677="","",IF(OR($F1677="",$F1677=0),"Pending",IF(ROUND($F1677-$D1677,2)&gt;0,"Overpaid",IF(ROUND($F1677-$D1677,2)=0,"Paid","Partial"))))</f>
      </c>
      <c r="J1677" s="29"/>
      <c r="K1677">
        <f>IF($A1677="","","#"&amp;TRIM(SUBSTITUTE(SUBSTITUTE(SUBSTITUTE(SUBSTITUTE(SUBSTITUTE(SUBSTITUTE($A1677,"-",""),"(",""),")",""),".",""),"+","")," ","")))</f>
      </c>
    </row>
    <row r="1678" spans="1:11" x14ac:dyDescent="0.3">
      <c r="A1678" s="28"/>
      <c r="B1678" s="29"/>
      <c r="C1678" s="30"/>
      <c r="D1678" s="31"/>
      <c r="E1678" s="33">
        <f>IF(OR($D1678="",$K1678=""),"",IF(COUNTIFS(Payments!$G$5:$G$2500,$K1678,Payments!$C$5:$C$2500,"&lt;&gt;")=0,"",_xlfn.MAXIFS(Payments!$C$5:$C$2500,Payments!$G$5:$G$2500,$K1678)))</f>
      </c>
      <c r="F1678" s="34">
        <f>IF(OR($D1678="",$K1678=""),"",SUMIF(Payments!$G$5:$G$2500,$K1678,Payments!$D$5:$D$2500))</f>
      </c>
      <c r="G1678" s="36">
        <f>IF($D1678="","",ROUND($D1678-IF($F1678="",0,$F1678),2))</f>
      </c>
      <c r="H1678" s="35">
        <f>IF(OR($D1678="",$K1678=""),"",COUNTIF(Payments!$G$5:$G$2500,$K1678))</f>
      </c>
      <c r="I1678" s="37">
        <f>IF($D1678="","",IF(OR($F1678="",$F1678=0),"Pending",IF(ROUND($F1678-$D1678,2)&gt;0,"Overpaid",IF(ROUND($F1678-$D1678,2)=0,"Paid","Partial"))))</f>
      </c>
      <c r="J1678" s="29"/>
      <c r="K1678">
        <f>IF($A1678="","","#"&amp;TRIM(SUBSTITUTE(SUBSTITUTE(SUBSTITUTE(SUBSTITUTE(SUBSTITUTE(SUBSTITUTE($A1678,"-",""),"(",""),")",""),".",""),"+","")," ","")))</f>
      </c>
    </row>
    <row r="1679" spans="1:11" x14ac:dyDescent="0.3">
      <c r="A1679" s="28"/>
      <c r="B1679" s="29"/>
      <c r="C1679" s="30"/>
      <c r="D1679" s="31"/>
      <c r="E1679" s="33">
        <f>IF(OR($D1679="",$K1679=""),"",IF(COUNTIFS(Payments!$G$5:$G$2500,$K1679,Payments!$C$5:$C$2500,"&lt;&gt;")=0,"",_xlfn.MAXIFS(Payments!$C$5:$C$2500,Payments!$G$5:$G$2500,$K1679)))</f>
      </c>
      <c r="F1679" s="34">
        <f>IF(OR($D1679="",$K1679=""),"",SUMIF(Payments!$G$5:$G$2500,$K1679,Payments!$D$5:$D$2500))</f>
      </c>
      <c r="G1679" s="36">
        <f>IF($D1679="","",ROUND($D1679-IF($F1679="",0,$F1679),2))</f>
      </c>
      <c r="H1679" s="35">
        <f>IF(OR($D1679="",$K1679=""),"",COUNTIF(Payments!$G$5:$G$2500,$K1679))</f>
      </c>
      <c r="I1679" s="37">
        <f>IF($D1679="","",IF(OR($F1679="",$F1679=0),"Pending",IF(ROUND($F1679-$D1679,2)&gt;0,"Overpaid",IF(ROUND($F1679-$D1679,2)=0,"Paid","Partial"))))</f>
      </c>
      <c r="J1679" s="29"/>
      <c r="K1679">
        <f>IF($A1679="","","#"&amp;TRIM(SUBSTITUTE(SUBSTITUTE(SUBSTITUTE(SUBSTITUTE(SUBSTITUTE(SUBSTITUTE($A1679,"-",""),"(",""),")",""),".",""),"+","")," ","")))</f>
      </c>
    </row>
    <row r="1680" spans="1:11" x14ac:dyDescent="0.3">
      <c r="A1680" s="28"/>
      <c r="B1680" s="29"/>
      <c r="C1680" s="30"/>
      <c r="D1680" s="31"/>
      <c r="E1680" s="33">
        <f>IF(OR($D1680="",$K1680=""),"",IF(COUNTIFS(Payments!$G$5:$G$2500,$K1680,Payments!$C$5:$C$2500,"&lt;&gt;")=0,"",_xlfn.MAXIFS(Payments!$C$5:$C$2500,Payments!$G$5:$G$2500,$K1680)))</f>
      </c>
      <c r="F1680" s="34">
        <f>IF(OR($D1680="",$K1680=""),"",SUMIF(Payments!$G$5:$G$2500,$K1680,Payments!$D$5:$D$2500))</f>
      </c>
      <c r="G1680" s="36">
        <f>IF($D1680="","",ROUND($D1680-IF($F1680="",0,$F1680),2))</f>
      </c>
      <c r="H1680" s="35">
        <f>IF(OR($D1680="",$K1680=""),"",COUNTIF(Payments!$G$5:$G$2500,$K1680))</f>
      </c>
      <c r="I1680" s="37">
        <f>IF($D1680="","",IF(OR($F1680="",$F1680=0),"Pending",IF(ROUND($F1680-$D1680,2)&gt;0,"Overpaid",IF(ROUND($F1680-$D1680,2)=0,"Paid","Partial"))))</f>
      </c>
      <c r="J1680" s="29"/>
      <c r="K1680">
        <f>IF($A1680="","","#"&amp;TRIM(SUBSTITUTE(SUBSTITUTE(SUBSTITUTE(SUBSTITUTE(SUBSTITUTE(SUBSTITUTE($A1680,"-",""),"(",""),")",""),".",""),"+","")," ","")))</f>
      </c>
    </row>
    <row r="1681" spans="1:11" x14ac:dyDescent="0.3">
      <c r="A1681" s="28"/>
      <c r="B1681" s="29"/>
      <c r="C1681" s="30"/>
      <c r="D1681" s="31"/>
      <c r="E1681" s="33">
        <f>IF(OR($D1681="",$K1681=""),"",IF(COUNTIFS(Payments!$G$5:$G$2500,$K1681,Payments!$C$5:$C$2500,"&lt;&gt;")=0,"",_xlfn.MAXIFS(Payments!$C$5:$C$2500,Payments!$G$5:$G$2500,$K1681)))</f>
      </c>
      <c r="F1681" s="34">
        <f>IF(OR($D1681="",$K1681=""),"",SUMIF(Payments!$G$5:$G$2500,$K1681,Payments!$D$5:$D$2500))</f>
      </c>
      <c r="G1681" s="36">
        <f>IF($D1681="","",ROUND($D1681-IF($F1681="",0,$F1681),2))</f>
      </c>
      <c r="H1681" s="35">
        <f>IF(OR($D1681="",$K1681=""),"",COUNTIF(Payments!$G$5:$G$2500,$K1681))</f>
      </c>
      <c r="I1681" s="37">
        <f>IF($D1681="","",IF(OR($F1681="",$F1681=0),"Pending",IF(ROUND($F1681-$D1681,2)&gt;0,"Overpaid",IF(ROUND($F1681-$D1681,2)=0,"Paid","Partial"))))</f>
      </c>
      <c r="J1681" s="29"/>
      <c r="K1681">
        <f>IF($A1681="","","#"&amp;TRIM(SUBSTITUTE(SUBSTITUTE(SUBSTITUTE(SUBSTITUTE(SUBSTITUTE(SUBSTITUTE($A1681,"-",""),"(",""),")",""),".",""),"+","")," ","")))</f>
      </c>
    </row>
    <row r="1682" spans="1:11" x14ac:dyDescent="0.3">
      <c r="A1682" s="28"/>
      <c r="B1682" s="29"/>
      <c r="C1682" s="30"/>
      <c r="D1682" s="31"/>
      <c r="E1682" s="33">
        <f>IF(OR($D1682="",$K1682=""),"",IF(COUNTIFS(Payments!$G$5:$G$2500,$K1682,Payments!$C$5:$C$2500,"&lt;&gt;")=0,"",_xlfn.MAXIFS(Payments!$C$5:$C$2500,Payments!$G$5:$G$2500,$K1682)))</f>
      </c>
      <c r="F1682" s="34">
        <f>IF(OR($D1682="",$K1682=""),"",SUMIF(Payments!$G$5:$G$2500,$K1682,Payments!$D$5:$D$2500))</f>
      </c>
      <c r="G1682" s="36">
        <f>IF($D1682="","",ROUND($D1682-IF($F1682="",0,$F1682),2))</f>
      </c>
      <c r="H1682" s="35">
        <f>IF(OR($D1682="",$K1682=""),"",COUNTIF(Payments!$G$5:$G$2500,$K1682))</f>
      </c>
      <c r="I1682" s="37">
        <f>IF($D1682="","",IF(OR($F1682="",$F1682=0),"Pending",IF(ROUND($F1682-$D1682,2)&gt;0,"Overpaid",IF(ROUND($F1682-$D1682,2)=0,"Paid","Partial"))))</f>
      </c>
      <c r="J1682" s="29"/>
      <c r="K1682">
        <f>IF($A1682="","","#"&amp;TRIM(SUBSTITUTE(SUBSTITUTE(SUBSTITUTE(SUBSTITUTE(SUBSTITUTE(SUBSTITUTE($A1682,"-",""),"(",""),")",""),".",""),"+","")," ","")))</f>
      </c>
    </row>
    <row r="1683" spans="1:11" x14ac:dyDescent="0.3">
      <c r="A1683" s="28"/>
      <c r="B1683" s="29"/>
      <c r="C1683" s="30"/>
      <c r="D1683" s="31"/>
      <c r="E1683" s="33">
        <f>IF(OR($D1683="",$K1683=""),"",IF(COUNTIFS(Payments!$G$5:$G$2500,$K1683,Payments!$C$5:$C$2500,"&lt;&gt;")=0,"",_xlfn.MAXIFS(Payments!$C$5:$C$2500,Payments!$G$5:$G$2500,$K1683)))</f>
      </c>
      <c r="F1683" s="34">
        <f>IF(OR($D1683="",$K1683=""),"",SUMIF(Payments!$G$5:$G$2500,$K1683,Payments!$D$5:$D$2500))</f>
      </c>
      <c r="G1683" s="36">
        <f>IF($D1683="","",ROUND($D1683-IF($F1683="",0,$F1683),2))</f>
      </c>
      <c r="H1683" s="35">
        <f>IF(OR($D1683="",$K1683=""),"",COUNTIF(Payments!$G$5:$G$2500,$K1683))</f>
      </c>
      <c r="I1683" s="37">
        <f>IF($D1683="","",IF(OR($F1683="",$F1683=0),"Pending",IF(ROUND($F1683-$D1683,2)&gt;0,"Overpaid",IF(ROUND($F1683-$D1683,2)=0,"Paid","Partial"))))</f>
      </c>
      <c r="J1683" s="29"/>
      <c r="K1683">
        <f>IF($A1683="","","#"&amp;TRIM(SUBSTITUTE(SUBSTITUTE(SUBSTITUTE(SUBSTITUTE(SUBSTITUTE(SUBSTITUTE($A1683,"-",""),"(",""),")",""),".",""),"+","")," ","")))</f>
      </c>
    </row>
    <row r="1684" spans="1:11" x14ac:dyDescent="0.3">
      <c r="A1684" s="28"/>
      <c r="B1684" s="29"/>
      <c r="C1684" s="30"/>
      <c r="D1684" s="31"/>
      <c r="E1684" s="33">
        <f>IF(OR($D1684="",$K1684=""),"",IF(COUNTIFS(Payments!$G$5:$G$2500,$K1684,Payments!$C$5:$C$2500,"&lt;&gt;")=0,"",_xlfn.MAXIFS(Payments!$C$5:$C$2500,Payments!$G$5:$G$2500,$K1684)))</f>
      </c>
      <c r="F1684" s="34">
        <f>IF(OR($D1684="",$K1684=""),"",SUMIF(Payments!$G$5:$G$2500,$K1684,Payments!$D$5:$D$2500))</f>
      </c>
      <c r="G1684" s="36">
        <f>IF($D1684="","",ROUND($D1684-IF($F1684="",0,$F1684),2))</f>
      </c>
      <c r="H1684" s="35">
        <f>IF(OR($D1684="",$K1684=""),"",COUNTIF(Payments!$G$5:$G$2500,$K1684))</f>
      </c>
      <c r="I1684" s="37">
        <f>IF($D1684="","",IF(OR($F1684="",$F1684=0),"Pending",IF(ROUND($F1684-$D1684,2)&gt;0,"Overpaid",IF(ROUND($F1684-$D1684,2)=0,"Paid","Partial"))))</f>
      </c>
      <c r="J1684" s="29"/>
      <c r="K1684">
        <f>IF($A1684="","","#"&amp;TRIM(SUBSTITUTE(SUBSTITUTE(SUBSTITUTE(SUBSTITUTE(SUBSTITUTE(SUBSTITUTE($A1684,"-",""),"(",""),")",""),".",""),"+","")," ","")))</f>
      </c>
    </row>
    <row r="1685" spans="1:11" x14ac:dyDescent="0.3">
      <c r="A1685" s="28"/>
      <c r="B1685" s="29"/>
      <c r="C1685" s="30"/>
      <c r="D1685" s="31"/>
      <c r="E1685" s="33">
        <f>IF(OR($D1685="",$K1685=""),"",IF(COUNTIFS(Payments!$G$5:$G$2500,$K1685,Payments!$C$5:$C$2500,"&lt;&gt;")=0,"",_xlfn.MAXIFS(Payments!$C$5:$C$2500,Payments!$G$5:$G$2500,$K1685)))</f>
      </c>
      <c r="F1685" s="34">
        <f>IF(OR($D1685="",$K1685=""),"",SUMIF(Payments!$G$5:$G$2500,$K1685,Payments!$D$5:$D$2500))</f>
      </c>
      <c r="G1685" s="36">
        <f>IF($D1685="","",ROUND($D1685-IF($F1685="",0,$F1685),2))</f>
      </c>
      <c r="H1685" s="35">
        <f>IF(OR($D1685="",$K1685=""),"",COUNTIF(Payments!$G$5:$G$2500,$K1685))</f>
      </c>
      <c r="I1685" s="37">
        <f>IF($D1685="","",IF(OR($F1685="",$F1685=0),"Pending",IF(ROUND($F1685-$D1685,2)&gt;0,"Overpaid",IF(ROUND($F1685-$D1685,2)=0,"Paid","Partial"))))</f>
      </c>
      <c r="J1685" s="29"/>
      <c r="K1685">
        <f>IF($A1685="","","#"&amp;TRIM(SUBSTITUTE(SUBSTITUTE(SUBSTITUTE(SUBSTITUTE(SUBSTITUTE(SUBSTITUTE($A1685,"-",""),"(",""),")",""),".",""),"+","")," ","")))</f>
      </c>
    </row>
    <row r="1686" spans="1:11" x14ac:dyDescent="0.3">
      <c r="A1686" s="28"/>
      <c r="B1686" s="29"/>
      <c r="C1686" s="30"/>
      <c r="D1686" s="31"/>
      <c r="E1686" s="33">
        <f>IF(OR($D1686="",$K1686=""),"",IF(COUNTIFS(Payments!$G$5:$G$2500,$K1686,Payments!$C$5:$C$2500,"&lt;&gt;")=0,"",_xlfn.MAXIFS(Payments!$C$5:$C$2500,Payments!$G$5:$G$2500,$K1686)))</f>
      </c>
      <c r="F1686" s="34">
        <f>IF(OR($D1686="",$K1686=""),"",SUMIF(Payments!$G$5:$G$2500,$K1686,Payments!$D$5:$D$2500))</f>
      </c>
      <c r="G1686" s="36">
        <f>IF($D1686="","",ROUND($D1686-IF($F1686="",0,$F1686),2))</f>
      </c>
      <c r="H1686" s="35">
        <f>IF(OR($D1686="",$K1686=""),"",COUNTIF(Payments!$G$5:$G$2500,$K1686))</f>
      </c>
      <c r="I1686" s="37">
        <f>IF($D1686="","",IF(OR($F1686="",$F1686=0),"Pending",IF(ROUND($F1686-$D1686,2)&gt;0,"Overpaid",IF(ROUND($F1686-$D1686,2)=0,"Paid","Partial"))))</f>
      </c>
      <c r="J1686" s="29"/>
      <c r="K1686">
        <f>IF($A1686="","","#"&amp;TRIM(SUBSTITUTE(SUBSTITUTE(SUBSTITUTE(SUBSTITUTE(SUBSTITUTE(SUBSTITUTE($A1686,"-",""),"(",""),")",""),".",""),"+","")," ","")))</f>
      </c>
    </row>
    <row r="1687" spans="1:11" x14ac:dyDescent="0.3">
      <c r="A1687" s="28"/>
      <c r="B1687" s="29"/>
      <c r="C1687" s="30"/>
      <c r="D1687" s="31"/>
      <c r="E1687" s="33">
        <f>IF(OR($D1687="",$K1687=""),"",IF(COUNTIFS(Payments!$G$5:$G$2500,$K1687,Payments!$C$5:$C$2500,"&lt;&gt;")=0,"",_xlfn.MAXIFS(Payments!$C$5:$C$2500,Payments!$G$5:$G$2500,$K1687)))</f>
      </c>
      <c r="F1687" s="34">
        <f>IF(OR($D1687="",$K1687=""),"",SUMIF(Payments!$G$5:$G$2500,$K1687,Payments!$D$5:$D$2500))</f>
      </c>
      <c r="G1687" s="36">
        <f>IF($D1687="","",ROUND($D1687-IF($F1687="",0,$F1687),2))</f>
      </c>
      <c r="H1687" s="35">
        <f>IF(OR($D1687="",$K1687=""),"",COUNTIF(Payments!$G$5:$G$2500,$K1687))</f>
      </c>
      <c r="I1687" s="37">
        <f>IF($D1687="","",IF(OR($F1687="",$F1687=0),"Pending",IF(ROUND($F1687-$D1687,2)&gt;0,"Overpaid",IF(ROUND($F1687-$D1687,2)=0,"Paid","Partial"))))</f>
      </c>
      <c r="J1687" s="29"/>
      <c r="K1687">
        <f>IF($A1687="","","#"&amp;TRIM(SUBSTITUTE(SUBSTITUTE(SUBSTITUTE(SUBSTITUTE(SUBSTITUTE(SUBSTITUTE($A1687,"-",""),"(",""),")",""),".",""),"+","")," ","")))</f>
      </c>
    </row>
    <row r="1688" spans="1:11" x14ac:dyDescent="0.3">
      <c r="A1688" s="28"/>
      <c r="B1688" s="29"/>
      <c r="C1688" s="30"/>
      <c r="D1688" s="31"/>
      <c r="E1688" s="33">
        <f>IF(OR($D1688="",$K1688=""),"",IF(COUNTIFS(Payments!$G$5:$G$2500,$K1688,Payments!$C$5:$C$2500,"&lt;&gt;")=0,"",_xlfn.MAXIFS(Payments!$C$5:$C$2500,Payments!$G$5:$G$2500,$K1688)))</f>
      </c>
      <c r="F1688" s="34">
        <f>IF(OR($D1688="",$K1688=""),"",SUMIF(Payments!$G$5:$G$2500,$K1688,Payments!$D$5:$D$2500))</f>
      </c>
      <c r="G1688" s="36">
        <f>IF($D1688="","",ROUND($D1688-IF($F1688="",0,$F1688),2))</f>
      </c>
      <c r="H1688" s="35">
        <f>IF(OR($D1688="",$K1688=""),"",COUNTIF(Payments!$G$5:$G$2500,$K1688))</f>
      </c>
      <c r="I1688" s="37">
        <f>IF($D1688="","",IF(OR($F1688="",$F1688=0),"Pending",IF(ROUND($F1688-$D1688,2)&gt;0,"Overpaid",IF(ROUND($F1688-$D1688,2)=0,"Paid","Partial"))))</f>
      </c>
      <c r="J1688" s="29"/>
      <c r="K1688">
        <f>IF($A1688="","","#"&amp;TRIM(SUBSTITUTE(SUBSTITUTE(SUBSTITUTE(SUBSTITUTE(SUBSTITUTE(SUBSTITUTE($A1688,"-",""),"(",""),")",""),".",""),"+","")," ","")))</f>
      </c>
    </row>
    <row r="1689" spans="1:11" x14ac:dyDescent="0.3">
      <c r="A1689" s="28"/>
      <c r="B1689" s="29"/>
      <c r="C1689" s="30"/>
      <c r="D1689" s="31"/>
      <c r="E1689" s="33">
        <f>IF(OR($D1689="",$K1689=""),"",IF(COUNTIFS(Payments!$G$5:$G$2500,$K1689,Payments!$C$5:$C$2500,"&lt;&gt;")=0,"",_xlfn.MAXIFS(Payments!$C$5:$C$2500,Payments!$G$5:$G$2500,$K1689)))</f>
      </c>
      <c r="F1689" s="34">
        <f>IF(OR($D1689="",$K1689=""),"",SUMIF(Payments!$G$5:$G$2500,$K1689,Payments!$D$5:$D$2500))</f>
      </c>
      <c r="G1689" s="36">
        <f>IF($D1689="","",ROUND($D1689-IF($F1689="",0,$F1689),2))</f>
      </c>
      <c r="H1689" s="35">
        <f>IF(OR($D1689="",$K1689=""),"",COUNTIF(Payments!$G$5:$G$2500,$K1689))</f>
      </c>
      <c r="I1689" s="37">
        <f>IF($D1689="","",IF(OR($F1689="",$F1689=0),"Pending",IF(ROUND($F1689-$D1689,2)&gt;0,"Overpaid",IF(ROUND($F1689-$D1689,2)=0,"Paid","Partial"))))</f>
      </c>
      <c r="J1689" s="29"/>
      <c r="K1689">
        <f>IF($A1689="","","#"&amp;TRIM(SUBSTITUTE(SUBSTITUTE(SUBSTITUTE(SUBSTITUTE(SUBSTITUTE(SUBSTITUTE($A1689,"-",""),"(",""),")",""),".",""),"+","")," ","")))</f>
      </c>
    </row>
    <row r="1690" spans="1:11" x14ac:dyDescent="0.3">
      <c r="A1690" s="28"/>
      <c r="B1690" s="29"/>
      <c r="C1690" s="30"/>
      <c r="D1690" s="31"/>
      <c r="E1690" s="33">
        <f>IF(OR($D1690="",$K1690=""),"",IF(COUNTIFS(Payments!$G$5:$G$2500,$K1690,Payments!$C$5:$C$2500,"&lt;&gt;")=0,"",_xlfn.MAXIFS(Payments!$C$5:$C$2500,Payments!$G$5:$G$2500,$K1690)))</f>
      </c>
      <c r="F1690" s="34">
        <f>IF(OR($D1690="",$K1690=""),"",SUMIF(Payments!$G$5:$G$2500,$K1690,Payments!$D$5:$D$2500))</f>
      </c>
      <c r="G1690" s="36">
        <f>IF($D1690="","",ROUND($D1690-IF($F1690="",0,$F1690),2))</f>
      </c>
      <c r="H1690" s="35">
        <f>IF(OR($D1690="",$K1690=""),"",COUNTIF(Payments!$G$5:$G$2500,$K1690))</f>
      </c>
      <c r="I1690" s="37">
        <f>IF($D1690="","",IF(OR($F1690="",$F1690=0),"Pending",IF(ROUND($F1690-$D1690,2)&gt;0,"Overpaid",IF(ROUND($F1690-$D1690,2)=0,"Paid","Partial"))))</f>
      </c>
      <c r="J1690" s="29"/>
      <c r="K1690">
        <f>IF($A1690="","","#"&amp;TRIM(SUBSTITUTE(SUBSTITUTE(SUBSTITUTE(SUBSTITUTE(SUBSTITUTE(SUBSTITUTE($A1690,"-",""),"(",""),")",""),".",""),"+","")," ","")))</f>
      </c>
    </row>
    <row r="1691" spans="1:11" x14ac:dyDescent="0.3">
      <c r="A1691" s="28"/>
      <c r="B1691" s="29"/>
      <c r="C1691" s="30"/>
      <c r="D1691" s="31"/>
      <c r="E1691" s="33">
        <f>IF(OR($D1691="",$K1691=""),"",IF(COUNTIFS(Payments!$G$5:$G$2500,$K1691,Payments!$C$5:$C$2500,"&lt;&gt;")=0,"",_xlfn.MAXIFS(Payments!$C$5:$C$2500,Payments!$G$5:$G$2500,$K1691)))</f>
      </c>
      <c r="F1691" s="34">
        <f>IF(OR($D1691="",$K1691=""),"",SUMIF(Payments!$G$5:$G$2500,$K1691,Payments!$D$5:$D$2500))</f>
      </c>
      <c r="G1691" s="36">
        <f>IF($D1691="","",ROUND($D1691-IF($F1691="",0,$F1691),2))</f>
      </c>
      <c r="H1691" s="35">
        <f>IF(OR($D1691="",$K1691=""),"",COUNTIF(Payments!$G$5:$G$2500,$K1691))</f>
      </c>
      <c r="I1691" s="37">
        <f>IF($D1691="","",IF(OR($F1691="",$F1691=0),"Pending",IF(ROUND($F1691-$D1691,2)&gt;0,"Overpaid",IF(ROUND($F1691-$D1691,2)=0,"Paid","Partial"))))</f>
      </c>
      <c r="J1691" s="29"/>
      <c r="K1691">
        <f>IF($A1691="","","#"&amp;TRIM(SUBSTITUTE(SUBSTITUTE(SUBSTITUTE(SUBSTITUTE(SUBSTITUTE(SUBSTITUTE($A1691,"-",""),"(",""),")",""),".",""),"+","")," ","")))</f>
      </c>
    </row>
    <row r="1692" spans="1:11" x14ac:dyDescent="0.3">
      <c r="A1692" s="28"/>
      <c r="B1692" s="29"/>
      <c r="C1692" s="30"/>
      <c r="D1692" s="31"/>
      <c r="E1692" s="33">
        <f>IF(OR($D1692="",$K1692=""),"",IF(COUNTIFS(Payments!$G$5:$G$2500,$K1692,Payments!$C$5:$C$2500,"&lt;&gt;")=0,"",_xlfn.MAXIFS(Payments!$C$5:$C$2500,Payments!$G$5:$G$2500,$K1692)))</f>
      </c>
      <c r="F1692" s="34">
        <f>IF(OR($D1692="",$K1692=""),"",SUMIF(Payments!$G$5:$G$2500,$K1692,Payments!$D$5:$D$2500))</f>
      </c>
      <c r="G1692" s="36">
        <f>IF($D1692="","",ROUND($D1692-IF($F1692="",0,$F1692),2))</f>
      </c>
      <c r="H1692" s="35">
        <f>IF(OR($D1692="",$K1692=""),"",COUNTIF(Payments!$G$5:$G$2500,$K1692))</f>
      </c>
      <c r="I1692" s="37">
        <f>IF($D1692="","",IF(OR($F1692="",$F1692=0),"Pending",IF(ROUND($F1692-$D1692,2)&gt;0,"Overpaid",IF(ROUND($F1692-$D1692,2)=0,"Paid","Partial"))))</f>
      </c>
      <c r="J1692" s="29"/>
      <c r="K1692">
        <f>IF($A1692="","","#"&amp;TRIM(SUBSTITUTE(SUBSTITUTE(SUBSTITUTE(SUBSTITUTE(SUBSTITUTE(SUBSTITUTE($A1692,"-",""),"(",""),")",""),".",""),"+","")," ","")))</f>
      </c>
    </row>
    <row r="1693" spans="1:11" x14ac:dyDescent="0.3">
      <c r="A1693" s="28"/>
      <c r="B1693" s="29"/>
      <c r="C1693" s="30"/>
      <c r="D1693" s="31"/>
      <c r="E1693" s="33">
        <f>IF(OR($D1693="",$K1693=""),"",IF(COUNTIFS(Payments!$G$5:$G$2500,$K1693,Payments!$C$5:$C$2500,"&lt;&gt;")=0,"",_xlfn.MAXIFS(Payments!$C$5:$C$2500,Payments!$G$5:$G$2500,$K1693)))</f>
      </c>
      <c r="F1693" s="34">
        <f>IF(OR($D1693="",$K1693=""),"",SUMIF(Payments!$G$5:$G$2500,$K1693,Payments!$D$5:$D$2500))</f>
      </c>
      <c r="G1693" s="36">
        <f>IF($D1693="","",ROUND($D1693-IF($F1693="",0,$F1693),2))</f>
      </c>
      <c r="H1693" s="35">
        <f>IF(OR($D1693="",$K1693=""),"",COUNTIF(Payments!$G$5:$G$2500,$K1693))</f>
      </c>
      <c r="I1693" s="37">
        <f>IF($D1693="","",IF(OR($F1693="",$F1693=0),"Pending",IF(ROUND($F1693-$D1693,2)&gt;0,"Overpaid",IF(ROUND($F1693-$D1693,2)=0,"Paid","Partial"))))</f>
      </c>
      <c r="J1693" s="29"/>
      <c r="K1693">
        <f>IF($A1693="","","#"&amp;TRIM(SUBSTITUTE(SUBSTITUTE(SUBSTITUTE(SUBSTITUTE(SUBSTITUTE(SUBSTITUTE($A1693,"-",""),"(",""),")",""),".",""),"+","")," ","")))</f>
      </c>
    </row>
    <row r="1694" spans="1:11" x14ac:dyDescent="0.3">
      <c r="A1694" s="28"/>
      <c r="B1694" s="29"/>
      <c r="C1694" s="30"/>
      <c r="D1694" s="31"/>
      <c r="E1694" s="33">
        <f>IF(OR($D1694="",$K1694=""),"",IF(COUNTIFS(Payments!$G$5:$G$2500,$K1694,Payments!$C$5:$C$2500,"&lt;&gt;")=0,"",_xlfn.MAXIFS(Payments!$C$5:$C$2500,Payments!$G$5:$G$2500,$K1694)))</f>
      </c>
      <c r="F1694" s="34">
        <f>IF(OR($D1694="",$K1694=""),"",SUMIF(Payments!$G$5:$G$2500,$K1694,Payments!$D$5:$D$2500))</f>
      </c>
      <c r="G1694" s="36">
        <f>IF($D1694="","",ROUND($D1694-IF($F1694="",0,$F1694),2))</f>
      </c>
      <c r="H1694" s="35">
        <f>IF(OR($D1694="",$K1694=""),"",COUNTIF(Payments!$G$5:$G$2500,$K1694))</f>
      </c>
      <c r="I1694" s="37">
        <f>IF($D1694="","",IF(OR($F1694="",$F1694=0),"Pending",IF(ROUND($F1694-$D1694,2)&gt;0,"Overpaid",IF(ROUND($F1694-$D1694,2)=0,"Paid","Partial"))))</f>
      </c>
      <c r="J1694" s="29"/>
      <c r="K1694">
        <f>IF($A1694="","","#"&amp;TRIM(SUBSTITUTE(SUBSTITUTE(SUBSTITUTE(SUBSTITUTE(SUBSTITUTE(SUBSTITUTE($A1694,"-",""),"(",""),")",""),".",""),"+","")," ","")))</f>
      </c>
    </row>
    <row r="1695" spans="1:11" x14ac:dyDescent="0.3">
      <c r="A1695" s="28"/>
      <c r="B1695" s="29"/>
      <c r="C1695" s="30"/>
      <c r="D1695" s="31"/>
      <c r="E1695" s="33">
        <f>IF(OR($D1695="",$K1695=""),"",IF(COUNTIFS(Payments!$G$5:$G$2500,$K1695,Payments!$C$5:$C$2500,"&lt;&gt;")=0,"",_xlfn.MAXIFS(Payments!$C$5:$C$2500,Payments!$G$5:$G$2500,$K1695)))</f>
      </c>
      <c r="F1695" s="34">
        <f>IF(OR($D1695="",$K1695=""),"",SUMIF(Payments!$G$5:$G$2500,$K1695,Payments!$D$5:$D$2500))</f>
      </c>
      <c r="G1695" s="36">
        <f>IF($D1695="","",ROUND($D1695-IF($F1695="",0,$F1695),2))</f>
      </c>
      <c r="H1695" s="35">
        <f>IF(OR($D1695="",$K1695=""),"",COUNTIF(Payments!$G$5:$G$2500,$K1695))</f>
      </c>
      <c r="I1695" s="37">
        <f>IF($D1695="","",IF(OR($F1695="",$F1695=0),"Pending",IF(ROUND($F1695-$D1695,2)&gt;0,"Overpaid",IF(ROUND($F1695-$D1695,2)=0,"Paid","Partial"))))</f>
      </c>
      <c r="J1695" s="29"/>
      <c r="K1695">
        <f>IF($A1695="","","#"&amp;TRIM(SUBSTITUTE(SUBSTITUTE(SUBSTITUTE(SUBSTITUTE(SUBSTITUTE(SUBSTITUTE($A1695,"-",""),"(",""),")",""),".",""),"+","")," ","")))</f>
      </c>
    </row>
    <row r="1696" spans="1:11" x14ac:dyDescent="0.3">
      <c r="A1696" s="28"/>
      <c r="B1696" s="29"/>
      <c r="C1696" s="30"/>
      <c r="D1696" s="31"/>
      <c r="E1696" s="33">
        <f>IF(OR($D1696="",$K1696=""),"",IF(COUNTIFS(Payments!$G$5:$G$2500,$K1696,Payments!$C$5:$C$2500,"&lt;&gt;")=0,"",_xlfn.MAXIFS(Payments!$C$5:$C$2500,Payments!$G$5:$G$2500,$K1696)))</f>
      </c>
      <c r="F1696" s="34">
        <f>IF(OR($D1696="",$K1696=""),"",SUMIF(Payments!$G$5:$G$2500,$K1696,Payments!$D$5:$D$2500))</f>
      </c>
      <c r="G1696" s="36">
        <f>IF($D1696="","",ROUND($D1696-IF($F1696="",0,$F1696),2))</f>
      </c>
      <c r="H1696" s="35">
        <f>IF(OR($D1696="",$K1696=""),"",COUNTIF(Payments!$G$5:$G$2500,$K1696))</f>
      </c>
      <c r="I1696" s="37">
        <f>IF($D1696="","",IF(OR($F1696="",$F1696=0),"Pending",IF(ROUND($F1696-$D1696,2)&gt;0,"Overpaid",IF(ROUND($F1696-$D1696,2)=0,"Paid","Partial"))))</f>
      </c>
      <c r="J1696" s="29"/>
      <c r="K1696">
        <f>IF($A1696="","","#"&amp;TRIM(SUBSTITUTE(SUBSTITUTE(SUBSTITUTE(SUBSTITUTE(SUBSTITUTE(SUBSTITUTE($A1696,"-",""),"(",""),")",""),".",""),"+","")," ","")))</f>
      </c>
    </row>
    <row r="1697" spans="1:11" x14ac:dyDescent="0.3">
      <c r="A1697" s="28"/>
      <c r="B1697" s="29"/>
      <c r="C1697" s="30"/>
      <c r="D1697" s="31"/>
      <c r="E1697" s="33">
        <f>IF(OR($D1697="",$K1697=""),"",IF(COUNTIFS(Payments!$G$5:$G$2500,$K1697,Payments!$C$5:$C$2500,"&lt;&gt;")=0,"",_xlfn.MAXIFS(Payments!$C$5:$C$2500,Payments!$G$5:$G$2500,$K1697)))</f>
      </c>
      <c r="F1697" s="34">
        <f>IF(OR($D1697="",$K1697=""),"",SUMIF(Payments!$G$5:$G$2500,$K1697,Payments!$D$5:$D$2500))</f>
      </c>
      <c r="G1697" s="36">
        <f>IF($D1697="","",ROUND($D1697-IF($F1697="",0,$F1697),2))</f>
      </c>
      <c r="H1697" s="35">
        <f>IF(OR($D1697="",$K1697=""),"",COUNTIF(Payments!$G$5:$G$2500,$K1697))</f>
      </c>
      <c r="I1697" s="37">
        <f>IF($D1697="","",IF(OR($F1697="",$F1697=0),"Pending",IF(ROUND($F1697-$D1697,2)&gt;0,"Overpaid",IF(ROUND($F1697-$D1697,2)=0,"Paid","Partial"))))</f>
      </c>
      <c r="J1697" s="29"/>
      <c r="K1697">
        <f>IF($A1697="","","#"&amp;TRIM(SUBSTITUTE(SUBSTITUTE(SUBSTITUTE(SUBSTITUTE(SUBSTITUTE(SUBSTITUTE($A1697,"-",""),"(",""),")",""),".",""),"+","")," ","")))</f>
      </c>
    </row>
    <row r="1698" spans="1:11" x14ac:dyDescent="0.3">
      <c r="A1698" s="28"/>
      <c r="B1698" s="29"/>
      <c r="C1698" s="30"/>
      <c r="D1698" s="31"/>
      <c r="E1698" s="33">
        <f>IF(OR($D1698="",$K1698=""),"",IF(COUNTIFS(Payments!$G$5:$G$2500,$K1698,Payments!$C$5:$C$2500,"&lt;&gt;")=0,"",_xlfn.MAXIFS(Payments!$C$5:$C$2500,Payments!$G$5:$G$2500,$K1698)))</f>
      </c>
      <c r="F1698" s="34">
        <f>IF(OR($D1698="",$K1698=""),"",SUMIF(Payments!$G$5:$G$2500,$K1698,Payments!$D$5:$D$2500))</f>
      </c>
      <c r="G1698" s="36">
        <f>IF($D1698="","",ROUND($D1698-IF($F1698="",0,$F1698),2))</f>
      </c>
      <c r="H1698" s="35">
        <f>IF(OR($D1698="",$K1698=""),"",COUNTIF(Payments!$G$5:$G$2500,$K1698))</f>
      </c>
      <c r="I1698" s="37">
        <f>IF($D1698="","",IF(OR($F1698="",$F1698=0),"Pending",IF(ROUND($F1698-$D1698,2)&gt;0,"Overpaid",IF(ROUND($F1698-$D1698,2)=0,"Paid","Partial"))))</f>
      </c>
      <c r="J1698" s="29"/>
      <c r="K1698">
        <f>IF($A1698="","","#"&amp;TRIM(SUBSTITUTE(SUBSTITUTE(SUBSTITUTE(SUBSTITUTE(SUBSTITUTE(SUBSTITUTE($A1698,"-",""),"(",""),")",""),".",""),"+","")," ","")))</f>
      </c>
    </row>
    <row r="1699" spans="1:11" x14ac:dyDescent="0.3">
      <c r="A1699" s="28"/>
      <c r="B1699" s="29"/>
      <c r="C1699" s="30"/>
      <c r="D1699" s="31"/>
      <c r="E1699" s="33">
        <f>IF(OR($D1699="",$K1699=""),"",IF(COUNTIFS(Payments!$G$5:$G$2500,$K1699,Payments!$C$5:$C$2500,"&lt;&gt;")=0,"",_xlfn.MAXIFS(Payments!$C$5:$C$2500,Payments!$G$5:$G$2500,$K1699)))</f>
      </c>
      <c r="F1699" s="34">
        <f>IF(OR($D1699="",$K1699=""),"",SUMIF(Payments!$G$5:$G$2500,$K1699,Payments!$D$5:$D$2500))</f>
      </c>
      <c r="G1699" s="36">
        <f>IF($D1699="","",ROUND($D1699-IF($F1699="",0,$F1699),2))</f>
      </c>
      <c r="H1699" s="35">
        <f>IF(OR($D1699="",$K1699=""),"",COUNTIF(Payments!$G$5:$G$2500,$K1699))</f>
      </c>
      <c r="I1699" s="37">
        <f>IF($D1699="","",IF(OR($F1699="",$F1699=0),"Pending",IF(ROUND($F1699-$D1699,2)&gt;0,"Overpaid",IF(ROUND($F1699-$D1699,2)=0,"Paid","Partial"))))</f>
      </c>
      <c r="J1699" s="29"/>
      <c r="K1699">
        <f>IF($A1699="","","#"&amp;TRIM(SUBSTITUTE(SUBSTITUTE(SUBSTITUTE(SUBSTITUTE(SUBSTITUTE(SUBSTITUTE($A1699,"-",""),"(",""),")",""),".",""),"+","")," ","")))</f>
      </c>
    </row>
    <row r="1700" spans="1:11" x14ac:dyDescent="0.3">
      <c r="A1700" s="28"/>
      <c r="B1700" s="29"/>
      <c r="C1700" s="30"/>
      <c r="D1700" s="31"/>
      <c r="E1700" s="33">
        <f>IF(OR($D1700="",$K1700=""),"",IF(COUNTIFS(Payments!$G$5:$G$2500,$K1700,Payments!$C$5:$C$2500,"&lt;&gt;")=0,"",_xlfn.MAXIFS(Payments!$C$5:$C$2500,Payments!$G$5:$G$2500,$K1700)))</f>
      </c>
      <c r="F1700" s="34">
        <f>IF(OR($D1700="",$K1700=""),"",SUMIF(Payments!$G$5:$G$2500,$K1700,Payments!$D$5:$D$2500))</f>
      </c>
      <c r="G1700" s="36">
        <f>IF($D1700="","",ROUND($D1700-IF($F1700="",0,$F1700),2))</f>
      </c>
      <c r="H1700" s="35">
        <f>IF(OR($D1700="",$K1700=""),"",COUNTIF(Payments!$G$5:$G$2500,$K1700))</f>
      </c>
      <c r="I1700" s="37">
        <f>IF($D1700="","",IF(OR($F1700="",$F1700=0),"Pending",IF(ROUND($F1700-$D1700,2)&gt;0,"Overpaid",IF(ROUND($F1700-$D1700,2)=0,"Paid","Partial"))))</f>
      </c>
      <c r="J1700" s="29"/>
      <c r="K1700">
        <f>IF($A1700="","","#"&amp;TRIM(SUBSTITUTE(SUBSTITUTE(SUBSTITUTE(SUBSTITUTE(SUBSTITUTE(SUBSTITUTE($A1700,"-",""),"(",""),")",""),".",""),"+","")," ","")))</f>
      </c>
    </row>
    <row r="1701" spans="1:11" x14ac:dyDescent="0.3">
      <c r="A1701" s="28"/>
      <c r="B1701" s="29"/>
      <c r="C1701" s="30"/>
      <c r="D1701" s="31"/>
      <c r="E1701" s="33">
        <f>IF(OR($D1701="",$K1701=""),"",IF(COUNTIFS(Payments!$G$5:$G$2500,$K1701,Payments!$C$5:$C$2500,"&lt;&gt;")=0,"",_xlfn.MAXIFS(Payments!$C$5:$C$2500,Payments!$G$5:$G$2500,$K1701)))</f>
      </c>
      <c r="F1701" s="34">
        <f>IF(OR($D1701="",$K1701=""),"",SUMIF(Payments!$G$5:$G$2500,$K1701,Payments!$D$5:$D$2500))</f>
      </c>
      <c r="G1701" s="36">
        <f>IF($D1701="","",ROUND($D1701-IF($F1701="",0,$F1701),2))</f>
      </c>
      <c r="H1701" s="35">
        <f>IF(OR($D1701="",$K1701=""),"",COUNTIF(Payments!$G$5:$G$2500,$K1701))</f>
      </c>
      <c r="I1701" s="37">
        <f>IF($D1701="","",IF(OR($F1701="",$F1701=0),"Pending",IF(ROUND($F1701-$D1701,2)&gt;0,"Overpaid",IF(ROUND($F1701-$D1701,2)=0,"Paid","Partial"))))</f>
      </c>
      <c r="J1701" s="29"/>
      <c r="K1701">
        <f>IF($A1701="","","#"&amp;TRIM(SUBSTITUTE(SUBSTITUTE(SUBSTITUTE(SUBSTITUTE(SUBSTITUTE(SUBSTITUTE($A1701,"-",""),"(",""),")",""),".",""),"+","")," ","")))</f>
      </c>
    </row>
    <row r="1702" spans="1:11" x14ac:dyDescent="0.3">
      <c r="A1702" s="28"/>
      <c r="B1702" s="29"/>
      <c r="C1702" s="30"/>
      <c r="D1702" s="31"/>
      <c r="E1702" s="33">
        <f>IF(OR($D1702="",$K1702=""),"",IF(COUNTIFS(Payments!$G$5:$G$2500,$K1702,Payments!$C$5:$C$2500,"&lt;&gt;")=0,"",_xlfn.MAXIFS(Payments!$C$5:$C$2500,Payments!$G$5:$G$2500,$K1702)))</f>
      </c>
      <c r="F1702" s="34">
        <f>IF(OR($D1702="",$K1702=""),"",SUMIF(Payments!$G$5:$G$2500,$K1702,Payments!$D$5:$D$2500))</f>
      </c>
      <c r="G1702" s="36">
        <f>IF($D1702="","",ROUND($D1702-IF($F1702="",0,$F1702),2))</f>
      </c>
      <c r="H1702" s="35">
        <f>IF(OR($D1702="",$K1702=""),"",COUNTIF(Payments!$G$5:$G$2500,$K1702))</f>
      </c>
      <c r="I1702" s="37">
        <f>IF($D1702="","",IF(OR($F1702="",$F1702=0),"Pending",IF(ROUND($F1702-$D1702,2)&gt;0,"Overpaid",IF(ROUND($F1702-$D1702,2)=0,"Paid","Partial"))))</f>
      </c>
      <c r="J1702" s="29"/>
      <c r="K1702">
        <f>IF($A1702="","","#"&amp;TRIM(SUBSTITUTE(SUBSTITUTE(SUBSTITUTE(SUBSTITUTE(SUBSTITUTE(SUBSTITUTE($A1702,"-",""),"(",""),")",""),".",""),"+","")," ","")))</f>
      </c>
    </row>
    <row r="1703" spans="1:11" x14ac:dyDescent="0.3">
      <c r="A1703" s="28"/>
      <c r="B1703" s="29"/>
      <c r="C1703" s="30"/>
      <c r="D1703" s="31"/>
      <c r="E1703" s="33">
        <f>IF(OR($D1703="",$K1703=""),"",IF(COUNTIFS(Payments!$G$5:$G$2500,$K1703,Payments!$C$5:$C$2500,"&lt;&gt;")=0,"",_xlfn.MAXIFS(Payments!$C$5:$C$2500,Payments!$G$5:$G$2500,$K1703)))</f>
      </c>
      <c r="F1703" s="34">
        <f>IF(OR($D1703="",$K1703=""),"",SUMIF(Payments!$G$5:$G$2500,$K1703,Payments!$D$5:$D$2500))</f>
      </c>
      <c r="G1703" s="36">
        <f>IF($D1703="","",ROUND($D1703-IF($F1703="",0,$F1703),2))</f>
      </c>
      <c r="H1703" s="35">
        <f>IF(OR($D1703="",$K1703=""),"",COUNTIF(Payments!$G$5:$G$2500,$K1703))</f>
      </c>
      <c r="I1703" s="37">
        <f>IF($D1703="","",IF(OR($F1703="",$F1703=0),"Pending",IF(ROUND($F1703-$D1703,2)&gt;0,"Overpaid",IF(ROUND($F1703-$D1703,2)=0,"Paid","Partial"))))</f>
      </c>
      <c r="J1703" s="29"/>
      <c r="K1703">
        <f>IF($A1703="","","#"&amp;TRIM(SUBSTITUTE(SUBSTITUTE(SUBSTITUTE(SUBSTITUTE(SUBSTITUTE(SUBSTITUTE($A1703,"-",""),"(",""),")",""),".",""),"+","")," ","")))</f>
      </c>
    </row>
    <row r="1704" spans="1:11" x14ac:dyDescent="0.3">
      <c r="A1704" s="28"/>
      <c r="B1704" s="29"/>
      <c r="C1704" s="30"/>
      <c r="D1704" s="31"/>
      <c r="E1704" s="33">
        <f>IF(OR($D1704="",$K1704=""),"",IF(COUNTIFS(Payments!$G$5:$G$2500,$K1704,Payments!$C$5:$C$2500,"&lt;&gt;")=0,"",_xlfn.MAXIFS(Payments!$C$5:$C$2500,Payments!$G$5:$G$2500,$K1704)))</f>
      </c>
      <c r="F1704" s="34">
        <f>IF(OR($D1704="",$K1704=""),"",SUMIF(Payments!$G$5:$G$2500,$K1704,Payments!$D$5:$D$2500))</f>
      </c>
      <c r="G1704" s="36">
        <f>IF($D1704="","",ROUND($D1704-IF($F1704="",0,$F1704),2))</f>
      </c>
      <c r="H1704" s="35">
        <f>IF(OR($D1704="",$K1704=""),"",COUNTIF(Payments!$G$5:$G$2500,$K1704))</f>
      </c>
      <c r="I1704" s="37">
        <f>IF($D1704="","",IF(OR($F1704="",$F1704=0),"Pending",IF(ROUND($F1704-$D1704,2)&gt;0,"Overpaid",IF(ROUND($F1704-$D1704,2)=0,"Paid","Partial"))))</f>
      </c>
      <c r="J1704" s="29"/>
      <c r="K1704">
        <f>IF($A1704="","","#"&amp;TRIM(SUBSTITUTE(SUBSTITUTE(SUBSTITUTE(SUBSTITUTE(SUBSTITUTE(SUBSTITUTE($A1704,"-",""),"(",""),")",""),".",""),"+","")," ","")))</f>
      </c>
    </row>
    <row r="1705" spans="1:11" x14ac:dyDescent="0.3">
      <c r="A1705" s="28"/>
      <c r="B1705" s="29"/>
      <c r="C1705" s="30"/>
      <c r="D1705" s="31"/>
      <c r="E1705" s="33">
        <f>IF(OR($D1705="",$K1705=""),"",IF(COUNTIFS(Payments!$G$5:$G$2500,$K1705,Payments!$C$5:$C$2500,"&lt;&gt;")=0,"",_xlfn.MAXIFS(Payments!$C$5:$C$2500,Payments!$G$5:$G$2500,$K1705)))</f>
      </c>
      <c r="F1705" s="34">
        <f>IF(OR($D1705="",$K1705=""),"",SUMIF(Payments!$G$5:$G$2500,$K1705,Payments!$D$5:$D$2500))</f>
      </c>
      <c r="G1705" s="36">
        <f>IF($D1705="","",ROUND($D1705-IF($F1705="",0,$F1705),2))</f>
      </c>
      <c r="H1705" s="35">
        <f>IF(OR($D1705="",$K1705=""),"",COUNTIF(Payments!$G$5:$G$2500,$K1705))</f>
      </c>
      <c r="I1705" s="37">
        <f>IF($D1705="","",IF(OR($F1705="",$F1705=0),"Pending",IF(ROUND($F1705-$D1705,2)&gt;0,"Overpaid",IF(ROUND($F1705-$D1705,2)=0,"Paid","Partial"))))</f>
      </c>
      <c r="J1705" s="29"/>
      <c r="K1705">
        <f>IF($A1705="","","#"&amp;TRIM(SUBSTITUTE(SUBSTITUTE(SUBSTITUTE(SUBSTITUTE(SUBSTITUTE(SUBSTITUTE($A1705,"-",""),"(",""),")",""),".",""),"+","")," ","")))</f>
      </c>
    </row>
    <row r="1706" spans="1:11" x14ac:dyDescent="0.3">
      <c r="A1706" s="28"/>
      <c r="B1706" s="29"/>
      <c r="C1706" s="30"/>
      <c r="D1706" s="31"/>
      <c r="E1706" s="33">
        <f>IF(OR($D1706="",$K1706=""),"",IF(COUNTIFS(Payments!$G$5:$G$2500,$K1706,Payments!$C$5:$C$2500,"&lt;&gt;")=0,"",_xlfn.MAXIFS(Payments!$C$5:$C$2500,Payments!$G$5:$G$2500,$K1706)))</f>
      </c>
      <c r="F1706" s="34">
        <f>IF(OR($D1706="",$K1706=""),"",SUMIF(Payments!$G$5:$G$2500,$K1706,Payments!$D$5:$D$2500))</f>
      </c>
      <c r="G1706" s="36">
        <f>IF($D1706="","",ROUND($D1706-IF($F1706="",0,$F1706),2))</f>
      </c>
      <c r="H1706" s="35">
        <f>IF(OR($D1706="",$K1706=""),"",COUNTIF(Payments!$G$5:$G$2500,$K1706))</f>
      </c>
      <c r="I1706" s="37">
        <f>IF($D1706="","",IF(OR($F1706="",$F1706=0),"Pending",IF(ROUND($F1706-$D1706,2)&gt;0,"Overpaid",IF(ROUND($F1706-$D1706,2)=0,"Paid","Partial"))))</f>
      </c>
      <c r="J1706" s="29"/>
      <c r="K1706">
        <f>IF($A1706="","","#"&amp;TRIM(SUBSTITUTE(SUBSTITUTE(SUBSTITUTE(SUBSTITUTE(SUBSTITUTE(SUBSTITUTE($A1706,"-",""),"(",""),")",""),".",""),"+","")," ","")))</f>
      </c>
    </row>
    <row r="1707" spans="1:11" x14ac:dyDescent="0.3">
      <c r="A1707" s="28"/>
      <c r="B1707" s="29"/>
      <c r="C1707" s="30"/>
      <c r="D1707" s="31"/>
      <c r="E1707" s="33">
        <f>IF(OR($D1707="",$K1707=""),"",IF(COUNTIFS(Payments!$G$5:$G$2500,$K1707,Payments!$C$5:$C$2500,"&lt;&gt;")=0,"",_xlfn.MAXIFS(Payments!$C$5:$C$2500,Payments!$G$5:$G$2500,$K1707)))</f>
      </c>
      <c r="F1707" s="34">
        <f>IF(OR($D1707="",$K1707=""),"",SUMIF(Payments!$G$5:$G$2500,$K1707,Payments!$D$5:$D$2500))</f>
      </c>
      <c r="G1707" s="36">
        <f>IF($D1707="","",ROUND($D1707-IF($F1707="",0,$F1707),2))</f>
      </c>
      <c r="H1707" s="35">
        <f>IF(OR($D1707="",$K1707=""),"",COUNTIF(Payments!$G$5:$G$2500,$K1707))</f>
      </c>
      <c r="I1707" s="37">
        <f>IF($D1707="","",IF(OR($F1707="",$F1707=0),"Pending",IF(ROUND($F1707-$D1707,2)&gt;0,"Overpaid",IF(ROUND($F1707-$D1707,2)=0,"Paid","Partial"))))</f>
      </c>
      <c r="J1707" s="29"/>
      <c r="K1707">
        <f>IF($A1707="","","#"&amp;TRIM(SUBSTITUTE(SUBSTITUTE(SUBSTITUTE(SUBSTITUTE(SUBSTITUTE(SUBSTITUTE($A1707,"-",""),"(",""),")",""),".",""),"+","")," ","")))</f>
      </c>
    </row>
    <row r="1708" spans="1:11" x14ac:dyDescent="0.3">
      <c r="A1708" s="28"/>
      <c r="B1708" s="29"/>
      <c r="C1708" s="30"/>
      <c r="D1708" s="31"/>
      <c r="E1708" s="33">
        <f>IF(OR($D1708="",$K1708=""),"",IF(COUNTIFS(Payments!$G$5:$G$2500,$K1708,Payments!$C$5:$C$2500,"&lt;&gt;")=0,"",_xlfn.MAXIFS(Payments!$C$5:$C$2500,Payments!$G$5:$G$2500,$K1708)))</f>
      </c>
      <c r="F1708" s="34">
        <f>IF(OR($D1708="",$K1708=""),"",SUMIF(Payments!$G$5:$G$2500,$K1708,Payments!$D$5:$D$2500))</f>
      </c>
      <c r="G1708" s="36">
        <f>IF($D1708="","",ROUND($D1708-IF($F1708="",0,$F1708),2))</f>
      </c>
      <c r="H1708" s="35">
        <f>IF(OR($D1708="",$K1708=""),"",COUNTIF(Payments!$G$5:$G$2500,$K1708))</f>
      </c>
      <c r="I1708" s="37">
        <f>IF($D1708="","",IF(OR($F1708="",$F1708=0),"Pending",IF(ROUND($F1708-$D1708,2)&gt;0,"Overpaid",IF(ROUND($F1708-$D1708,2)=0,"Paid","Partial"))))</f>
      </c>
      <c r="J1708" s="29"/>
      <c r="K1708">
        <f>IF($A1708="","","#"&amp;TRIM(SUBSTITUTE(SUBSTITUTE(SUBSTITUTE(SUBSTITUTE(SUBSTITUTE(SUBSTITUTE($A1708,"-",""),"(",""),")",""),".",""),"+","")," ","")))</f>
      </c>
    </row>
    <row r="1709" spans="1:11" x14ac:dyDescent="0.3">
      <c r="A1709" s="28"/>
      <c r="B1709" s="29"/>
      <c r="C1709" s="30"/>
      <c r="D1709" s="31"/>
      <c r="E1709" s="33">
        <f>IF(OR($D1709="",$K1709=""),"",IF(COUNTIFS(Payments!$G$5:$G$2500,$K1709,Payments!$C$5:$C$2500,"&lt;&gt;")=0,"",_xlfn.MAXIFS(Payments!$C$5:$C$2500,Payments!$G$5:$G$2500,$K1709)))</f>
      </c>
      <c r="F1709" s="34">
        <f>IF(OR($D1709="",$K1709=""),"",SUMIF(Payments!$G$5:$G$2500,$K1709,Payments!$D$5:$D$2500))</f>
      </c>
      <c r="G1709" s="36">
        <f>IF($D1709="","",ROUND($D1709-IF($F1709="",0,$F1709),2))</f>
      </c>
      <c r="H1709" s="35">
        <f>IF(OR($D1709="",$K1709=""),"",COUNTIF(Payments!$G$5:$G$2500,$K1709))</f>
      </c>
      <c r="I1709" s="37">
        <f>IF($D1709="","",IF(OR($F1709="",$F1709=0),"Pending",IF(ROUND($F1709-$D1709,2)&gt;0,"Overpaid",IF(ROUND($F1709-$D1709,2)=0,"Paid","Partial"))))</f>
      </c>
      <c r="J1709" s="29"/>
      <c r="K1709">
        <f>IF($A1709="","","#"&amp;TRIM(SUBSTITUTE(SUBSTITUTE(SUBSTITUTE(SUBSTITUTE(SUBSTITUTE(SUBSTITUTE($A1709,"-",""),"(",""),")",""),".",""),"+","")," ","")))</f>
      </c>
    </row>
    <row r="1710" spans="1:11" x14ac:dyDescent="0.3">
      <c r="A1710" s="28"/>
      <c r="B1710" s="29"/>
      <c r="C1710" s="30"/>
      <c r="D1710" s="31"/>
      <c r="E1710" s="33">
        <f>IF(OR($D1710="",$K1710=""),"",IF(COUNTIFS(Payments!$G$5:$G$2500,$K1710,Payments!$C$5:$C$2500,"&lt;&gt;")=0,"",_xlfn.MAXIFS(Payments!$C$5:$C$2500,Payments!$G$5:$G$2500,$K1710)))</f>
      </c>
      <c r="F1710" s="34">
        <f>IF(OR($D1710="",$K1710=""),"",SUMIF(Payments!$G$5:$G$2500,$K1710,Payments!$D$5:$D$2500))</f>
      </c>
      <c r="G1710" s="36">
        <f>IF($D1710="","",ROUND($D1710-IF($F1710="",0,$F1710),2))</f>
      </c>
      <c r="H1710" s="35">
        <f>IF(OR($D1710="",$K1710=""),"",COUNTIF(Payments!$G$5:$G$2500,$K1710))</f>
      </c>
      <c r="I1710" s="37">
        <f>IF($D1710="","",IF(OR($F1710="",$F1710=0),"Pending",IF(ROUND($F1710-$D1710,2)&gt;0,"Overpaid",IF(ROUND($F1710-$D1710,2)=0,"Paid","Partial"))))</f>
      </c>
      <c r="J1710" s="29"/>
      <c r="K1710">
        <f>IF($A1710="","","#"&amp;TRIM(SUBSTITUTE(SUBSTITUTE(SUBSTITUTE(SUBSTITUTE(SUBSTITUTE(SUBSTITUTE($A1710,"-",""),"(",""),")",""),".",""),"+","")," ","")))</f>
      </c>
    </row>
    <row r="1711" spans="1:11" x14ac:dyDescent="0.3">
      <c r="A1711" s="28"/>
      <c r="B1711" s="29"/>
      <c r="C1711" s="30"/>
      <c r="D1711" s="31"/>
      <c r="E1711" s="33">
        <f>IF(OR($D1711="",$K1711=""),"",IF(COUNTIFS(Payments!$G$5:$G$2500,$K1711,Payments!$C$5:$C$2500,"&lt;&gt;")=0,"",_xlfn.MAXIFS(Payments!$C$5:$C$2500,Payments!$G$5:$G$2500,$K1711)))</f>
      </c>
      <c r="F1711" s="34">
        <f>IF(OR($D1711="",$K1711=""),"",SUMIF(Payments!$G$5:$G$2500,$K1711,Payments!$D$5:$D$2500))</f>
      </c>
      <c r="G1711" s="36">
        <f>IF($D1711="","",ROUND($D1711-IF($F1711="",0,$F1711),2))</f>
      </c>
      <c r="H1711" s="35">
        <f>IF(OR($D1711="",$K1711=""),"",COUNTIF(Payments!$G$5:$G$2500,$K1711))</f>
      </c>
      <c r="I1711" s="37">
        <f>IF($D1711="","",IF(OR($F1711="",$F1711=0),"Pending",IF(ROUND($F1711-$D1711,2)&gt;0,"Overpaid",IF(ROUND($F1711-$D1711,2)=0,"Paid","Partial"))))</f>
      </c>
      <c r="J1711" s="29"/>
      <c r="K1711">
        <f>IF($A1711="","","#"&amp;TRIM(SUBSTITUTE(SUBSTITUTE(SUBSTITUTE(SUBSTITUTE(SUBSTITUTE(SUBSTITUTE($A1711,"-",""),"(",""),")",""),".",""),"+","")," ","")))</f>
      </c>
    </row>
    <row r="1712" spans="1:11" x14ac:dyDescent="0.3">
      <c r="A1712" s="28"/>
      <c r="B1712" s="29"/>
      <c r="C1712" s="30"/>
      <c r="D1712" s="31"/>
      <c r="E1712" s="33">
        <f>IF(OR($D1712="",$K1712=""),"",IF(COUNTIFS(Payments!$G$5:$G$2500,$K1712,Payments!$C$5:$C$2500,"&lt;&gt;")=0,"",_xlfn.MAXIFS(Payments!$C$5:$C$2500,Payments!$G$5:$G$2500,$K1712)))</f>
      </c>
      <c r="F1712" s="34">
        <f>IF(OR($D1712="",$K1712=""),"",SUMIF(Payments!$G$5:$G$2500,$K1712,Payments!$D$5:$D$2500))</f>
      </c>
      <c r="G1712" s="36">
        <f>IF($D1712="","",ROUND($D1712-IF($F1712="",0,$F1712),2))</f>
      </c>
      <c r="H1712" s="35">
        <f>IF(OR($D1712="",$K1712=""),"",COUNTIF(Payments!$G$5:$G$2500,$K1712))</f>
      </c>
      <c r="I1712" s="37">
        <f>IF($D1712="","",IF(OR($F1712="",$F1712=0),"Pending",IF(ROUND($F1712-$D1712,2)&gt;0,"Overpaid",IF(ROUND($F1712-$D1712,2)=0,"Paid","Partial"))))</f>
      </c>
      <c r="J1712" s="29"/>
      <c r="K1712">
        <f>IF($A1712="","","#"&amp;TRIM(SUBSTITUTE(SUBSTITUTE(SUBSTITUTE(SUBSTITUTE(SUBSTITUTE(SUBSTITUTE($A1712,"-",""),"(",""),")",""),".",""),"+","")," ","")))</f>
      </c>
    </row>
    <row r="1713" spans="1:11" x14ac:dyDescent="0.3">
      <c r="A1713" s="28"/>
      <c r="B1713" s="29"/>
      <c r="C1713" s="30"/>
      <c r="D1713" s="31"/>
      <c r="E1713" s="33">
        <f>IF(OR($D1713="",$K1713=""),"",IF(COUNTIFS(Payments!$G$5:$G$2500,$K1713,Payments!$C$5:$C$2500,"&lt;&gt;")=0,"",_xlfn.MAXIFS(Payments!$C$5:$C$2500,Payments!$G$5:$G$2500,$K1713)))</f>
      </c>
      <c r="F1713" s="34">
        <f>IF(OR($D1713="",$K1713=""),"",SUMIF(Payments!$G$5:$G$2500,$K1713,Payments!$D$5:$D$2500))</f>
      </c>
      <c r="G1713" s="36">
        <f>IF($D1713="","",ROUND($D1713-IF($F1713="",0,$F1713),2))</f>
      </c>
      <c r="H1713" s="35">
        <f>IF(OR($D1713="",$K1713=""),"",COUNTIF(Payments!$G$5:$G$2500,$K1713))</f>
      </c>
      <c r="I1713" s="37">
        <f>IF($D1713="","",IF(OR($F1713="",$F1713=0),"Pending",IF(ROUND($F1713-$D1713,2)&gt;0,"Overpaid",IF(ROUND($F1713-$D1713,2)=0,"Paid","Partial"))))</f>
      </c>
      <c r="J1713" s="29"/>
      <c r="K1713">
        <f>IF($A1713="","","#"&amp;TRIM(SUBSTITUTE(SUBSTITUTE(SUBSTITUTE(SUBSTITUTE(SUBSTITUTE(SUBSTITUTE($A1713,"-",""),"(",""),")",""),".",""),"+","")," ","")))</f>
      </c>
    </row>
    <row r="1714" spans="1:11" x14ac:dyDescent="0.3">
      <c r="A1714" s="28"/>
      <c r="B1714" s="29"/>
      <c r="C1714" s="30"/>
      <c r="D1714" s="31"/>
      <c r="E1714" s="33">
        <f>IF(OR($D1714="",$K1714=""),"",IF(COUNTIFS(Payments!$G$5:$G$2500,$K1714,Payments!$C$5:$C$2500,"&lt;&gt;")=0,"",_xlfn.MAXIFS(Payments!$C$5:$C$2500,Payments!$G$5:$G$2500,$K1714)))</f>
      </c>
      <c r="F1714" s="34">
        <f>IF(OR($D1714="",$K1714=""),"",SUMIF(Payments!$G$5:$G$2500,$K1714,Payments!$D$5:$D$2500))</f>
      </c>
      <c r="G1714" s="36">
        <f>IF($D1714="","",ROUND($D1714-IF($F1714="",0,$F1714),2))</f>
      </c>
      <c r="H1714" s="35">
        <f>IF(OR($D1714="",$K1714=""),"",COUNTIF(Payments!$G$5:$G$2500,$K1714))</f>
      </c>
      <c r="I1714" s="37">
        <f>IF($D1714="","",IF(OR($F1714="",$F1714=0),"Pending",IF(ROUND($F1714-$D1714,2)&gt;0,"Overpaid",IF(ROUND($F1714-$D1714,2)=0,"Paid","Partial"))))</f>
      </c>
      <c r="J1714" s="29"/>
      <c r="K1714">
        <f>IF($A1714="","","#"&amp;TRIM(SUBSTITUTE(SUBSTITUTE(SUBSTITUTE(SUBSTITUTE(SUBSTITUTE(SUBSTITUTE($A1714,"-",""),"(",""),")",""),".",""),"+","")," ","")))</f>
      </c>
    </row>
    <row r="1715" spans="1:11" x14ac:dyDescent="0.3">
      <c r="A1715" s="28"/>
      <c r="B1715" s="29"/>
      <c r="C1715" s="30"/>
      <c r="D1715" s="31"/>
      <c r="E1715" s="33">
        <f>IF(OR($D1715="",$K1715=""),"",IF(COUNTIFS(Payments!$G$5:$G$2500,$K1715,Payments!$C$5:$C$2500,"&lt;&gt;")=0,"",_xlfn.MAXIFS(Payments!$C$5:$C$2500,Payments!$G$5:$G$2500,$K1715)))</f>
      </c>
      <c r="F1715" s="34">
        <f>IF(OR($D1715="",$K1715=""),"",SUMIF(Payments!$G$5:$G$2500,$K1715,Payments!$D$5:$D$2500))</f>
      </c>
      <c r="G1715" s="36">
        <f>IF($D1715="","",ROUND($D1715-IF($F1715="",0,$F1715),2))</f>
      </c>
      <c r="H1715" s="35">
        <f>IF(OR($D1715="",$K1715=""),"",COUNTIF(Payments!$G$5:$G$2500,$K1715))</f>
      </c>
      <c r="I1715" s="37">
        <f>IF($D1715="","",IF(OR($F1715="",$F1715=0),"Pending",IF(ROUND($F1715-$D1715,2)&gt;0,"Overpaid",IF(ROUND($F1715-$D1715,2)=0,"Paid","Partial"))))</f>
      </c>
      <c r="J1715" s="29"/>
      <c r="K1715">
        <f>IF($A1715="","","#"&amp;TRIM(SUBSTITUTE(SUBSTITUTE(SUBSTITUTE(SUBSTITUTE(SUBSTITUTE(SUBSTITUTE($A1715,"-",""),"(",""),")",""),".",""),"+","")," ","")))</f>
      </c>
    </row>
    <row r="1716" spans="1:11" x14ac:dyDescent="0.3">
      <c r="A1716" s="28"/>
      <c r="B1716" s="29"/>
      <c r="C1716" s="30"/>
      <c r="D1716" s="31"/>
      <c r="E1716" s="33">
        <f>IF(OR($D1716="",$K1716=""),"",IF(COUNTIFS(Payments!$G$5:$G$2500,$K1716,Payments!$C$5:$C$2500,"&lt;&gt;")=0,"",_xlfn.MAXIFS(Payments!$C$5:$C$2500,Payments!$G$5:$G$2500,$K1716)))</f>
      </c>
      <c r="F1716" s="34">
        <f>IF(OR($D1716="",$K1716=""),"",SUMIF(Payments!$G$5:$G$2500,$K1716,Payments!$D$5:$D$2500))</f>
      </c>
      <c r="G1716" s="36">
        <f>IF($D1716="","",ROUND($D1716-IF($F1716="",0,$F1716),2))</f>
      </c>
      <c r="H1716" s="35">
        <f>IF(OR($D1716="",$K1716=""),"",COUNTIF(Payments!$G$5:$G$2500,$K1716))</f>
      </c>
      <c r="I1716" s="37">
        <f>IF($D1716="","",IF(OR($F1716="",$F1716=0),"Pending",IF(ROUND($F1716-$D1716,2)&gt;0,"Overpaid",IF(ROUND($F1716-$D1716,2)=0,"Paid","Partial"))))</f>
      </c>
      <c r="J1716" s="29"/>
      <c r="K1716">
        <f>IF($A1716="","","#"&amp;TRIM(SUBSTITUTE(SUBSTITUTE(SUBSTITUTE(SUBSTITUTE(SUBSTITUTE(SUBSTITUTE($A1716,"-",""),"(",""),")",""),".",""),"+","")," ","")))</f>
      </c>
    </row>
    <row r="1717" spans="1:11" x14ac:dyDescent="0.3">
      <c r="A1717" s="28"/>
      <c r="B1717" s="29"/>
      <c r="C1717" s="30"/>
      <c r="D1717" s="31"/>
      <c r="E1717" s="33">
        <f>IF(OR($D1717="",$K1717=""),"",IF(COUNTIFS(Payments!$G$5:$G$2500,$K1717,Payments!$C$5:$C$2500,"&lt;&gt;")=0,"",_xlfn.MAXIFS(Payments!$C$5:$C$2500,Payments!$G$5:$G$2500,$K1717)))</f>
      </c>
      <c r="F1717" s="34">
        <f>IF(OR($D1717="",$K1717=""),"",SUMIF(Payments!$G$5:$G$2500,$K1717,Payments!$D$5:$D$2500))</f>
      </c>
      <c r="G1717" s="36">
        <f>IF($D1717="","",ROUND($D1717-IF($F1717="",0,$F1717),2))</f>
      </c>
      <c r="H1717" s="35">
        <f>IF(OR($D1717="",$K1717=""),"",COUNTIF(Payments!$G$5:$G$2500,$K1717))</f>
      </c>
      <c r="I1717" s="37">
        <f>IF($D1717="","",IF(OR($F1717="",$F1717=0),"Pending",IF(ROUND($F1717-$D1717,2)&gt;0,"Overpaid",IF(ROUND($F1717-$D1717,2)=0,"Paid","Partial"))))</f>
      </c>
      <c r="J1717" s="29"/>
      <c r="K1717">
        <f>IF($A1717="","","#"&amp;TRIM(SUBSTITUTE(SUBSTITUTE(SUBSTITUTE(SUBSTITUTE(SUBSTITUTE(SUBSTITUTE($A1717,"-",""),"(",""),")",""),".",""),"+","")," ","")))</f>
      </c>
    </row>
    <row r="1718" spans="1:11" x14ac:dyDescent="0.3">
      <c r="A1718" s="28"/>
      <c r="B1718" s="29"/>
      <c r="C1718" s="30"/>
      <c r="D1718" s="31"/>
      <c r="E1718" s="33">
        <f>IF(OR($D1718="",$K1718=""),"",IF(COUNTIFS(Payments!$G$5:$G$2500,$K1718,Payments!$C$5:$C$2500,"&lt;&gt;")=0,"",_xlfn.MAXIFS(Payments!$C$5:$C$2500,Payments!$G$5:$G$2500,$K1718)))</f>
      </c>
      <c r="F1718" s="34">
        <f>IF(OR($D1718="",$K1718=""),"",SUMIF(Payments!$G$5:$G$2500,$K1718,Payments!$D$5:$D$2500))</f>
      </c>
      <c r="G1718" s="36">
        <f>IF($D1718="","",ROUND($D1718-IF($F1718="",0,$F1718),2))</f>
      </c>
      <c r="H1718" s="35">
        <f>IF(OR($D1718="",$K1718=""),"",COUNTIF(Payments!$G$5:$G$2500,$K1718))</f>
      </c>
      <c r="I1718" s="37">
        <f>IF($D1718="","",IF(OR($F1718="",$F1718=0),"Pending",IF(ROUND($F1718-$D1718,2)&gt;0,"Overpaid",IF(ROUND($F1718-$D1718,2)=0,"Paid","Partial"))))</f>
      </c>
      <c r="J1718" s="29"/>
      <c r="K1718">
        <f>IF($A1718="","","#"&amp;TRIM(SUBSTITUTE(SUBSTITUTE(SUBSTITUTE(SUBSTITUTE(SUBSTITUTE(SUBSTITUTE($A1718,"-",""),"(",""),")",""),".",""),"+","")," ","")))</f>
      </c>
    </row>
    <row r="1719" spans="1:11" x14ac:dyDescent="0.3">
      <c r="A1719" s="28"/>
      <c r="B1719" s="29"/>
      <c r="C1719" s="30"/>
      <c r="D1719" s="31"/>
      <c r="E1719" s="33">
        <f>IF(OR($D1719="",$K1719=""),"",IF(COUNTIFS(Payments!$G$5:$G$2500,$K1719,Payments!$C$5:$C$2500,"&lt;&gt;")=0,"",_xlfn.MAXIFS(Payments!$C$5:$C$2500,Payments!$G$5:$G$2500,$K1719)))</f>
      </c>
      <c r="F1719" s="34">
        <f>IF(OR($D1719="",$K1719=""),"",SUMIF(Payments!$G$5:$G$2500,$K1719,Payments!$D$5:$D$2500))</f>
      </c>
      <c r="G1719" s="36">
        <f>IF($D1719="","",ROUND($D1719-IF($F1719="",0,$F1719),2))</f>
      </c>
      <c r="H1719" s="35">
        <f>IF(OR($D1719="",$K1719=""),"",COUNTIF(Payments!$G$5:$G$2500,$K1719))</f>
      </c>
      <c r="I1719" s="37">
        <f>IF($D1719="","",IF(OR($F1719="",$F1719=0),"Pending",IF(ROUND($F1719-$D1719,2)&gt;0,"Overpaid",IF(ROUND($F1719-$D1719,2)=0,"Paid","Partial"))))</f>
      </c>
      <c r="J1719" s="29"/>
      <c r="K1719">
        <f>IF($A1719="","","#"&amp;TRIM(SUBSTITUTE(SUBSTITUTE(SUBSTITUTE(SUBSTITUTE(SUBSTITUTE(SUBSTITUTE($A1719,"-",""),"(",""),")",""),".",""),"+","")," ","")))</f>
      </c>
    </row>
    <row r="1720" spans="1:11" x14ac:dyDescent="0.3">
      <c r="A1720" s="28"/>
      <c r="B1720" s="29"/>
      <c r="C1720" s="30"/>
      <c r="D1720" s="31"/>
      <c r="E1720" s="33">
        <f>IF(OR($D1720="",$K1720=""),"",IF(COUNTIFS(Payments!$G$5:$G$2500,$K1720,Payments!$C$5:$C$2500,"&lt;&gt;")=0,"",_xlfn.MAXIFS(Payments!$C$5:$C$2500,Payments!$G$5:$G$2500,$K1720)))</f>
      </c>
      <c r="F1720" s="34">
        <f>IF(OR($D1720="",$K1720=""),"",SUMIF(Payments!$G$5:$G$2500,$K1720,Payments!$D$5:$D$2500))</f>
      </c>
      <c r="G1720" s="36">
        <f>IF($D1720="","",ROUND($D1720-IF($F1720="",0,$F1720),2))</f>
      </c>
      <c r="H1720" s="35">
        <f>IF(OR($D1720="",$K1720=""),"",COUNTIF(Payments!$G$5:$G$2500,$K1720))</f>
      </c>
      <c r="I1720" s="37">
        <f>IF($D1720="","",IF(OR($F1720="",$F1720=0),"Pending",IF(ROUND($F1720-$D1720,2)&gt;0,"Overpaid",IF(ROUND($F1720-$D1720,2)=0,"Paid","Partial"))))</f>
      </c>
      <c r="J1720" s="29"/>
      <c r="K1720">
        <f>IF($A1720="","","#"&amp;TRIM(SUBSTITUTE(SUBSTITUTE(SUBSTITUTE(SUBSTITUTE(SUBSTITUTE(SUBSTITUTE($A1720,"-",""),"(",""),")",""),".",""),"+","")," ","")))</f>
      </c>
    </row>
    <row r="1721" spans="1:11" x14ac:dyDescent="0.3">
      <c r="A1721" s="28"/>
      <c r="B1721" s="29"/>
      <c r="C1721" s="30"/>
      <c r="D1721" s="31"/>
      <c r="E1721" s="33">
        <f>IF(OR($D1721="",$K1721=""),"",IF(COUNTIFS(Payments!$G$5:$G$2500,$K1721,Payments!$C$5:$C$2500,"&lt;&gt;")=0,"",_xlfn.MAXIFS(Payments!$C$5:$C$2500,Payments!$G$5:$G$2500,$K1721)))</f>
      </c>
      <c r="F1721" s="34">
        <f>IF(OR($D1721="",$K1721=""),"",SUMIF(Payments!$G$5:$G$2500,$K1721,Payments!$D$5:$D$2500))</f>
      </c>
      <c r="G1721" s="36">
        <f>IF($D1721="","",ROUND($D1721-IF($F1721="",0,$F1721),2))</f>
      </c>
      <c r="H1721" s="35">
        <f>IF(OR($D1721="",$K1721=""),"",COUNTIF(Payments!$G$5:$G$2500,$K1721))</f>
      </c>
      <c r="I1721" s="37">
        <f>IF($D1721="","",IF(OR($F1721="",$F1721=0),"Pending",IF(ROUND($F1721-$D1721,2)&gt;0,"Overpaid",IF(ROUND($F1721-$D1721,2)=0,"Paid","Partial"))))</f>
      </c>
      <c r="J1721" s="29"/>
      <c r="K1721">
        <f>IF($A1721="","","#"&amp;TRIM(SUBSTITUTE(SUBSTITUTE(SUBSTITUTE(SUBSTITUTE(SUBSTITUTE(SUBSTITUTE($A1721,"-",""),"(",""),")",""),".",""),"+","")," ","")))</f>
      </c>
    </row>
    <row r="1722" spans="1:11" x14ac:dyDescent="0.3">
      <c r="A1722" s="28"/>
      <c r="B1722" s="29"/>
      <c r="C1722" s="30"/>
      <c r="D1722" s="31"/>
      <c r="E1722" s="33">
        <f>IF(OR($D1722="",$K1722=""),"",IF(COUNTIFS(Payments!$G$5:$G$2500,$K1722,Payments!$C$5:$C$2500,"&lt;&gt;")=0,"",_xlfn.MAXIFS(Payments!$C$5:$C$2500,Payments!$G$5:$G$2500,$K1722)))</f>
      </c>
      <c r="F1722" s="34">
        <f>IF(OR($D1722="",$K1722=""),"",SUMIF(Payments!$G$5:$G$2500,$K1722,Payments!$D$5:$D$2500))</f>
      </c>
      <c r="G1722" s="36">
        <f>IF($D1722="","",ROUND($D1722-IF($F1722="",0,$F1722),2))</f>
      </c>
      <c r="H1722" s="35">
        <f>IF(OR($D1722="",$K1722=""),"",COUNTIF(Payments!$G$5:$G$2500,$K1722))</f>
      </c>
      <c r="I1722" s="37">
        <f>IF($D1722="","",IF(OR($F1722="",$F1722=0),"Pending",IF(ROUND($F1722-$D1722,2)&gt;0,"Overpaid",IF(ROUND($F1722-$D1722,2)=0,"Paid","Partial"))))</f>
      </c>
      <c r="J1722" s="29"/>
      <c r="K1722">
        <f>IF($A1722="","","#"&amp;TRIM(SUBSTITUTE(SUBSTITUTE(SUBSTITUTE(SUBSTITUTE(SUBSTITUTE(SUBSTITUTE($A1722,"-",""),"(",""),")",""),".",""),"+","")," ","")))</f>
      </c>
    </row>
    <row r="1723" spans="1:11" x14ac:dyDescent="0.3">
      <c r="A1723" s="28"/>
      <c r="B1723" s="29"/>
      <c r="C1723" s="30"/>
      <c r="D1723" s="31"/>
      <c r="E1723" s="33">
        <f>IF(OR($D1723="",$K1723=""),"",IF(COUNTIFS(Payments!$G$5:$G$2500,$K1723,Payments!$C$5:$C$2500,"&lt;&gt;")=0,"",_xlfn.MAXIFS(Payments!$C$5:$C$2500,Payments!$G$5:$G$2500,$K1723)))</f>
      </c>
      <c r="F1723" s="34">
        <f>IF(OR($D1723="",$K1723=""),"",SUMIF(Payments!$G$5:$G$2500,$K1723,Payments!$D$5:$D$2500))</f>
      </c>
      <c r="G1723" s="36">
        <f>IF($D1723="","",ROUND($D1723-IF($F1723="",0,$F1723),2))</f>
      </c>
      <c r="H1723" s="35">
        <f>IF(OR($D1723="",$K1723=""),"",COUNTIF(Payments!$G$5:$G$2500,$K1723))</f>
      </c>
      <c r="I1723" s="37">
        <f>IF($D1723="","",IF(OR($F1723="",$F1723=0),"Pending",IF(ROUND($F1723-$D1723,2)&gt;0,"Overpaid",IF(ROUND($F1723-$D1723,2)=0,"Paid","Partial"))))</f>
      </c>
      <c r="J1723" s="29"/>
      <c r="K1723">
        <f>IF($A1723="","","#"&amp;TRIM(SUBSTITUTE(SUBSTITUTE(SUBSTITUTE(SUBSTITUTE(SUBSTITUTE(SUBSTITUTE($A1723,"-",""),"(",""),")",""),".",""),"+","")," ","")))</f>
      </c>
    </row>
    <row r="1724" spans="1:11" x14ac:dyDescent="0.3">
      <c r="A1724" s="28"/>
      <c r="B1724" s="29"/>
      <c r="C1724" s="30"/>
      <c r="D1724" s="31"/>
      <c r="E1724" s="33">
        <f>IF(OR($D1724="",$K1724=""),"",IF(COUNTIFS(Payments!$G$5:$G$2500,$K1724,Payments!$C$5:$C$2500,"&lt;&gt;")=0,"",_xlfn.MAXIFS(Payments!$C$5:$C$2500,Payments!$G$5:$G$2500,$K1724)))</f>
      </c>
      <c r="F1724" s="34">
        <f>IF(OR($D1724="",$K1724=""),"",SUMIF(Payments!$G$5:$G$2500,$K1724,Payments!$D$5:$D$2500))</f>
      </c>
      <c r="G1724" s="36">
        <f>IF($D1724="","",ROUND($D1724-IF($F1724="",0,$F1724),2))</f>
      </c>
      <c r="H1724" s="35">
        <f>IF(OR($D1724="",$K1724=""),"",COUNTIF(Payments!$G$5:$G$2500,$K1724))</f>
      </c>
      <c r="I1724" s="37">
        <f>IF($D1724="","",IF(OR($F1724="",$F1724=0),"Pending",IF(ROUND($F1724-$D1724,2)&gt;0,"Overpaid",IF(ROUND($F1724-$D1724,2)=0,"Paid","Partial"))))</f>
      </c>
      <c r="J1724" s="29"/>
      <c r="K1724">
        <f>IF($A1724="","","#"&amp;TRIM(SUBSTITUTE(SUBSTITUTE(SUBSTITUTE(SUBSTITUTE(SUBSTITUTE(SUBSTITUTE($A1724,"-",""),"(",""),")",""),".",""),"+","")," ","")))</f>
      </c>
    </row>
    <row r="1725" spans="1:11" x14ac:dyDescent="0.3">
      <c r="A1725" s="28"/>
      <c r="B1725" s="29"/>
      <c r="C1725" s="30"/>
      <c r="D1725" s="31"/>
      <c r="E1725" s="33">
        <f>IF(OR($D1725="",$K1725=""),"",IF(COUNTIFS(Payments!$G$5:$G$2500,$K1725,Payments!$C$5:$C$2500,"&lt;&gt;")=0,"",_xlfn.MAXIFS(Payments!$C$5:$C$2500,Payments!$G$5:$G$2500,$K1725)))</f>
      </c>
      <c r="F1725" s="34">
        <f>IF(OR($D1725="",$K1725=""),"",SUMIF(Payments!$G$5:$G$2500,$K1725,Payments!$D$5:$D$2500))</f>
      </c>
      <c r="G1725" s="36">
        <f>IF($D1725="","",ROUND($D1725-IF($F1725="",0,$F1725),2))</f>
      </c>
      <c r="H1725" s="35">
        <f>IF(OR($D1725="",$K1725=""),"",COUNTIF(Payments!$G$5:$G$2500,$K1725))</f>
      </c>
      <c r="I1725" s="37">
        <f>IF($D1725="","",IF(OR($F1725="",$F1725=0),"Pending",IF(ROUND($F1725-$D1725,2)&gt;0,"Overpaid",IF(ROUND($F1725-$D1725,2)=0,"Paid","Partial"))))</f>
      </c>
      <c r="J1725" s="29"/>
      <c r="K1725">
        <f>IF($A1725="","","#"&amp;TRIM(SUBSTITUTE(SUBSTITUTE(SUBSTITUTE(SUBSTITUTE(SUBSTITUTE(SUBSTITUTE($A1725,"-",""),"(",""),")",""),".",""),"+","")," ","")))</f>
      </c>
    </row>
    <row r="1726" spans="1:11" x14ac:dyDescent="0.3">
      <c r="A1726" s="28"/>
      <c r="B1726" s="29"/>
      <c r="C1726" s="30"/>
      <c r="D1726" s="31"/>
      <c r="E1726" s="33">
        <f>IF(OR($D1726="",$K1726=""),"",IF(COUNTIFS(Payments!$G$5:$G$2500,$K1726,Payments!$C$5:$C$2500,"&lt;&gt;")=0,"",_xlfn.MAXIFS(Payments!$C$5:$C$2500,Payments!$G$5:$G$2500,$K1726)))</f>
      </c>
      <c r="F1726" s="34">
        <f>IF(OR($D1726="",$K1726=""),"",SUMIF(Payments!$G$5:$G$2500,$K1726,Payments!$D$5:$D$2500))</f>
      </c>
      <c r="G1726" s="36">
        <f>IF($D1726="","",ROUND($D1726-IF($F1726="",0,$F1726),2))</f>
      </c>
      <c r="H1726" s="35">
        <f>IF(OR($D1726="",$K1726=""),"",COUNTIF(Payments!$G$5:$G$2500,$K1726))</f>
      </c>
      <c r="I1726" s="37">
        <f>IF($D1726="","",IF(OR($F1726="",$F1726=0),"Pending",IF(ROUND($F1726-$D1726,2)&gt;0,"Overpaid",IF(ROUND($F1726-$D1726,2)=0,"Paid","Partial"))))</f>
      </c>
      <c r="J1726" s="29"/>
      <c r="K1726">
        <f>IF($A1726="","","#"&amp;TRIM(SUBSTITUTE(SUBSTITUTE(SUBSTITUTE(SUBSTITUTE(SUBSTITUTE(SUBSTITUTE($A1726,"-",""),"(",""),")",""),".",""),"+","")," ","")))</f>
      </c>
    </row>
    <row r="1727" spans="1:11" x14ac:dyDescent="0.3">
      <c r="A1727" s="28"/>
      <c r="B1727" s="29"/>
      <c r="C1727" s="30"/>
      <c r="D1727" s="31"/>
      <c r="E1727" s="33">
        <f>IF(OR($D1727="",$K1727=""),"",IF(COUNTIFS(Payments!$G$5:$G$2500,$K1727,Payments!$C$5:$C$2500,"&lt;&gt;")=0,"",_xlfn.MAXIFS(Payments!$C$5:$C$2500,Payments!$G$5:$G$2500,$K1727)))</f>
      </c>
      <c r="F1727" s="34">
        <f>IF(OR($D1727="",$K1727=""),"",SUMIF(Payments!$G$5:$G$2500,$K1727,Payments!$D$5:$D$2500))</f>
      </c>
      <c r="G1727" s="36">
        <f>IF($D1727="","",ROUND($D1727-IF($F1727="",0,$F1727),2))</f>
      </c>
      <c r="H1727" s="35">
        <f>IF(OR($D1727="",$K1727=""),"",COUNTIF(Payments!$G$5:$G$2500,$K1727))</f>
      </c>
      <c r="I1727" s="37">
        <f>IF($D1727="","",IF(OR($F1727="",$F1727=0),"Pending",IF(ROUND($F1727-$D1727,2)&gt;0,"Overpaid",IF(ROUND($F1727-$D1727,2)=0,"Paid","Partial"))))</f>
      </c>
      <c r="J1727" s="29"/>
      <c r="K1727">
        <f>IF($A1727="","","#"&amp;TRIM(SUBSTITUTE(SUBSTITUTE(SUBSTITUTE(SUBSTITUTE(SUBSTITUTE(SUBSTITUTE($A1727,"-",""),"(",""),")",""),".",""),"+","")," ","")))</f>
      </c>
    </row>
    <row r="1728" spans="1:11" x14ac:dyDescent="0.3">
      <c r="A1728" s="28"/>
      <c r="B1728" s="29"/>
      <c r="C1728" s="30"/>
      <c r="D1728" s="31"/>
      <c r="E1728" s="33">
        <f>IF(OR($D1728="",$K1728=""),"",IF(COUNTIFS(Payments!$G$5:$G$2500,$K1728,Payments!$C$5:$C$2500,"&lt;&gt;")=0,"",_xlfn.MAXIFS(Payments!$C$5:$C$2500,Payments!$G$5:$G$2500,$K1728)))</f>
      </c>
      <c r="F1728" s="34">
        <f>IF(OR($D1728="",$K1728=""),"",SUMIF(Payments!$G$5:$G$2500,$K1728,Payments!$D$5:$D$2500))</f>
      </c>
      <c r="G1728" s="36">
        <f>IF($D1728="","",ROUND($D1728-IF($F1728="",0,$F1728),2))</f>
      </c>
      <c r="H1728" s="35">
        <f>IF(OR($D1728="",$K1728=""),"",COUNTIF(Payments!$G$5:$G$2500,$K1728))</f>
      </c>
      <c r="I1728" s="37">
        <f>IF($D1728="","",IF(OR($F1728="",$F1728=0),"Pending",IF(ROUND($F1728-$D1728,2)&gt;0,"Overpaid",IF(ROUND($F1728-$D1728,2)=0,"Paid","Partial"))))</f>
      </c>
      <c r="J1728" s="29"/>
      <c r="K1728">
        <f>IF($A1728="","","#"&amp;TRIM(SUBSTITUTE(SUBSTITUTE(SUBSTITUTE(SUBSTITUTE(SUBSTITUTE(SUBSTITUTE($A1728,"-",""),"(",""),")",""),".",""),"+","")," ","")))</f>
      </c>
    </row>
    <row r="1729" spans="1:11" x14ac:dyDescent="0.3">
      <c r="A1729" s="28"/>
      <c r="B1729" s="29"/>
      <c r="C1729" s="30"/>
      <c r="D1729" s="31"/>
      <c r="E1729" s="33">
        <f>IF(OR($D1729="",$K1729=""),"",IF(COUNTIFS(Payments!$G$5:$G$2500,$K1729,Payments!$C$5:$C$2500,"&lt;&gt;")=0,"",_xlfn.MAXIFS(Payments!$C$5:$C$2500,Payments!$G$5:$G$2500,$K1729)))</f>
      </c>
      <c r="F1729" s="34">
        <f>IF(OR($D1729="",$K1729=""),"",SUMIF(Payments!$G$5:$G$2500,$K1729,Payments!$D$5:$D$2500))</f>
      </c>
      <c r="G1729" s="36">
        <f>IF($D1729="","",ROUND($D1729-IF($F1729="",0,$F1729),2))</f>
      </c>
      <c r="H1729" s="35">
        <f>IF(OR($D1729="",$K1729=""),"",COUNTIF(Payments!$G$5:$G$2500,$K1729))</f>
      </c>
      <c r="I1729" s="37">
        <f>IF($D1729="","",IF(OR($F1729="",$F1729=0),"Pending",IF(ROUND($F1729-$D1729,2)&gt;0,"Overpaid",IF(ROUND($F1729-$D1729,2)=0,"Paid","Partial"))))</f>
      </c>
      <c r="J1729" s="29"/>
      <c r="K1729">
        <f>IF($A1729="","","#"&amp;TRIM(SUBSTITUTE(SUBSTITUTE(SUBSTITUTE(SUBSTITUTE(SUBSTITUTE(SUBSTITUTE($A1729,"-",""),"(",""),")",""),".",""),"+","")," ","")))</f>
      </c>
    </row>
    <row r="1730" spans="1:11" x14ac:dyDescent="0.3">
      <c r="A1730" s="28"/>
      <c r="B1730" s="29"/>
      <c r="C1730" s="30"/>
      <c r="D1730" s="31"/>
      <c r="E1730" s="33">
        <f>IF(OR($D1730="",$K1730=""),"",IF(COUNTIFS(Payments!$G$5:$G$2500,$K1730,Payments!$C$5:$C$2500,"&lt;&gt;")=0,"",_xlfn.MAXIFS(Payments!$C$5:$C$2500,Payments!$G$5:$G$2500,$K1730)))</f>
      </c>
      <c r="F1730" s="34">
        <f>IF(OR($D1730="",$K1730=""),"",SUMIF(Payments!$G$5:$G$2500,$K1730,Payments!$D$5:$D$2500))</f>
      </c>
      <c r="G1730" s="36">
        <f>IF($D1730="","",ROUND($D1730-IF($F1730="",0,$F1730),2))</f>
      </c>
      <c r="H1730" s="35">
        <f>IF(OR($D1730="",$K1730=""),"",COUNTIF(Payments!$G$5:$G$2500,$K1730))</f>
      </c>
      <c r="I1730" s="37">
        <f>IF($D1730="","",IF(OR($F1730="",$F1730=0),"Pending",IF(ROUND($F1730-$D1730,2)&gt;0,"Overpaid",IF(ROUND($F1730-$D1730,2)=0,"Paid","Partial"))))</f>
      </c>
      <c r="J1730" s="29"/>
      <c r="K1730">
        <f>IF($A1730="","","#"&amp;TRIM(SUBSTITUTE(SUBSTITUTE(SUBSTITUTE(SUBSTITUTE(SUBSTITUTE(SUBSTITUTE($A1730,"-",""),"(",""),")",""),".",""),"+","")," ","")))</f>
      </c>
    </row>
    <row r="1731" spans="1:11" x14ac:dyDescent="0.3">
      <c r="A1731" s="28"/>
      <c r="B1731" s="29"/>
      <c r="C1731" s="30"/>
      <c r="D1731" s="31"/>
      <c r="E1731" s="33">
        <f>IF(OR($D1731="",$K1731=""),"",IF(COUNTIFS(Payments!$G$5:$G$2500,$K1731,Payments!$C$5:$C$2500,"&lt;&gt;")=0,"",_xlfn.MAXIFS(Payments!$C$5:$C$2500,Payments!$G$5:$G$2500,$K1731)))</f>
      </c>
      <c r="F1731" s="34">
        <f>IF(OR($D1731="",$K1731=""),"",SUMIF(Payments!$G$5:$G$2500,$K1731,Payments!$D$5:$D$2500))</f>
      </c>
      <c r="G1731" s="36">
        <f>IF($D1731="","",ROUND($D1731-IF($F1731="",0,$F1731),2))</f>
      </c>
      <c r="H1731" s="35">
        <f>IF(OR($D1731="",$K1731=""),"",COUNTIF(Payments!$G$5:$G$2500,$K1731))</f>
      </c>
      <c r="I1731" s="37">
        <f>IF($D1731="","",IF(OR($F1731="",$F1731=0),"Pending",IF(ROUND($F1731-$D1731,2)&gt;0,"Overpaid",IF(ROUND($F1731-$D1731,2)=0,"Paid","Partial"))))</f>
      </c>
      <c r="J1731" s="29"/>
      <c r="K1731">
        <f>IF($A1731="","","#"&amp;TRIM(SUBSTITUTE(SUBSTITUTE(SUBSTITUTE(SUBSTITUTE(SUBSTITUTE(SUBSTITUTE($A1731,"-",""),"(",""),")",""),".",""),"+","")," ","")))</f>
      </c>
    </row>
    <row r="1732" spans="1:11" x14ac:dyDescent="0.3">
      <c r="A1732" s="28"/>
      <c r="B1732" s="29"/>
      <c r="C1732" s="30"/>
      <c r="D1732" s="31"/>
      <c r="E1732" s="33">
        <f>IF(OR($D1732="",$K1732=""),"",IF(COUNTIFS(Payments!$G$5:$G$2500,$K1732,Payments!$C$5:$C$2500,"&lt;&gt;")=0,"",_xlfn.MAXIFS(Payments!$C$5:$C$2500,Payments!$G$5:$G$2500,$K1732)))</f>
      </c>
      <c r="F1732" s="34">
        <f>IF(OR($D1732="",$K1732=""),"",SUMIF(Payments!$G$5:$G$2500,$K1732,Payments!$D$5:$D$2500))</f>
      </c>
      <c r="G1732" s="36">
        <f>IF($D1732="","",ROUND($D1732-IF($F1732="",0,$F1732),2))</f>
      </c>
      <c r="H1732" s="35">
        <f>IF(OR($D1732="",$K1732=""),"",COUNTIF(Payments!$G$5:$G$2500,$K1732))</f>
      </c>
      <c r="I1732" s="37">
        <f>IF($D1732="","",IF(OR($F1732="",$F1732=0),"Pending",IF(ROUND($F1732-$D1732,2)&gt;0,"Overpaid",IF(ROUND($F1732-$D1732,2)=0,"Paid","Partial"))))</f>
      </c>
      <c r="J1732" s="29"/>
      <c r="K1732">
        <f>IF($A1732="","","#"&amp;TRIM(SUBSTITUTE(SUBSTITUTE(SUBSTITUTE(SUBSTITUTE(SUBSTITUTE(SUBSTITUTE($A1732,"-",""),"(",""),")",""),".",""),"+","")," ","")))</f>
      </c>
    </row>
    <row r="1733" spans="1:11" x14ac:dyDescent="0.3">
      <c r="A1733" s="28"/>
      <c r="B1733" s="29"/>
      <c r="C1733" s="30"/>
      <c r="D1733" s="31"/>
      <c r="E1733" s="33">
        <f>IF(OR($D1733="",$K1733=""),"",IF(COUNTIFS(Payments!$G$5:$G$2500,$K1733,Payments!$C$5:$C$2500,"&lt;&gt;")=0,"",_xlfn.MAXIFS(Payments!$C$5:$C$2500,Payments!$G$5:$G$2500,$K1733)))</f>
      </c>
      <c r="F1733" s="34">
        <f>IF(OR($D1733="",$K1733=""),"",SUMIF(Payments!$G$5:$G$2500,$K1733,Payments!$D$5:$D$2500))</f>
      </c>
      <c r="G1733" s="36">
        <f>IF($D1733="","",ROUND($D1733-IF($F1733="",0,$F1733),2))</f>
      </c>
      <c r="H1733" s="35">
        <f>IF(OR($D1733="",$K1733=""),"",COUNTIF(Payments!$G$5:$G$2500,$K1733))</f>
      </c>
      <c r="I1733" s="37">
        <f>IF($D1733="","",IF(OR($F1733="",$F1733=0),"Pending",IF(ROUND($F1733-$D1733,2)&gt;0,"Overpaid",IF(ROUND($F1733-$D1733,2)=0,"Paid","Partial"))))</f>
      </c>
      <c r="J1733" s="29"/>
      <c r="K1733">
        <f>IF($A1733="","","#"&amp;TRIM(SUBSTITUTE(SUBSTITUTE(SUBSTITUTE(SUBSTITUTE(SUBSTITUTE(SUBSTITUTE($A1733,"-",""),"(",""),")",""),".",""),"+","")," ","")))</f>
      </c>
    </row>
    <row r="1734" spans="1:11" x14ac:dyDescent="0.3">
      <c r="A1734" s="28"/>
      <c r="B1734" s="29"/>
      <c r="C1734" s="30"/>
      <c r="D1734" s="31"/>
      <c r="E1734" s="33">
        <f>IF(OR($D1734="",$K1734=""),"",IF(COUNTIFS(Payments!$G$5:$G$2500,$K1734,Payments!$C$5:$C$2500,"&lt;&gt;")=0,"",_xlfn.MAXIFS(Payments!$C$5:$C$2500,Payments!$G$5:$G$2500,$K1734)))</f>
      </c>
      <c r="F1734" s="34">
        <f>IF(OR($D1734="",$K1734=""),"",SUMIF(Payments!$G$5:$G$2500,$K1734,Payments!$D$5:$D$2500))</f>
      </c>
      <c r="G1734" s="36">
        <f>IF($D1734="","",ROUND($D1734-IF($F1734="",0,$F1734),2))</f>
      </c>
      <c r="H1734" s="35">
        <f>IF(OR($D1734="",$K1734=""),"",COUNTIF(Payments!$G$5:$G$2500,$K1734))</f>
      </c>
      <c r="I1734" s="37">
        <f>IF($D1734="","",IF(OR($F1734="",$F1734=0),"Pending",IF(ROUND($F1734-$D1734,2)&gt;0,"Overpaid",IF(ROUND($F1734-$D1734,2)=0,"Paid","Partial"))))</f>
      </c>
      <c r="J1734" s="29"/>
      <c r="K1734">
        <f>IF($A1734="","","#"&amp;TRIM(SUBSTITUTE(SUBSTITUTE(SUBSTITUTE(SUBSTITUTE(SUBSTITUTE(SUBSTITUTE($A1734,"-",""),"(",""),")",""),".",""),"+","")," ","")))</f>
      </c>
    </row>
    <row r="1735" spans="1:11" x14ac:dyDescent="0.3">
      <c r="A1735" s="28"/>
      <c r="B1735" s="29"/>
      <c r="C1735" s="30"/>
      <c r="D1735" s="31"/>
      <c r="E1735" s="33">
        <f>IF(OR($D1735="",$K1735=""),"",IF(COUNTIFS(Payments!$G$5:$G$2500,$K1735,Payments!$C$5:$C$2500,"&lt;&gt;")=0,"",_xlfn.MAXIFS(Payments!$C$5:$C$2500,Payments!$G$5:$G$2500,$K1735)))</f>
      </c>
      <c r="F1735" s="34">
        <f>IF(OR($D1735="",$K1735=""),"",SUMIF(Payments!$G$5:$G$2500,$K1735,Payments!$D$5:$D$2500))</f>
      </c>
      <c r="G1735" s="36">
        <f>IF($D1735="","",ROUND($D1735-IF($F1735="",0,$F1735),2))</f>
      </c>
      <c r="H1735" s="35">
        <f>IF(OR($D1735="",$K1735=""),"",COUNTIF(Payments!$G$5:$G$2500,$K1735))</f>
      </c>
      <c r="I1735" s="37">
        <f>IF($D1735="","",IF(OR($F1735="",$F1735=0),"Pending",IF(ROUND($F1735-$D1735,2)&gt;0,"Overpaid",IF(ROUND($F1735-$D1735,2)=0,"Paid","Partial"))))</f>
      </c>
      <c r="J1735" s="29"/>
      <c r="K1735">
        <f>IF($A1735="","","#"&amp;TRIM(SUBSTITUTE(SUBSTITUTE(SUBSTITUTE(SUBSTITUTE(SUBSTITUTE(SUBSTITUTE($A1735,"-",""),"(",""),")",""),".",""),"+","")," ","")))</f>
      </c>
    </row>
    <row r="1736" spans="1:11" x14ac:dyDescent="0.3">
      <c r="A1736" s="28"/>
      <c r="B1736" s="29"/>
      <c r="C1736" s="30"/>
      <c r="D1736" s="31"/>
      <c r="E1736" s="33">
        <f>IF(OR($D1736="",$K1736=""),"",IF(COUNTIFS(Payments!$G$5:$G$2500,$K1736,Payments!$C$5:$C$2500,"&lt;&gt;")=0,"",_xlfn.MAXIFS(Payments!$C$5:$C$2500,Payments!$G$5:$G$2500,$K1736)))</f>
      </c>
      <c r="F1736" s="34">
        <f>IF(OR($D1736="",$K1736=""),"",SUMIF(Payments!$G$5:$G$2500,$K1736,Payments!$D$5:$D$2500))</f>
      </c>
      <c r="G1736" s="36">
        <f>IF($D1736="","",ROUND($D1736-IF($F1736="",0,$F1736),2))</f>
      </c>
      <c r="H1736" s="35">
        <f>IF(OR($D1736="",$K1736=""),"",COUNTIF(Payments!$G$5:$G$2500,$K1736))</f>
      </c>
      <c r="I1736" s="37">
        <f>IF($D1736="","",IF(OR($F1736="",$F1736=0),"Pending",IF(ROUND($F1736-$D1736,2)&gt;0,"Overpaid",IF(ROUND($F1736-$D1736,2)=0,"Paid","Partial"))))</f>
      </c>
      <c r="J1736" s="29"/>
      <c r="K1736">
        <f>IF($A1736="","","#"&amp;TRIM(SUBSTITUTE(SUBSTITUTE(SUBSTITUTE(SUBSTITUTE(SUBSTITUTE(SUBSTITUTE($A1736,"-",""),"(",""),")",""),".",""),"+","")," ","")))</f>
      </c>
    </row>
    <row r="1737" spans="1:11" x14ac:dyDescent="0.3">
      <c r="A1737" s="28"/>
      <c r="B1737" s="29"/>
      <c r="C1737" s="30"/>
      <c r="D1737" s="31"/>
      <c r="E1737" s="33">
        <f>IF(OR($D1737="",$K1737=""),"",IF(COUNTIFS(Payments!$G$5:$G$2500,$K1737,Payments!$C$5:$C$2500,"&lt;&gt;")=0,"",_xlfn.MAXIFS(Payments!$C$5:$C$2500,Payments!$G$5:$G$2500,$K1737)))</f>
      </c>
      <c r="F1737" s="34">
        <f>IF(OR($D1737="",$K1737=""),"",SUMIF(Payments!$G$5:$G$2500,$K1737,Payments!$D$5:$D$2500))</f>
      </c>
      <c r="G1737" s="36">
        <f>IF($D1737="","",ROUND($D1737-IF($F1737="",0,$F1737),2))</f>
      </c>
      <c r="H1737" s="35">
        <f>IF(OR($D1737="",$K1737=""),"",COUNTIF(Payments!$G$5:$G$2500,$K1737))</f>
      </c>
      <c r="I1737" s="37">
        <f>IF($D1737="","",IF(OR($F1737="",$F1737=0),"Pending",IF(ROUND($F1737-$D1737,2)&gt;0,"Overpaid",IF(ROUND($F1737-$D1737,2)=0,"Paid","Partial"))))</f>
      </c>
      <c r="J1737" s="29"/>
      <c r="K1737">
        <f>IF($A1737="","","#"&amp;TRIM(SUBSTITUTE(SUBSTITUTE(SUBSTITUTE(SUBSTITUTE(SUBSTITUTE(SUBSTITUTE($A1737,"-",""),"(",""),")",""),".",""),"+","")," ","")))</f>
      </c>
    </row>
    <row r="1738" spans="1:11" x14ac:dyDescent="0.3">
      <c r="A1738" s="28"/>
      <c r="B1738" s="29"/>
      <c r="C1738" s="30"/>
      <c r="D1738" s="31"/>
      <c r="E1738" s="33">
        <f>IF(OR($D1738="",$K1738=""),"",IF(COUNTIFS(Payments!$G$5:$G$2500,$K1738,Payments!$C$5:$C$2500,"&lt;&gt;")=0,"",_xlfn.MAXIFS(Payments!$C$5:$C$2500,Payments!$G$5:$G$2500,$K1738)))</f>
      </c>
      <c r="F1738" s="34">
        <f>IF(OR($D1738="",$K1738=""),"",SUMIF(Payments!$G$5:$G$2500,$K1738,Payments!$D$5:$D$2500))</f>
      </c>
      <c r="G1738" s="36">
        <f>IF($D1738="","",ROUND($D1738-IF($F1738="",0,$F1738),2))</f>
      </c>
      <c r="H1738" s="35">
        <f>IF(OR($D1738="",$K1738=""),"",COUNTIF(Payments!$G$5:$G$2500,$K1738))</f>
      </c>
      <c r="I1738" s="37">
        <f>IF($D1738="","",IF(OR($F1738="",$F1738=0),"Pending",IF(ROUND($F1738-$D1738,2)&gt;0,"Overpaid",IF(ROUND($F1738-$D1738,2)=0,"Paid","Partial"))))</f>
      </c>
      <c r="J1738" s="29"/>
      <c r="K1738">
        <f>IF($A1738="","","#"&amp;TRIM(SUBSTITUTE(SUBSTITUTE(SUBSTITUTE(SUBSTITUTE(SUBSTITUTE(SUBSTITUTE($A1738,"-",""),"(",""),")",""),".",""),"+","")," ","")))</f>
      </c>
    </row>
    <row r="1739" spans="1:11" x14ac:dyDescent="0.3">
      <c r="A1739" s="28"/>
      <c r="B1739" s="29"/>
      <c r="C1739" s="30"/>
      <c r="D1739" s="31"/>
      <c r="E1739" s="33">
        <f>IF(OR($D1739="",$K1739=""),"",IF(COUNTIFS(Payments!$G$5:$G$2500,$K1739,Payments!$C$5:$C$2500,"&lt;&gt;")=0,"",_xlfn.MAXIFS(Payments!$C$5:$C$2500,Payments!$G$5:$G$2500,$K1739)))</f>
      </c>
      <c r="F1739" s="34">
        <f>IF(OR($D1739="",$K1739=""),"",SUMIF(Payments!$G$5:$G$2500,$K1739,Payments!$D$5:$D$2500))</f>
      </c>
      <c r="G1739" s="36">
        <f>IF($D1739="","",ROUND($D1739-IF($F1739="",0,$F1739),2))</f>
      </c>
      <c r="H1739" s="35">
        <f>IF(OR($D1739="",$K1739=""),"",COUNTIF(Payments!$G$5:$G$2500,$K1739))</f>
      </c>
      <c r="I1739" s="37">
        <f>IF($D1739="","",IF(OR($F1739="",$F1739=0),"Pending",IF(ROUND($F1739-$D1739,2)&gt;0,"Overpaid",IF(ROUND($F1739-$D1739,2)=0,"Paid","Partial"))))</f>
      </c>
      <c r="J1739" s="29"/>
      <c r="K1739">
        <f>IF($A1739="","","#"&amp;TRIM(SUBSTITUTE(SUBSTITUTE(SUBSTITUTE(SUBSTITUTE(SUBSTITUTE(SUBSTITUTE($A1739,"-",""),"(",""),")",""),".",""),"+","")," ","")))</f>
      </c>
    </row>
    <row r="1740" spans="1:11" x14ac:dyDescent="0.3">
      <c r="A1740" s="28"/>
      <c r="B1740" s="29"/>
      <c r="C1740" s="30"/>
      <c r="D1740" s="31"/>
      <c r="E1740" s="33">
        <f>IF(OR($D1740="",$K1740=""),"",IF(COUNTIFS(Payments!$G$5:$G$2500,$K1740,Payments!$C$5:$C$2500,"&lt;&gt;")=0,"",_xlfn.MAXIFS(Payments!$C$5:$C$2500,Payments!$G$5:$G$2500,$K1740)))</f>
      </c>
      <c r="F1740" s="34">
        <f>IF(OR($D1740="",$K1740=""),"",SUMIF(Payments!$G$5:$G$2500,$K1740,Payments!$D$5:$D$2500))</f>
      </c>
      <c r="G1740" s="36">
        <f>IF($D1740="","",ROUND($D1740-IF($F1740="",0,$F1740),2))</f>
      </c>
      <c r="H1740" s="35">
        <f>IF(OR($D1740="",$K1740=""),"",COUNTIF(Payments!$G$5:$G$2500,$K1740))</f>
      </c>
      <c r="I1740" s="37">
        <f>IF($D1740="","",IF(OR($F1740="",$F1740=0),"Pending",IF(ROUND($F1740-$D1740,2)&gt;0,"Overpaid",IF(ROUND($F1740-$D1740,2)=0,"Paid","Partial"))))</f>
      </c>
      <c r="J1740" s="29"/>
      <c r="K1740">
        <f>IF($A1740="","","#"&amp;TRIM(SUBSTITUTE(SUBSTITUTE(SUBSTITUTE(SUBSTITUTE(SUBSTITUTE(SUBSTITUTE($A1740,"-",""),"(",""),")",""),".",""),"+","")," ","")))</f>
      </c>
    </row>
    <row r="1741" spans="1:11" x14ac:dyDescent="0.3">
      <c r="A1741" s="28"/>
      <c r="B1741" s="29"/>
      <c r="C1741" s="30"/>
      <c r="D1741" s="31"/>
      <c r="E1741" s="33">
        <f>IF(OR($D1741="",$K1741=""),"",IF(COUNTIFS(Payments!$G$5:$G$2500,$K1741,Payments!$C$5:$C$2500,"&lt;&gt;")=0,"",_xlfn.MAXIFS(Payments!$C$5:$C$2500,Payments!$G$5:$G$2500,$K1741)))</f>
      </c>
      <c r="F1741" s="34">
        <f>IF(OR($D1741="",$K1741=""),"",SUMIF(Payments!$G$5:$G$2500,$K1741,Payments!$D$5:$D$2500))</f>
      </c>
      <c r="G1741" s="36">
        <f>IF($D1741="","",ROUND($D1741-IF($F1741="",0,$F1741),2))</f>
      </c>
      <c r="H1741" s="35">
        <f>IF(OR($D1741="",$K1741=""),"",COUNTIF(Payments!$G$5:$G$2500,$K1741))</f>
      </c>
      <c r="I1741" s="37">
        <f>IF($D1741="","",IF(OR($F1741="",$F1741=0),"Pending",IF(ROUND($F1741-$D1741,2)&gt;0,"Overpaid",IF(ROUND($F1741-$D1741,2)=0,"Paid","Partial"))))</f>
      </c>
      <c r="J1741" s="29"/>
      <c r="K1741">
        <f>IF($A1741="","","#"&amp;TRIM(SUBSTITUTE(SUBSTITUTE(SUBSTITUTE(SUBSTITUTE(SUBSTITUTE(SUBSTITUTE($A1741,"-",""),"(",""),")",""),".",""),"+","")," ","")))</f>
      </c>
    </row>
    <row r="1742" spans="1:11" x14ac:dyDescent="0.3">
      <c r="A1742" s="28"/>
      <c r="B1742" s="29"/>
      <c r="C1742" s="30"/>
      <c r="D1742" s="31"/>
      <c r="E1742" s="33">
        <f>IF(OR($D1742="",$K1742=""),"",IF(COUNTIFS(Payments!$G$5:$G$2500,$K1742,Payments!$C$5:$C$2500,"&lt;&gt;")=0,"",_xlfn.MAXIFS(Payments!$C$5:$C$2500,Payments!$G$5:$G$2500,$K1742)))</f>
      </c>
      <c r="F1742" s="34">
        <f>IF(OR($D1742="",$K1742=""),"",SUMIF(Payments!$G$5:$G$2500,$K1742,Payments!$D$5:$D$2500))</f>
      </c>
      <c r="G1742" s="36">
        <f>IF($D1742="","",ROUND($D1742-IF($F1742="",0,$F1742),2))</f>
      </c>
      <c r="H1742" s="35">
        <f>IF(OR($D1742="",$K1742=""),"",COUNTIF(Payments!$G$5:$G$2500,$K1742))</f>
      </c>
      <c r="I1742" s="37">
        <f>IF($D1742="","",IF(OR($F1742="",$F1742=0),"Pending",IF(ROUND($F1742-$D1742,2)&gt;0,"Overpaid",IF(ROUND($F1742-$D1742,2)=0,"Paid","Partial"))))</f>
      </c>
      <c r="J1742" s="29"/>
      <c r="K1742">
        <f>IF($A1742="","","#"&amp;TRIM(SUBSTITUTE(SUBSTITUTE(SUBSTITUTE(SUBSTITUTE(SUBSTITUTE(SUBSTITUTE($A1742,"-",""),"(",""),")",""),".",""),"+","")," ","")))</f>
      </c>
    </row>
    <row r="1743" spans="1:11" x14ac:dyDescent="0.3">
      <c r="A1743" s="28"/>
      <c r="B1743" s="29"/>
      <c r="C1743" s="30"/>
      <c r="D1743" s="31"/>
      <c r="E1743" s="33">
        <f>IF(OR($D1743="",$K1743=""),"",IF(COUNTIFS(Payments!$G$5:$G$2500,$K1743,Payments!$C$5:$C$2500,"&lt;&gt;")=0,"",_xlfn.MAXIFS(Payments!$C$5:$C$2500,Payments!$G$5:$G$2500,$K1743)))</f>
      </c>
      <c r="F1743" s="34">
        <f>IF(OR($D1743="",$K1743=""),"",SUMIF(Payments!$G$5:$G$2500,$K1743,Payments!$D$5:$D$2500))</f>
      </c>
      <c r="G1743" s="36">
        <f>IF($D1743="","",ROUND($D1743-IF($F1743="",0,$F1743),2))</f>
      </c>
      <c r="H1743" s="35">
        <f>IF(OR($D1743="",$K1743=""),"",COUNTIF(Payments!$G$5:$G$2500,$K1743))</f>
      </c>
      <c r="I1743" s="37">
        <f>IF($D1743="","",IF(OR($F1743="",$F1743=0),"Pending",IF(ROUND($F1743-$D1743,2)&gt;0,"Overpaid",IF(ROUND($F1743-$D1743,2)=0,"Paid","Partial"))))</f>
      </c>
      <c r="J1743" s="29"/>
      <c r="K1743">
        <f>IF($A1743="","","#"&amp;TRIM(SUBSTITUTE(SUBSTITUTE(SUBSTITUTE(SUBSTITUTE(SUBSTITUTE(SUBSTITUTE($A1743,"-",""),"(",""),")",""),".",""),"+","")," ","")))</f>
      </c>
    </row>
    <row r="1744" spans="1:11" x14ac:dyDescent="0.3">
      <c r="A1744" s="28"/>
      <c r="B1744" s="29"/>
      <c r="C1744" s="30"/>
      <c r="D1744" s="31"/>
      <c r="E1744" s="33">
        <f>IF(OR($D1744="",$K1744=""),"",IF(COUNTIFS(Payments!$G$5:$G$2500,$K1744,Payments!$C$5:$C$2500,"&lt;&gt;")=0,"",_xlfn.MAXIFS(Payments!$C$5:$C$2500,Payments!$G$5:$G$2500,$K1744)))</f>
      </c>
      <c r="F1744" s="34">
        <f>IF(OR($D1744="",$K1744=""),"",SUMIF(Payments!$G$5:$G$2500,$K1744,Payments!$D$5:$D$2500))</f>
      </c>
      <c r="G1744" s="36">
        <f>IF($D1744="","",ROUND($D1744-IF($F1744="",0,$F1744),2))</f>
      </c>
      <c r="H1744" s="35">
        <f>IF(OR($D1744="",$K1744=""),"",COUNTIF(Payments!$G$5:$G$2500,$K1744))</f>
      </c>
      <c r="I1744" s="37">
        <f>IF($D1744="","",IF(OR($F1744="",$F1744=0),"Pending",IF(ROUND($F1744-$D1744,2)&gt;0,"Overpaid",IF(ROUND($F1744-$D1744,2)=0,"Paid","Partial"))))</f>
      </c>
      <c r="J1744" s="29"/>
      <c r="K1744">
        <f>IF($A1744="","","#"&amp;TRIM(SUBSTITUTE(SUBSTITUTE(SUBSTITUTE(SUBSTITUTE(SUBSTITUTE(SUBSTITUTE($A1744,"-",""),"(",""),")",""),".",""),"+","")," ","")))</f>
      </c>
    </row>
    <row r="1745" spans="1:11" x14ac:dyDescent="0.3">
      <c r="A1745" s="28"/>
      <c r="B1745" s="29"/>
      <c r="C1745" s="30"/>
      <c r="D1745" s="31"/>
      <c r="E1745" s="33">
        <f>IF(OR($D1745="",$K1745=""),"",IF(COUNTIFS(Payments!$G$5:$G$2500,$K1745,Payments!$C$5:$C$2500,"&lt;&gt;")=0,"",_xlfn.MAXIFS(Payments!$C$5:$C$2500,Payments!$G$5:$G$2500,$K1745)))</f>
      </c>
      <c r="F1745" s="34">
        <f>IF(OR($D1745="",$K1745=""),"",SUMIF(Payments!$G$5:$G$2500,$K1745,Payments!$D$5:$D$2500))</f>
      </c>
      <c r="G1745" s="36">
        <f>IF($D1745="","",ROUND($D1745-IF($F1745="",0,$F1745),2))</f>
      </c>
      <c r="H1745" s="35">
        <f>IF(OR($D1745="",$K1745=""),"",COUNTIF(Payments!$G$5:$G$2500,$K1745))</f>
      </c>
      <c r="I1745" s="37">
        <f>IF($D1745="","",IF(OR($F1745="",$F1745=0),"Pending",IF(ROUND($F1745-$D1745,2)&gt;0,"Overpaid",IF(ROUND($F1745-$D1745,2)=0,"Paid","Partial"))))</f>
      </c>
      <c r="J1745" s="29"/>
      <c r="K1745">
        <f>IF($A1745="","","#"&amp;TRIM(SUBSTITUTE(SUBSTITUTE(SUBSTITUTE(SUBSTITUTE(SUBSTITUTE(SUBSTITUTE($A1745,"-",""),"(",""),")",""),".",""),"+","")," ","")))</f>
      </c>
    </row>
    <row r="1746" spans="1:11" x14ac:dyDescent="0.3">
      <c r="A1746" s="28"/>
      <c r="B1746" s="29"/>
      <c r="C1746" s="30"/>
      <c r="D1746" s="31"/>
      <c r="E1746" s="33">
        <f>IF(OR($D1746="",$K1746=""),"",IF(COUNTIFS(Payments!$G$5:$G$2500,$K1746,Payments!$C$5:$C$2500,"&lt;&gt;")=0,"",_xlfn.MAXIFS(Payments!$C$5:$C$2500,Payments!$G$5:$G$2500,$K1746)))</f>
      </c>
      <c r="F1746" s="34">
        <f>IF(OR($D1746="",$K1746=""),"",SUMIF(Payments!$G$5:$G$2500,$K1746,Payments!$D$5:$D$2500))</f>
      </c>
      <c r="G1746" s="36">
        <f>IF($D1746="","",ROUND($D1746-IF($F1746="",0,$F1746),2))</f>
      </c>
      <c r="H1746" s="35">
        <f>IF(OR($D1746="",$K1746=""),"",COUNTIF(Payments!$G$5:$G$2500,$K1746))</f>
      </c>
      <c r="I1746" s="37">
        <f>IF($D1746="","",IF(OR($F1746="",$F1746=0),"Pending",IF(ROUND($F1746-$D1746,2)&gt;0,"Overpaid",IF(ROUND($F1746-$D1746,2)=0,"Paid","Partial"))))</f>
      </c>
      <c r="J1746" s="29"/>
      <c r="K1746">
        <f>IF($A1746="","","#"&amp;TRIM(SUBSTITUTE(SUBSTITUTE(SUBSTITUTE(SUBSTITUTE(SUBSTITUTE(SUBSTITUTE($A1746,"-",""),"(",""),")",""),".",""),"+","")," ","")))</f>
      </c>
    </row>
    <row r="1747" spans="1:11" x14ac:dyDescent="0.3">
      <c r="A1747" s="28"/>
      <c r="B1747" s="29"/>
      <c r="C1747" s="30"/>
      <c r="D1747" s="31"/>
      <c r="E1747" s="33">
        <f>IF(OR($D1747="",$K1747=""),"",IF(COUNTIFS(Payments!$G$5:$G$2500,$K1747,Payments!$C$5:$C$2500,"&lt;&gt;")=0,"",_xlfn.MAXIFS(Payments!$C$5:$C$2500,Payments!$G$5:$G$2500,$K1747)))</f>
      </c>
      <c r="F1747" s="34">
        <f>IF(OR($D1747="",$K1747=""),"",SUMIF(Payments!$G$5:$G$2500,$K1747,Payments!$D$5:$D$2500))</f>
      </c>
      <c r="G1747" s="36">
        <f>IF($D1747="","",ROUND($D1747-IF($F1747="",0,$F1747),2))</f>
      </c>
      <c r="H1747" s="35">
        <f>IF(OR($D1747="",$K1747=""),"",COUNTIF(Payments!$G$5:$G$2500,$K1747))</f>
      </c>
      <c r="I1747" s="37">
        <f>IF($D1747="","",IF(OR($F1747="",$F1747=0),"Pending",IF(ROUND($F1747-$D1747,2)&gt;0,"Overpaid",IF(ROUND($F1747-$D1747,2)=0,"Paid","Partial"))))</f>
      </c>
      <c r="J1747" s="29"/>
      <c r="K1747">
        <f>IF($A1747="","","#"&amp;TRIM(SUBSTITUTE(SUBSTITUTE(SUBSTITUTE(SUBSTITUTE(SUBSTITUTE(SUBSTITUTE($A1747,"-",""),"(",""),")",""),".",""),"+","")," ","")))</f>
      </c>
    </row>
    <row r="1748" spans="1:11" x14ac:dyDescent="0.3">
      <c r="A1748" s="28"/>
      <c r="B1748" s="29"/>
      <c r="C1748" s="30"/>
      <c r="D1748" s="31"/>
      <c r="E1748" s="33">
        <f>IF(OR($D1748="",$K1748=""),"",IF(COUNTIFS(Payments!$G$5:$G$2500,$K1748,Payments!$C$5:$C$2500,"&lt;&gt;")=0,"",_xlfn.MAXIFS(Payments!$C$5:$C$2500,Payments!$G$5:$G$2500,$K1748)))</f>
      </c>
      <c r="F1748" s="34">
        <f>IF(OR($D1748="",$K1748=""),"",SUMIF(Payments!$G$5:$G$2500,$K1748,Payments!$D$5:$D$2500))</f>
      </c>
      <c r="G1748" s="36">
        <f>IF($D1748="","",ROUND($D1748-IF($F1748="",0,$F1748),2))</f>
      </c>
      <c r="H1748" s="35">
        <f>IF(OR($D1748="",$K1748=""),"",COUNTIF(Payments!$G$5:$G$2500,$K1748))</f>
      </c>
      <c r="I1748" s="37">
        <f>IF($D1748="","",IF(OR($F1748="",$F1748=0),"Pending",IF(ROUND($F1748-$D1748,2)&gt;0,"Overpaid",IF(ROUND($F1748-$D1748,2)=0,"Paid","Partial"))))</f>
      </c>
      <c r="J1748" s="29"/>
      <c r="K1748">
        <f>IF($A1748="","","#"&amp;TRIM(SUBSTITUTE(SUBSTITUTE(SUBSTITUTE(SUBSTITUTE(SUBSTITUTE(SUBSTITUTE($A1748,"-",""),"(",""),")",""),".",""),"+","")," ","")))</f>
      </c>
    </row>
    <row r="1749" spans="1:11" x14ac:dyDescent="0.3">
      <c r="A1749" s="28"/>
      <c r="B1749" s="29"/>
      <c r="C1749" s="30"/>
      <c r="D1749" s="31"/>
      <c r="E1749" s="33">
        <f>IF(OR($D1749="",$K1749=""),"",IF(COUNTIFS(Payments!$G$5:$G$2500,$K1749,Payments!$C$5:$C$2500,"&lt;&gt;")=0,"",_xlfn.MAXIFS(Payments!$C$5:$C$2500,Payments!$G$5:$G$2500,$K1749)))</f>
      </c>
      <c r="F1749" s="34">
        <f>IF(OR($D1749="",$K1749=""),"",SUMIF(Payments!$G$5:$G$2500,$K1749,Payments!$D$5:$D$2500))</f>
      </c>
      <c r="G1749" s="36">
        <f>IF($D1749="","",ROUND($D1749-IF($F1749="",0,$F1749),2))</f>
      </c>
      <c r="H1749" s="35">
        <f>IF(OR($D1749="",$K1749=""),"",COUNTIF(Payments!$G$5:$G$2500,$K1749))</f>
      </c>
      <c r="I1749" s="37">
        <f>IF($D1749="","",IF(OR($F1749="",$F1749=0),"Pending",IF(ROUND($F1749-$D1749,2)&gt;0,"Overpaid",IF(ROUND($F1749-$D1749,2)=0,"Paid","Partial"))))</f>
      </c>
      <c r="J1749" s="29"/>
      <c r="K1749">
        <f>IF($A1749="","","#"&amp;TRIM(SUBSTITUTE(SUBSTITUTE(SUBSTITUTE(SUBSTITUTE(SUBSTITUTE(SUBSTITUTE($A1749,"-",""),"(",""),")",""),".",""),"+","")," ","")))</f>
      </c>
    </row>
    <row r="1750" spans="1:11" x14ac:dyDescent="0.3">
      <c r="A1750" s="28"/>
      <c r="B1750" s="29"/>
      <c r="C1750" s="30"/>
      <c r="D1750" s="31"/>
      <c r="E1750" s="33">
        <f>IF(OR($D1750="",$K1750=""),"",IF(COUNTIFS(Payments!$G$5:$G$2500,$K1750,Payments!$C$5:$C$2500,"&lt;&gt;")=0,"",_xlfn.MAXIFS(Payments!$C$5:$C$2500,Payments!$G$5:$G$2500,$K1750)))</f>
      </c>
      <c r="F1750" s="34">
        <f>IF(OR($D1750="",$K1750=""),"",SUMIF(Payments!$G$5:$G$2500,$K1750,Payments!$D$5:$D$2500))</f>
      </c>
      <c r="G1750" s="36">
        <f>IF($D1750="","",ROUND($D1750-IF($F1750="",0,$F1750),2))</f>
      </c>
      <c r="H1750" s="35">
        <f>IF(OR($D1750="",$K1750=""),"",COUNTIF(Payments!$G$5:$G$2500,$K1750))</f>
      </c>
      <c r="I1750" s="37">
        <f>IF($D1750="","",IF(OR($F1750="",$F1750=0),"Pending",IF(ROUND($F1750-$D1750,2)&gt;0,"Overpaid",IF(ROUND($F1750-$D1750,2)=0,"Paid","Partial"))))</f>
      </c>
      <c r="J1750" s="29"/>
      <c r="K1750">
        <f>IF($A1750="","","#"&amp;TRIM(SUBSTITUTE(SUBSTITUTE(SUBSTITUTE(SUBSTITUTE(SUBSTITUTE(SUBSTITUTE($A1750,"-",""),"(",""),")",""),".",""),"+","")," ","")))</f>
      </c>
    </row>
    <row r="1751" spans="1:11" x14ac:dyDescent="0.3">
      <c r="A1751" s="28"/>
      <c r="B1751" s="29"/>
      <c r="C1751" s="30"/>
      <c r="D1751" s="31"/>
      <c r="E1751" s="33">
        <f>IF(OR($D1751="",$K1751=""),"",IF(COUNTIFS(Payments!$G$5:$G$2500,$K1751,Payments!$C$5:$C$2500,"&lt;&gt;")=0,"",_xlfn.MAXIFS(Payments!$C$5:$C$2500,Payments!$G$5:$G$2500,$K1751)))</f>
      </c>
      <c r="F1751" s="34">
        <f>IF(OR($D1751="",$K1751=""),"",SUMIF(Payments!$G$5:$G$2500,$K1751,Payments!$D$5:$D$2500))</f>
      </c>
      <c r="G1751" s="36">
        <f>IF($D1751="","",ROUND($D1751-IF($F1751="",0,$F1751),2))</f>
      </c>
      <c r="H1751" s="35">
        <f>IF(OR($D1751="",$K1751=""),"",COUNTIF(Payments!$G$5:$G$2500,$K1751))</f>
      </c>
      <c r="I1751" s="37">
        <f>IF($D1751="","",IF(OR($F1751="",$F1751=0),"Pending",IF(ROUND($F1751-$D1751,2)&gt;0,"Overpaid",IF(ROUND($F1751-$D1751,2)=0,"Paid","Partial"))))</f>
      </c>
      <c r="J1751" s="29"/>
      <c r="K1751">
        <f>IF($A1751="","","#"&amp;TRIM(SUBSTITUTE(SUBSTITUTE(SUBSTITUTE(SUBSTITUTE(SUBSTITUTE(SUBSTITUTE($A1751,"-",""),"(",""),")",""),".",""),"+","")," ","")))</f>
      </c>
    </row>
    <row r="1752" spans="1:11" x14ac:dyDescent="0.3">
      <c r="A1752" s="28"/>
      <c r="B1752" s="29"/>
      <c r="C1752" s="30"/>
      <c r="D1752" s="31"/>
      <c r="E1752" s="33">
        <f>IF(OR($D1752="",$K1752=""),"",IF(COUNTIFS(Payments!$G$5:$G$2500,$K1752,Payments!$C$5:$C$2500,"&lt;&gt;")=0,"",_xlfn.MAXIFS(Payments!$C$5:$C$2500,Payments!$G$5:$G$2500,$K1752)))</f>
      </c>
      <c r="F1752" s="34">
        <f>IF(OR($D1752="",$K1752=""),"",SUMIF(Payments!$G$5:$G$2500,$K1752,Payments!$D$5:$D$2500))</f>
      </c>
      <c r="G1752" s="36">
        <f>IF($D1752="","",ROUND($D1752-IF($F1752="",0,$F1752),2))</f>
      </c>
      <c r="H1752" s="35">
        <f>IF(OR($D1752="",$K1752=""),"",COUNTIF(Payments!$G$5:$G$2500,$K1752))</f>
      </c>
      <c r="I1752" s="37">
        <f>IF($D1752="","",IF(OR($F1752="",$F1752=0),"Pending",IF(ROUND($F1752-$D1752,2)&gt;0,"Overpaid",IF(ROUND($F1752-$D1752,2)=0,"Paid","Partial"))))</f>
      </c>
      <c r="J1752" s="29"/>
      <c r="K1752">
        <f>IF($A1752="","","#"&amp;TRIM(SUBSTITUTE(SUBSTITUTE(SUBSTITUTE(SUBSTITUTE(SUBSTITUTE(SUBSTITUTE($A1752,"-",""),"(",""),")",""),".",""),"+","")," ","")))</f>
      </c>
    </row>
    <row r="1753" spans="1:11" x14ac:dyDescent="0.3">
      <c r="A1753" s="28"/>
      <c r="B1753" s="29"/>
      <c r="C1753" s="30"/>
      <c r="D1753" s="31"/>
      <c r="E1753" s="33">
        <f>IF(OR($D1753="",$K1753=""),"",IF(COUNTIFS(Payments!$G$5:$G$2500,$K1753,Payments!$C$5:$C$2500,"&lt;&gt;")=0,"",_xlfn.MAXIFS(Payments!$C$5:$C$2500,Payments!$G$5:$G$2500,$K1753)))</f>
      </c>
      <c r="F1753" s="34">
        <f>IF(OR($D1753="",$K1753=""),"",SUMIF(Payments!$G$5:$G$2500,$K1753,Payments!$D$5:$D$2500))</f>
      </c>
      <c r="G1753" s="36">
        <f>IF($D1753="","",ROUND($D1753-IF($F1753="",0,$F1753),2))</f>
      </c>
      <c r="H1753" s="35">
        <f>IF(OR($D1753="",$K1753=""),"",COUNTIF(Payments!$G$5:$G$2500,$K1753))</f>
      </c>
      <c r="I1753" s="37">
        <f>IF($D1753="","",IF(OR($F1753="",$F1753=0),"Pending",IF(ROUND($F1753-$D1753,2)&gt;0,"Overpaid",IF(ROUND($F1753-$D1753,2)=0,"Paid","Partial"))))</f>
      </c>
      <c r="J1753" s="29"/>
      <c r="K1753">
        <f>IF($A1753="","","#"&amp;TRIM(SUBSTITUTE(SUBSTITUTE(SUBSTITUTE(SUBSTITUTE(SUBSTITUTE(SUBSTITUTE($A1753,"-",""),"(",""),")",""),".",""),"+","")," ","")))</f>
      </c>
    </row>
    <row r="1754" spans="1:11" x14ac:dyDescent="0.3">
      <c r="A1754" s="28"/>
      <c r="B1754" s="29"/>
      <c r="C1754" s="30"/>
      <c r="D1754" s="31"/>
      <c r="E1754" s="33">
        <f>IF(OR($D1754="",$K1754=""),"",IF(COUNTIFS(Payments!$G$5:$G$2500,$K1754,Payments!$C$5:$C$2500,"&lt;&gt;")=0,"",_xlfn.MAXIFS(Payments!$C$5:$C$2500,Payments!$G$5:$G$2500,$K1754)))</f>
      </c>
      <c r="F1754" s="34">
        <f>IF(OR($D1754="",$K1754=""),"",SUMIF(Payments!$G$5:$G$2500,$K1754,Payments!$D$5:$D$2500))</f>
      </c>
      <c r="G1754" s="36">
        <f>IF($D1754="","",ROUND($D1754-IF($F1754="",0,$F1754),2))</f>
      </c>
      <c r="H1754" s="35">
        <f>IF(OR($D1754="",$K1754=""),"",COUNTIF(Payments!$G$5:$G$2500,$K1754))</f>
      </c>
      <c r="I1754" s="37">
        <f>IF($D1754="","",IF(OR($F1754="",$F1754=0),"Pending",IF(ROUND($F1754-$D1754,2)&gt;0,"Overpaid",IF(ROUND($F1754-$D1754,2)=0,"Paid","Partial"))))</f>
      </c>
      <c r="J1754" s="29"/>
      <c r="K1754">
        <f>IF($A1754="","","#"&amp;TRIM(SUBSTITUTE(SUBSTITUTE(SUBSTITUTE(SUBSTITUTE(SUBSTITUTE(SUBSTITUTE($A1754,"-",""),"(",""),")",""),".",""),"+","")," ","")))</f>
      </c>
    </row>
    <row r="1755" spans="1:11" x14ac:dyDescent="0.3">
      <c r="A1755" s="28"/>
      <c r="B1755" s="29"/>
      <c r="C1755" s="30"/>
      <c r="D1755" s="31"/>
      <c r="E1755" s="33">
        <f>IF(OR($D1755="",$K1755=""),"",IF(COUNTIFS(Payments!$G$5:$G$2500,$K1755,Payments!$C$5:$C$2500,"&lt;&gt;")=0,"",_xlfn.MAXIFS(Payments!$C$5:$C$2500,Payments!$G$5:$G$2500,$K1755)))</f>
      </c>
      <c r="F1755" s="34">
        <f>IF(OR($D1755="",$K1755=""),"",SUMIF(Payments!$G$5:$G$2500,$K1755,Payments!$D$5:$D$2500))</f>
      </c>
      <c r="G1755" s="36">
        <f>IF($D1755="","",ROUND($D1755-IF($F1755="",0,$F1755),2))</f>
      </c>
      <c r="H1755" s="35">
        <f>IF(OR($D1755="",$K1755=""),"",COUNTIF(Payments!$G$5:$G$2500,$K1755))</f>
      </c>
      <c r="I1755" s="37">
        <f>IF($D1755="","",IF(OR($F1755="",$F1755=0),"Pending",IF(ROUND($F1755-$D1755,2)&gt;0,"Overpaid",IF(ROUND($F1755-$D1755,2)=0,"Paid","Partial"))))</f>
      </c>
      <c r="J1755" s="29"/>
      <c r="K1755">
        <f>IF($A1755="","","#"&amp;TRIM(SUBSTITUTE(SUBSTITUTE(SUBSTITUTE(SUBSTITUTE(SUBSTITUTE(SUBSTITUTE($A1755,"-",""),"(",""),")",""),".",""),"+","")," ","")))</f>
      </c>
    </row>
    <row r="1756" spans="1:11" x14ac:dyDescent="0.3">
      <c r="A1756" s="28"/>
      <c r="B1756" s="29"/>
      <c r="C1756" s="30"/>
      <c r="D1756" s="31"/>
      <c r="E1756" s="33">
        <f>IF(OR($D1756="",$K1756=""),"",IF(COUNTIFS(Payments!$G$5:$G$2500,$K1756,Payments!$C$5:$C$2500,"&lt;&gt;")=0,"",_xlfn.MAXIFS(Payments!$C$5:$C$2500,Payments!$G$5:$G$2500,$K1756)))</f>
      </c>
      <c r="F1756" s="34">
        <f>IF(OR($D1756="",$K1756=""),"",SUMIF(Payments!$G$5:$G$2500,$K1756,Payments!$D$5:$D$2500))</f>
      </c>
      <c r="G1756" s="36">
        <f>IF($D1756="","",ROUND($D1756-IF($F1756="",0,$F1756),2))</f>
      </c>
      <c r="H1756" s="35">
        <f>IF(OR($D1756="",$K1756=""),"",COUNTIF(Payments!$G$5:$G$2500,$K1756))</f>
      </c>
      <c r="I1756" s="37">
        <f>IF($D1756="","",IF(OR($F1756="",$F1756=0),"Pending",IF(ROUND($F1756-$D1756,2)&gt;0,"Overpaid",IF(ROUND($F1756-$D1756,2)=0,"Paid","Partial"))))</f>
      </c>
      <c r="J1756" s="29"/>
      <c r="K1756">
        <f>IF($A1756="","","#"&amp;TRIM(SUBSTITUTE(SUBSTITUTE(SUBSTITUTE(SUBSTITUTE(SUBSTITUTE(SUBSTITUTE($A1756,"-",""),"(",""),")",""),".",""),"+","")," ","")))</f>
      </c>
    </row>
    <row r="1757" spans="1:11" x14ac:dyDescent="0.3">
      <c r="A1757" s="28"/>
      <c r="B1757" s="29"/>
      <c r="C1757" s="30"/>
      <c r="D1757" s="31"/>
      <c r="E1757" s="33">
        <f>IF(OR($D1757="",$K1757=""),"",IF(COUNTIFS(Payments!$G$5:$G$2500,$K1757,Payments!$C$5:$C$2500,"&lt;&gt;")=0,"",_xlfn.MAXIFS(Payments!$C$5:$C$2500,Payments!$G$5:$G$2500,$K1757)))</f>
      </c>
      <c r="F1757" s="34">
        <f>IF(OR($D1757="",$K1757=""),"",SUMIF(Payments!$G$5:$G$2500,$K1757,Payments!$D$5:$D$2500))</f>
      </c>
      <c r="G1757" s="36">
        <f>IF($D1757="","",ROUND($D1757-IF($F1757="",0,$F1757),2))</f>
      </c>
      <c r="H1757" s="35">
        <f>IF(OR($D1757="",$K1757=""),"",COUNTIF(Payments!$G$5:$G$2500,$K1757))</f>
      </c>
      <c r="I1757" s="37">
        <f>IF($D1757="","",IF(OR($F1757="",$F1757=0),"Pending",IF(ROUND($F1757-$D1757,2)&gt;0,"Overpaid",IF(ROUND($F1757-$D1757,2)=0,"Paid","Partial"))))</f>
      </c>
      <c r="J1757" s="29"/>
      <c r="K1757">
        <f>IF($A1757="","","#"&amp;TRIM(SUBSTITUTE(SUBSTITUTE(SUBSTITUTE(SUBSTITUTE(SUBSTITUTE(SUBSTITUTE($A1757,"-",""),"(",""),")",""),".",""),"+","")," ","")))</f>
      </c>
    </row>
    <row r="1758" spans="1:11" x14ac:dyDescent="0.3">
      <c r="A1758" s="28"/>
      <c r="B1758" s="29"/>
      <c r="C1758" s="30"/>
      <c r="D1758" s="31"/>
      <c r="E1758" s="33">
        <f>IF(OR($D1758="",$K1758=""),"",IF(COUNTIFS(Payments!$G$5:$G$2500,$K1758,Payments!$C$5:$C$2500,"&lt;&gt;")=0,"",_xlfn.MAXIFS(Payments!$C$5:$C$2500,Payments!$G$5:$G$2500,$K1758)))</f>
      </c>
      <c r="F1758" s="34">
        <f>IF(OR($D1758="",$K1758=""),"",SUMIF(Payments!$G$5:$G$2500,$K1758,Payments!$D$5:$D$2500))</f>
      </c>
      <c r="G1758" s="36">
        <f>IF($D1758="","",ROUND($D1758-IF($F1758="",0,$F1758),2))</f>
      </c>
      <c r="H1758" s="35">
        <f>IF(OR($D1758="",$K1758=""),"",COUNTIF(Payments!$G$5:$G$2500,$K1758))</f>
      </c>
      <c r="I1758" s="37">
        <f>IF($D1758="","",IF(OR($F1758="",$F1758=0),"Pending",IF(ROUND($F1758-$D1758,2)&gt;0,"Overpaid",IF(ROUND($F1758-$D1758,2)=0,"Paid","Partial"))))</f>
      </c>
      <c r="J1758" s="29"/>
      <c r="K1758">
        <f>IF($A1758="","","#"&amp;TRIM(SUBSTITUTE(SUBSTITUTE(SUBSTITUTE(SUBSTITUTE(SUBSTITUTE(SUBSTITUTE($A1758,"-",""),"(",""),")",""),".",""),"+","")," ","")))</f>
      </c>
    </row>
    <row r="1759" spans="1:11" x14ac:dyDescent="0.3">
      <c r="A1759" s="28"/>
      <c r="B1759" s="29"/>
      <c r="C1759" s="30"/>
      <c r="D1759" s="31"/>
      <c r="E1759" s="33">
        <f>IF(OR($D1759="",$K1759=""),"",IF(COUNTIFS(Payments!$G$5:$G$2500,$K1759,Payments!$C$5:$C$2500,"&lt;&gt;")=0,"",_xlfn.MAXIFS(Payments!$C$5:$C$2500,Payments!$G$5:$G$2500,$K1759)))</f>
      </c>
      <c r="F1759" s="34">
        <f>IF(OR($D1759="",$K1759=""),"",SUMIF(Payments!$G$5:$G$2500,$K1759,Payments!$D$5:$D$2500))</f>
      </c>
      <c r="G1759" s="36">
        <f>IF($D1759="","",ROUND($D1759-IF($F1759="",0,$F1759),2))</f>
      </c>
      <c r="H1759" s="35">
        <f>IF(OR($D1759="",$K1759=""),"",COUNTIF(Payments!$G$5:$G$2500,$K1759))</f>
      </c>
      <c r="I1759" s="37">
        <f>IF($D1759="","",IF(OR($F1759="",$F1759=0),"Pending",IF(ROUND($F1759-$D1759,2)&gt;0,"Overpaid",IF(ROUND($F1759-$D1759,2)=0,"Paid","Partial"))))</f>
      </c>
      <c r="J1759" s="29"/>
      <c r="K1759">
        <f>IF($A1759="","","#"&amp;TRIM(SUBSTITUTE(SUBSTITUTE(SUBSTITUTE(SUBSTITUTE(SUBSTITUTE(SUBSTITUTE($A1759,"-",""),"(",""),")",""),".",""),"+","")," ","")))</f>
      </c>
    </row>
    <row r="1760" spans="1:11" x14ac:dyDescent="0.3">
      <c r="A1760" s="28"/>
      <c r="B1760" s="29"/>
      <c r="C1760" s="30"/>
      <c r="D1760" s="31"/>
      <c r="E1760" s="33">
        <f>IF(OR($D1760="",$K1760=""),"",IF(COUNTIFS(Payments!$G$5:$G$2500,$K1760,Payments!$C$5:$C$2500,"&lt;&gt;")=0,"",_xlfn.MAXIFS(Payments!$C$5:$C$2500,Payments!$G$5:$G$2500,$K1760)))</f>
      </c>
      <c r="F1760" s="34">
        <f>IF(OR($D1760="",$K1760=""),"",SUMIF(Payments!$G$5:$G$2500,$K1760,Payments!$D$5:$D$2500))</f>
      </c>
      <c r="G1760" s="36">
        <f>IF($D1760="","",ROUND($D1760-IF($F1760="",0,$F1760),2))</f>
      </c>
      <c r="H1760" s="35">
        <f>IF(OR($D1760="",$K1760=""),"",COUNTIF(Payments!$G$5:$G$2500,$K1760))</f>
      </c>
      <c r="I1760" s="37">
        <f>IF($D1760="","",IF(OR($F1760="",$F1760=0),"Pending",IF(ROUND($F1760-$D1760,2)&gt;0,"Overpaid",IF(ROUND($F1760-$D1760,2)=0,"Paid","Partial"))))</f>
      </c>
      <c r="J1760" s="29"/>
      <c r="K1760">
        <f>IF($A1760="","","#"&amp;TRIM(SUBSTITUTE(SUBSTITUTE(SUBSTITUTE(SUBSTITUTE(SUBSTITUTE(SUBSTITUTE($A1760,"-",""),"(",""),")",""),".",""),"+","")," ","")))</f>
      </c>
    </row>
    <row r="1761" spans="1:11" x14ac:dyDescent="0.3">
      <c r="A1761" s="28"/>
      <c r="B1761" s="29"/>
      <c r="C1761" s="30"/>
      <c r="D1761" s="31"/>
      <c r="E1761" s="33">
        <f>IF(OR($D1761="",$K1761=""),"",IF(COUNTIFS(Payments!$G$5:$G$2500,$K1761,Payments!$C$5:$C$2500,"&lt;&gt;")=0,"",_xlfn.MAXIFS(Payments!$C$5:$C$2500,Payments!$G$5:$G$2500,$K1761)))</f>
      </c>
      <c r="F1761" s="34">
        <f>IF(OR($D1761="",$K1761=""),"",SUMIF(Payments!$G$5:$G$2500,$K1761,Payments!$D$5:$D$2500))</f>
      </c>
      <c r="G1761" s="36">
        <f>IF($D1761="","",ROUND($D1761-IF($F1761="",0,$F1761),2))</f>
      </c>
      <c r="H1761" s="35">
        <f>IF(OR($D1761="",$K1761=""),"",COUNTIF(Payments!$G$5:$G$2500,$K1761))</f>
      </c>
      <c r="I1761" s="37">
        <f>IF($D1761="","",IF(OR($F1761="",$F1761=0),"Pending",IF(ROUND($F1761-$D1761,2)&gt;0,"Overpaid",IF(ROUND($F1761-$D1761,2)=0,"Paid","Partial"))))</f>
      </c>
      <c r="J1761" s="29"/>
      <c r="K1761">
        <f>IF($A1761="","","#"&amp;TRIM(SUBSTITUTE(SUBSTITUTE(SUBSTITUTE(SUBSTITUTE(SUBSTITUTE(SUBSTITUTE($A1761,"-",""),"(",""),")",""),".",""),"+","")," ","")))</f>
      </c>
    </row>
    <row r="1762" spans="1:11" x14ac:dyDescent="0.3">
      <c r="A1762" s="28"/>
      <c r="B1762" s="29"/>
      <c r="C1762" s="30"/>
      <c r="D1762" s="31"/>
      <c r="E1762" s="33">
        <f>IF(OR($D1762="",$K1762=""),"",IF(COUNTIFS(Payments!$G$5:$G$2500,$K1762,Payments!$C$5:$C$2500,"&lt;&gt;")=0,"",_xlfn.MAXIFS(Payments!$C$5:$C$2500,Payments!$G$5:$G$2500,$K1762)))</f>
      </c>
      <c r="F1762" s="34">
        <f>IF(OR($D1762="",$K1762=""),"",SUMIF(Payments!$G$5:$G$2500,$K1762,Payments!$D$5:$D$2500))</f>
      </c>
      <c r="G1762" s="36">
        <f>IF($D1762="","",ROUND($D1762-IF($F1762="",0,$F1762),2))</f>
      </c>
      <c r="H1762" s="35">
        <f>IF(OR($D1762="",$K1762=""),"",COUNTIF(Payments!$G$5:$G$2500,$K1762))</f>
      </c>
      <c r="I1762" s="37">
        <f>IF($D1762="","",IF(OR($F1762="",$F1762=0),"Pending",IF(ROUND($F1762-$D1762,2)&gt;0,"Overpaid",IF(ROUND($F1762-$D1762,2)=0,"Paid","Partial"))))</f>
      </c>
      <c r="J1762" s="29"/>
      <c r="K1762">
        <f>IF($A1762="","","#"&amp;TRIM(SUBSTITUTE(SUBSTITUTE(SUBSTITUTE(SUBSTITUTE(SUBSTITUTE(SUBSTITUTE($A1762,"-",""),"(",""),")",""),".",""),"+","")," ","")))</f>
      </c>
    </row>
    <row r="1763" spans="1:11" x14ac:dyDescent="0.3">
      <c r="A1763" s="28"/>
      <c r="B1763" s="29"/>
      <c r="C1763" s="30"/>
      <c r="D1763" s="31"/>
      <c r="E1763" s="33">
        <f>IF(OR($D1763="",$K1763=""),"",IF(COUNTIFS(Payments!$G$5:$G$2500,$K1763,Payments!$C$5:$C$2500,"&lt;&gt;")=0,"",_xlfn.MAXIFS(Payments!$C$5:$C$2500,Payments!$G$5:$G$2500,$K1763)))</f>
      </c>
      <c r="F1763" s="34">
        <f>IF(OR($D1763="",$K1763=""),"",SUMIF(Payments!$G$5:$G$2500,$K1763,Payments!$D$5:$D$2500))</f>
      </c>
      <c r="G1763" s="36">
        <f>IF($D1763="","",ROUND($D1763-IF($F1763="",0,$F1763),2))</f>
      </c>
      <c r="H1763" s="35">
        <f>IF(OR($D1763="",$K1763=""),"",COUNTIF(Payments!$G$5:$G$2500,$K1763))</f>
      </c>
      <c r="I1763" s="37">
        <f>IF($D1763="","",IF(OR($F1763="",$F1763=0),"Pending",IF(ROUND($F1763-$D1763,2)&gt;0,"Overpaid",IF(ROUND($F1763-$D1763,2)=0,"Paid","Partial"))))</f>
      </c>
      <c r="J1763" s="29"/>
      <c r="K1763">
        <f>IF($A1763="","","#"&amp;TRIM(SUBSTITUTE(SUBSTITUTE(SUBSTITUTE(SUBSTITUTE(SUBSTITUTE(SUBSTITUTE($A1763,"-",""),"(",""),")",""),".",""),"+","")," ","")))</f>
      </c>
    </row>
    <row r="1764" spans="1:11" x14ac:dyDescent="0.3">
      <c r="A1764" s="28"/>
      <c r="B1764" s="29"/>
      <c r="C1764" s="30"/>
      <c r="D1764" s="31"/>
      <c r="E1764" s="33">
        <f>IF(OR($D1764="",$K1764=""),"",IF(COUNTIFS(Payments!$G$5:$G$2500,$K1764,Payments!$C$5:$C$2500,"&lt;&gt;")=0,"",_xlfn.MAXIFS(Payments!$C$5:$C$2500,Payments!$G$5:$G$2500,$K1764)))</f>
      </c>
      <c r="F1764" s="34">
        <f>IF(OR($D1764="",$K1764=""),"",SUMIF(Payments!$G$5:$G$2500,$K1764,Payments!$D$5:$D$2500))</f>
      </c>
      <c r="G1764" s="36">
        <f>IF($D1764="","",ROUND($D1764-IF($F1764="",0,$F1764),2))</f>
      </c>
      <c r="H1764" s="35">
        <f>IF(OR($D1764="",$K1764=""),"",COUNTIF(Payments!$G$5:$G$2500,$K1764))</f>
      </c>
      <c r="I1764" s="37">
        <f>IF($D1764="","",IF(OR($F1764="",$F1764=0),"Pending",IF(ROUND($F1764-$D1764,2)&gt;0,"Overpaid",IF(ROUND($F1764-$D1764,2)=0,"Paid","Partial"))))</f>
      </c>
      <c r="J1764" s="29"/>
      <c r="K1764">
        <f>IF($A1764="","","#"&amp;TRIM(SUBSTITUTE(SUBSTITUTE(SUBSTITUTE(SUBSTITUTE(SUBSTITUTE(SUBSTITUTE($A1764,"-",""),"(",""),")",""),".",""),"+","")," ","")))</f>
      </c>
    </row>
    <row r="1765" spans="1:11" x14ac:dyDescent="0.3">
      <c r="A1765" s="28"/>
      <c r="B1765" s="29"/>
      <c r="C1765" s="30"/>
      <c r="D1765" s="31"/>
      <c r="E1765" s="33">
        <f>IF(OR($D1765="",$K1765=""),"",IF(COUNTIFS(Payments!$G$5:$G$2500,$K1765,Payments!$C$5:$C$2500,"&lt;&gt;")=0,"",_xlfn.MAXIFS(Payments!$C$5:$C$2500,Payments!$G$5:$G$2500,$K1765)))</f>
      </c>
      <c r="F1765" s="34">
        <f>IF(OR($D1765="",$K1765=""),"",SUMIF(Payments!$G$5:$G$2500,$K1765,Payments!$D$5:$D$2500))</f>
      </c>
      <c r="G1765" s="36">
        <f>IF($D1765="","",ROUND($D1765-IF($F1765="",0,$F1765),2))</f>
      </c>
      <c r="H1765" s="35">
        <f>IF(OR($D1765="",$K1765=""),"",COUNTIF(Payments!$G$5:$G$2500,$K1765))</f>
      </c>
      <c r="I1765" s="37">
        <f>IF($D1765="","",IF(OR($F1765="",$F1765=0),"Pending",IF(ROUND($F1765-$D1765,2)&gt;0,"Overpaid",IF(ROUND($F1765-$D1765,2)=0,"Paid","Partial"))))</f>
      </c>
      <c r="J1765" s="29"/>
      <c r="K1765">
        <f>IF($A1765="","","#"&amp;TRIM(SUBSTITUTE(SUBSTITUTE(SUBSTITUTE(SUBSTITUTE(SUBSTITUTE(SUBSTITUTE($A1765,"-",""),"(",""),")",""),".",""),"+","")," ","")))</f>
      </c>
    </row>
    <row r="1766" spans="1:11" x14ac:dyDescent="0.3">
      <c r="A1766" s="28"/>
      <c r="B1766" s="29"/>
      <c r="C1766" s="30"/>
      <c r="D1766" s="31"/>
      <c r="E1766" s="33">
        <f>IF(OR($D1766="",$K1766=""),"",IF(COUNTIFS(Payments!$G$5:$G$2500,$K1766,Payments!$C$5:$C$2500,"&lt;&gt;")=0,"",_xlfn.MAXIFS(Payments!$C$5:$C$2500,Payments!$G$5:$G$2500,$K1766)))</f>
      </c>
      <c r="F1766" s="34">
        <f>IF(OR($D1766="",$K1766=""),"",SUMIF(Payments!$G$5:$G$2500,$K1766,Payments!$D$5:$D$2500))</f>
      </c>
      <c r="G1766" s="36">
        <f>IF($D1766="","",ROUND($D1766-IF($F1766="",0,$F1766),2))</f>
      </c>
      <c r="H1766" s="35">
        <f>IF(OR($D1766="",$K1766=""),"",COUNTIF(Payments!$G$5:$G$2500,$K1766))</f>
      </c>
      <c r="I1766" s="37">
        <f>IF($D1766="","",IF(OR($F1766="",$F1766=0),"Pending",IF(ROUND($F1766-$D1766,2)&gt;0,"Overpaid",IF(ROUND($F1766-$D1766,2)=0,"Paid","Partial"))))</f>
      </c>
      <c r="J1766" s="29"/>
      <c r="K1766">
        <f>IF($A1766="","","#"&amp;TRIM(SUBSTITUTE(SUBSTITUTE(SUBSTITUTE(SUBSTITUTE(SUBSTITUTE(SUBSTITUTE($A1766,"-",""),"(",""),")",""),".",""),"+","")," ","")))</f>
      </c>
    </row>
    <row r="1767" spans="1:11" x14ac:dyDescent="0.3">
      <c r="A1767" s="28"/>
      <c r="B1767" s="29"/>
      <c r="C1767" s="30"/>
      <c r="D1767" s="31"/>
      <c r="E1767" s="33">
        <f>IF(OR($D1767="",$K1767=""),"",IF(COUNTIFS(Payments!$G$5:$G$2500,$K1767,Payments!$C$5:$C$2500,"&lt;&gt;")=0,"",_xlfn.MAXIFS(Payments!$C$5:$C$2500,Payments!$G$5:$G$2500,$K1767)))</f>
      </c>
      <c r="F1767" s="34">
        <f>IF(OR($D1767="",$K1767=""),"",SUMIF(Payments!$G$5:$G$2500,$K1767,Payments!$D$5:$D$2500))</f>
      </c>
      <c r="G1767" s="36">
        <f>IF($D1767="","",ROUND($D1767-IF($F1767="",0,$F1767),2))</f>
      </c>
      <c r="H1767" s="35">
        <f>IF(OR($D1767="",$K1767=""),"",COUNTIF(Payments!$G$5:$G$2500,$K1767))</f>
      </c>
      <c r="I1767" s="37">
        <f>IF($D1767="","",IF(OR($F1767="",$F1767=0),"Pending",IF(ROUND($F1767-$D1767,2)&gt;0,"Overpaid",IF(ROUND($F1767-$D1767,2)=0,"Paid","Partial"))))</f>
      </c>
      <c r="J1767" s="29"/>
      <c r="K1767">
        <f>IF($A1767="","","#"&amp;TRIM(SUBSTITUTE(SUBSTITUTE(SUBSTITUTE(SUBSTITUTE(SUBSTITUTE(SUBSTITUTE($A1767,"-",""),"(",""),")",""),".",""),"+","")," ","")))</f>
      </c>
    </row>
    <row r="1768" spans="1:11" x14ac:dyDescent="0.3">
      <c r="A1768" s="28"/>
      <c r="B1768" s="29"/>
      <c r="C1768" s="30"/>
      <c r="D1768" s="31"/>
      <c r="E1768" s="33">
        <f>IF(OR($D1768="",$K1768=""),"",IF(COUNTIFS(Payments!$G$5:$G$2500,$K1768,Payments!$C$5:$C$2500,"&lt;&gt;")=0,"",_xlfn.MAXIFS(Payments!$C$5:$C$2500,Payments!$G$5:$G$2500,$K1768)))</f>
      </c>
      <c r="F1768" s="34">
        <f>IF(OR($D1768="",$K1768=""),"",SUMIF(Payments!$G$5:$G$2500,$K1768,Payments!$D$5:$D$2500))</f>
      </c>
      <c r="G1768" s="36">
        <f>IF($D1768="","",ROUND($D1768-IF($F1768="",0,$F1768),2))</f>
      </c>
      <c r="H1768" s="35">
        <f>IF(OR($D1768="",$K1768=""),"",COUNTIF(Payments!$G$5:$G$2500,$K1768))</f>
      </c>
      <c r="I1768" s="37">
        <f>IF($D1768="","",IF(OR($F1768="",$F1768=0),"Pending",IF(ROUND($F1768-$D1768,2)&gt;0,"Overpaid",IF(ROUND($F1768-$D1768,2)=0,"Paid","Partial"))))</f>
      </c>
      <c r="J1768" s="29"/>
      <c r="K1768">
        <f>IF($A1768="","","#"&amp;TRIM(SUBSTITUTE(SUBSTITUTE(SUBSTITUTE(SUBSTITUTE(SUBSTITUTE(SUBSTITUTE($A1768,"-",""),"(",""),")",""),".",""),"+","")," ","")))</f>
      </c>
    </row>
    <row r="1769" spans="1:11" x14ac:dyDescent="0.3">
      <c r="A1769" s="28"/>
      <c r="B1769" s="29"/>
      <c r="C1769" s="30"/>
      <c r="D1769" s="31"/>
      <c r="E1769" s="33">
        <f>IF(OR($D1769="",$K1769=""),"",IF(COUNTIFS(Payments!$G$5:$G$2500,$K1769,Payments!$C$5:$C$2500,"&lt;&gt;")=0,"",_xlfn.MAXIFS(Payments!$C$5:$C$2500,Payments!$G$5:$G$2500,$K1769)))</f>
      </c>
      <c r="F1769" s="34">
        <f>IF(OR($D1769="",$K1769=""),"",SUMIF(Payments!$G$5:$G$2500,$K1769,Payments!$D$5:$D$2500))</f>
      </c>
      <c r="G1769" s="36">
        <f>IF($D1769="","",ROUND($D1769-IF($F1769="",0,$F1769),2))</f>
      </c>
      <c r="H1769" s="35">
        <f>IF(OR($D1769="",$K1769=""),"",COUNTIF(Payments!$G$5:$G$2500,$K1769))</f>
      </c>
      <c r="I1769" s="37">
        <f>IF($D1769="","",IF(OR($F1769="",$F1769=0),"Pending",IF(ROUND($F1769-$D1769,2)&gt;0,"Overpaid",IF(ROUND($F1769-$D1769,2)=0,"Paid","Partial"))))</f>
      </c>
      <c r="J1769" s="29"/>
      <c r="K1769">
        <f>IF($A1769="","","#"&amp;TRIM(SUBSTITUTE(SUBSTITUTE(SUBSTITUTE(SUBSTITUTE(SUBSTITUTE(SUBSTITUTE($A1769,"-",""),"(",""),")",""),".",""),"+","")," ","")))</f>
      </c>
    </row>
    <row r="1770" spans="1:11" x14ac:dyDescent="0.3">
      <c r="A1770" s="28"/>
      <c r="B1770" s="29"/>
      <c r="C1770" s="30"/>
      <c r="D1770" s="31"/>
      <c r="E1770" s="33">
        <f>IF(OR($D1770="",$K1770=""),"",IF(COUNTIFS(Payments!$G$5:$G$2500,$K1770,Payments!$C$5:$C$2500,"&lt;&gt;")=0,"",_xlfn.MAXIFS(Payments!$C$5:$C$2500,Payments!$G$5:$G$2500,$K1770)))</f>
      </c>
      <c r="F1770" s="34">
        <f>IF(OR($D1770="",$K1770=""),"",SUMIF(Payments!$G$5:$G$2500,$K1770,Payments!$D$5:$D$2500))</f>
      </c>
      <c r="G1770" s="36">
        <f>IF($D1770="","",ROUND($D1770-IF($F1770="",0,$F1770),2))</f>
      </c>
      <c r="H1770" s="35">
        <f>IF(OR($D1770="",$K1770=""),"",COUNTIF(Payments!$G$5:$G$2500,$K1770))</f>
      </c>
      <c r="I1770" s="37">
        <f>IF($D1770="","",IF(OR($F1770="",$F1770=0),"Pending",IF(ROUND($F1770-$D1770,2)&gt;0,"Overpaid",IF(ROUND($F1770-$D1770,2)=0,"Paid","Partial"))))</f>
      </c>
      <c r="J1770" s="29"/>
      <c r="K1770">
        <f>IF($A1770="","","#"&amp;TRIM(SUBSTITUTE(SUBSTITUTE(SUBSTITUTE(SUBSTITUTE(SUBSTITUTE(SUBSTITUTE($A1770,"-",""),"(",""),")",""),".",""),"+","")," ","")))</f>
      </c>
    </row>
    <row r="1771" spans="1:11" x14ac:dyDescent="0.3">
      <c r="A1771" s="28"/>
      <c r="B1771" s="29"/>
      <c r="C1771" s="30"/>
      <c r="D1771" s="31"/>
      <c r="E1771" s="33">
        <f>IF(OR($D1771="",$K1771=""),"",IF(COUNTIFS(Payments!$G$5:$G$2500,$K1771,Payments!$C$5:$C$2500,"&lt;&gt;")=0,"",_xlfn.MAXIFS(Payments!$C$5:$C$2500,Payments!$G$5:$G$2500,$K1771)))</f>
      </c>
      <c r="F1771" s="34">
        <f>IF(OR($D1771="",$K1771=""),"",SUMIF(Payments!$G$5:$G$2500,$K1771,Payments!$D$5:$D$2500))</f>
      </c>
      <c r="G1771" s="36">
        <f>IF($D1771="","",ROUND($D1771-IF($F1771="",0,$F1771),2))</f>
      </c>
      <c r="H1771" s="35">
        <f>IF(OR($D1771="",$K1771=""),"",COUNTIF(Payments!$G$5:$G$2500,$K1771))</f>
      </c>
      <c r="I1771" s="37">
        <f>IF($D1771="","",IF(OR($F1771="",$F1771=0),"Pending",IF(ROUND($F1771-$D1771,2)&gt;0,"Overpaid",IF(ROUND($F1771-$D1771,2)=0,"Paid","Partial"))))</f>
      </c>
      <c r="J1771" s="29"/>
      <c r="K1771">
        <f>IF($A1771="","","#"&amp;TRIM(SUBSTITUTE(SUBSTITUTE(SUBSTITUTE(SUBSTITUTE(SUBSTITUTE(SUBSTITUTE($A1771,"-",""),"(",""),")",""),".",""),"+","")," ","")))</f>
      </c>
    </row>
    <row r="1772" spans="1:11" x14ac:dyDescent="0.3">
      <c r="A1772" s="28"/>
      <c r="B1772" s="29"/>
      <c r="C1772" s="30"/>
      <c r="D1772" s="31"/>
      <c r="E1772" s="33">
        <f>IF(OR($D1772="",$K1772=""),"",IF(COUNTIFS(Payments!$G$5:$G$2500,$K1772,Payments!$C$5:$C$2500,"&lt;&gt;")=0,"",_xlfn.MAXIFS(Payments!$C$5:$C$2500,Payments!$G$5:$G$2500,$K1772)))</f>
      </c>
      <c r="F1772" s="34">
        <f>IF(OR($D1772="",$K1772=""),"",SUMIF(Payments!$G$5:$G$2500,$K1772,Payments!$D$5:$D$2500))</f>
      </c>
      <c r="G1772" s="36">
        <f>IF($D1772="","",ROUND($D1772-IF($F1772="",0,$F1772),2))</f>
      </c>
      <c r="H1772" s="35">
        <f>IF(OR($D1772="",$K1772=""),"",COUNTIF(Payments!$G$5:$G$2500,$K1772))</f>
      </c>
      <c r="I1772" s="37">
        <f>IF($D1772="","",IF(OR($F1772="",$F1772=0),"Pending",IF(ROUND($F1772-$D1772,2)&gt;0,"Overpaid",IF(ROUND($F1772-$D1772,2)=0,"Paid","Partial"))))</f>
      </c>
      <c r="J1772" s="29"/>
      <c r="K1772">
        <f>IF($A1772="","","#"&amp;TRIM(SUBSTITUTE(SUBSTITUTE(SUBSTITUTE(SUBSTITUTE(SUBSTITUTE(SUBSTITUTE($A1772,"-",""),"(",""),")",""),".",""),"+","")," ","")))</f>
      </c>
    </row>
    <row r="1773" spans="1:11" x14ac:dyDescent="0.3">
      <c r="A1773" s="28"/>
      <c r="B1773" s="29"/>
      <c r="C1773" s="30"/>
      <c r="D1773" s="31"/>
      <c r="E1773" s="33">
        <f>IF(OR($D1773="",$K1773=""),"",IF(COUNTIFS(Payments!$G$5:$G$2500,$K1773,Payments!$C$5:$C$2500,"&lt;&gt;")=0,"",_xlfn.MAXIFS(Payments!$C$5:$C$2500,Payments!$G$5:$G$2500,$K1773)))</f>
      </c>
      <c r="F1773" s="34">
        <f>IF(OR($D1773="",$K1773=""),"",SUMIF(Payments!$G$5:$G$2500,$K1773,Payments!$D$5:$D$2500))</f>
      </c>
      <c r="G1773" s="36">
        <f>IF($D1773="","",ROUND($D1773-IF($F1773="",0,$F1773),2))</f>
      </c>
      <c r="H1773" s="35">
        <f>IF(OR($D1773="",$K1773=""),"",COUNTIF(Payments!$G$5:$G$2500,$K1773))</f>
      </c>
      <c r="I1773" s="37">
        <f>IF($D1773="","",IF(OR($F1773="",$F1773=0),"Pending",IF(ROUND($F1773-$D1773,2)&gt;0,"Overpaid",IF(ROUND($F1773-$D1773,2)=0,"Paid","Partial"))))</f>
      </c>
      <c r="J1773" s="29"/>
      <c r="K1773">
        <f>IF($A1773="","","#"&amp;TRIM(SUBSTITUTE(SUBSTITUTE(SUBSTITUTE(SUBSTITUTE(SUBSTITUTE(SUBSTITUTE($A1773,"-",""),"(",""),")",""),".",""),"+","")," ","")))</f>
      </c>
    </row>
    <row r="1774" spans="1:11" x14ac:dyDescent="0.3">
      <c r="A1774" s="28"/>
      <c r="B1774" s="29"/>
      <c r="C1774" s="30"/>
      <c r="D1774" s="31"/>
      <c r="E1774" s="33">
        <f>IF(OR($D1774="",$K1774=""),"",IF(COUNTIFS(Payments!$G$5:$G$2500,$K1774,Payments!$C$5:$C$2500,"&lt;&gt;")=0,"",_xlfn.MAXIFS(Payments!$C$5:$C$2500,Payments!$G$5:$G$2500,$K1774)))</f>
      </c>
      <c r="F1774" s="34">
        <f>IF(OR($D1774="",$K1774=""),"",SUMIF(Payments!$G$5:$G$2500,$K1774,Payments!$D$5:$D$2500))</f>
      </c>
      <c r="G1774" s="36">
        <f>IF($D1774="","",ROUND($D1774-IF($F1774="",0,$F1774),2))</f>
      </c>
      <c r="H1774" s="35">
        <f>IF(OR($D1774="",$K1774=""),"",COUNTIF(Payments!$G$5:$G$2500,$K1774))</f>
      </c>
      <c r="I1774" s="37">
        <f>IF($D1774="","",IF(OR($F1774="",$F1774=0),"Pending",IF(ROUND($F1774-$D1774,2)&gt;0,"Overpaid",IF(ROUND($F1774-$D1774,2)=0,"Paid","Partial"))))</f>
      </c>
      <c r="J1774" s="29"/>
      <c r="K1774">
        <f>IF($A1774="","","#"&amp;TRIM(SUBSTITUTE(SUBSTITUTE(SUBSTITUTE(SUBSTITUTE(SUBSTITUTE(SUBSTITUTE($A1774,"-",""),"(",""),")",""),".",""),"+","")," ","")))</f>
      </c>
    </row>
    <row r="1775" spans="1:11" x14ac:dyDescent="0.3">
      <c r="A1775" s="28"/>
      <c r="B1775" s="29"/>
      <c r="C1775" s="30"/>
      <c r="D1775" s="31"/>
      <c r="E1775" s="33">
        <f>IF(OR($D1775="",$K1775=""),"",IF(COUNTIFS(Payments!$G$5:$G$2500,$K1775,Payments!$C$5:$C$2500,"&lt;&gt;")=0,"",_xlfn.MAXIFS(Payments!$C$5:$C$2500,Payments!$G$5:$G$2500,$K1775)))</f>
      </c>
      <c r="F1775" s="34">
        <f>IF(OR($D1775="",$K1775=""),"",SUMIF(Payments!$G$5:$G$2500,$K1775,Payments!$D$5:$D$2500))</f>
      </c>
      <c r="G1775" s="36">
        <f>IF($D1775="","",ROUND($D1775-IF($F1775="",0,$F1775),2))</f>
      </c>
      <c r="H1775" s="35">
        <f>IF(OR($D1775="",$K1775=""),"",COUNTIF(Payments!$G$5:$G$2500,$K1775))</f>
      </c>
      <c r="I1775" s="37">
        <f>IF($D1775="","",IF(OR($F1775="",$F1775=0),"Pending",IF(ROUND($F1775-$D1775,2)&gt;0,"Overpaid",IF(ROUND($F1775-$D1775,2)=0,"Paid","Partial"))))</f>
      </c>
      <c r="J1775" s="29"/>
      <c r="K1775">
        <f>IF($A1775="","","#"&amp;TRIM(SUBSTITUTE(SUBSTITUTE(SUBSTITUTE(SUBSTITUTE(SUBSTITUTE(SUBSTITUTE($A1775,"-",""),"(",""),")",""),".",""),"+","")," ","")))</f>
      </c>
    </row>
    <row r="1776" spans="1:11" x14ac:dyDescent="0.3">
      <c r="A1776" s="28"/>
      <c r="B1776" s="29"/>
      <c r="C1776" s="30"/>
      <c r="D1776" s="31"/>
      <c r="E1776" s="33">
        <f>IF(OR($D1776="",$K1776=""),"",IF(COUNTIFS(Payments!$G$5:$G$2500,$K1776,Payments!$C$5:$C$2500,"&lt;&gt;")=0,"",_xlfn.MAXIFS(Payments!$C$5:$C$2500,Payments!$G$5:$G$2500,$K1776)))</f>
      </c>
      <c r="F1776" s="34">
        <f>IF(OR($D1776="",$K1776=""),"",SUMIF(Payments!$G$5:$G$2500,$K1776,Payments!$D$5:$D$2500))</f>
      </c>
      <c r="G1776" s="36">
        <f>IF($D1776="","",ROUND($D1776-IF($F1776="",0,$F1776),2))</f>
      </c>
      <c r="H1776" s="35">
        <f>IF(OR($D1776="",$K1776=""),"",COUNTIF(Payments!$G$5:$G$2500,$K1776))</f>
      </c>
      <c r="I1776" s="37">
        <f>IF($D1776="","",IF(OR($F1776="",$F1776=0),"Pending",IF(ROUND($F1776-$D1776,2)&gt;0,"Overpaid",IF(ROUND($F1776-$D1776,2)=0,"Paid","Partial"))))</f>
      </c>
      <c r="J1776" s="29"/>
      <c r="K1776">
        <f>IF($A1776="","","#"&amp;TRIM(SUBSTITUTE(SUBSTITUTE(SUBSTITUTE(SUBSTITUTE(SUBSTITUTE(SUBSTITUTE($A1776,"-",""),"(",""),")",""),".",""),"+","")," ","")))</f>
      </c>
    </row>
    <row r="1777" spans="1:11" x14ac:dyDescent="0.3">
      <c r="A1777" s="28"/>
      <c r="B1777" s="29"/>
      <c r="C1777" s="30"/>
      <c r="D1777" s="31"/>
      <c r="E1777" s="33">
        <f>IF(OR($D1777="",$K1777=""),"",IF(COUNTIFS(Payments!$G$5:$G$2500,$K1777,Payments!$C$5:$C$2500,"&lt;&gt;")=0,"",_xlfn.MAXIFS(Payments!$C$5:$C$2500,Payments!$G$5:$G$2500,$K1777)))</f>
      </c>
      <c r="F1777" s="34">
        <f>IF(OR($D1777="",$K1777=""),"",SUMIF(Payments!$G$5:$G$2500,$K1777,Payments!$D$5:$D$2500))</f>
      </c>
      <c r="G1777" s="36">
        <f>IF($D1777="","",ROUND($D1777-IF($F1777="",0,$F1777),2))</f>
      </c>
      <c r="H1777" s="35">
        <f>IF(OR($D1777="",$K1777=""),"",COUNTIF(Payments!$G$5:$G$2500,$K1777))</f>
      </c>
      <c r="I1777" s="37">
        <f>IF($D1777="","",IF(OR($F1777="",$F1777=0),"Pending",IF(ROUND($F1777-$D1777,2)&gt;0,"Overpaid",IF(ROUND($F1777-$D1777,2)=0,"Paid","Partial"))))</f>
      </c>
      <c r="J1777" s="29"/>
      <c r="K1777">
        <f>IF($A1777="","","#"&amp;TRIM(SUBSTITUTE(SUBSTITUTE(SUBSTITUTE(SUBSTITUTE(SUBSTITUTE(SUBSTITUTE($A1777,"-",""),"(",""),")",""),".",""),"+","")," ","")))</f>
      </c>
    </row>
    <row r="1778" spans="1:11" x14ac:dyDescent="0.3">
      <c r="A1778" s="28"/>
      <c r="B1778" s="29"/>
      <c r="C1778" s="30"/>
      <c r="D1778" s="31"/>
      <c r="E1778" s="33">
        <f>IF(OR($D1778="",$K1778=""),"",IF(COUNTIFS(Payments!$G$5:$G$2500,$K1778,Payments!$C$5:$C$2500,"&lt;&gt;")=0,"",_xlfn.MAXIFS(Payments!$C$5:$C$2500,Payments!$G$5:$G$2500,$K1778)))</f>
      </c>
      <c r="F1778" s="34">
        <f>IF(OR($D1778="",$K1778=""),"",SUMIF(Payments!$G$5:$G$2500,$K1778,Payments!$D$5:$D$2500))</f>
      </c>
      <c r="G1778" s="36">
        <f>IF($D1778="","",ROUND($D1778-IF($F1778="",0,$F1778),2))</f>
      </c>
      <c r="H1778" s="35">
        <f>IF(OR($D1778="",$K1778=""),"",COUNTIF(Payments!$G$5:$G$2500,$K1778))</f>
      </c>
      <c r="I1778" s="37">
        <f>IF($D1778="","",IF(OR($F1778="",$F1778=0),"Pending",IF(ROUND($F1778-$D1778,2)&gt;0,"Overpaid",IF(ROUND($F1778-$D1778,2)=0,"Paid","Partial"))))</f>
      </c>
      <c r="J1778" s="29"/>
      <c r="K1778">
        <f>IF($A1778="","","#"&amp;TRIM(SUBSTITUTE(SUBSTITUTE(SUBSTITUTE(SUBSTITUTE(SUBSTITUTE(SUBSTITUTE($A1778,"-",""),"(",""),")",""),".",""),"+","")," ","")))</f>
      </c>
    </row>
    <row r="1779" spans="1:11" x14ac:dyDescent="0.3">
      <c r="A1779" s="28"/>
      <c r="B1779" s="29"/>
      <c r="C1779" s="30"/>
      <c r="D1779" s="31"/>
      <c r="E1779" s="33">
        <f>IF(OR($D1779="",$K1779=""),"",IF(COUNTIFS(Payments!$G$5:$G$2500,$K1779,Payments!$C$5:$C$2500,"&lt;&gt;")=0,"",_xlfn.MAXIFS(Payments!$C$5:$C$2500,Payments!$G$5:$G$2500,$K1779)))</f>
      </c>
      <c r="F1779" s="34">
        <f>IF(OR($D1779="",$K1779=""),"",SUMIF(Payments!$G$5:$G$2500,$K1779,Payments!$D$5:$D$2500))</f>
      </c>
      <c r="G1779" s="36">
        <f>IF($D1779="","",ROUND($D1779-IF($F1779="",0,$F1779),2))</f>
      </c>
      <c r="H1779" s="35">
        <f>IF(OR($D1779="",$K1779=""),"",COUNTIF(Payments!$G$5:$G$2500,$K1779))</f>
      </c>
      <c r="I1779" s="37">
        <f>IF($D1779="","",IF(OR($F1779="",$F1779=0),"Pending",IF(ROUND($F1779-$D1779,2)&gt;0,"Overpaid",IF(ROUND($F1779-$D1779,2)=0,"Paid","Partial"))))</f>
      </c>
      <c r="J1779" s="29"/>
      <c r="K1779">
        <f>IF($A1779="","","#"&amp;TRIM(SUBSTITUTE(SUBSTITUTE(SUBSTITUTE(SUBSTITUTE(SUBSTITUTE(SUBSTITUTE($A1779,"-",""),"(",""),")",""),".",""),"+","")," ","")))</f>
      </c>
    </row>
    <row r="1780" spans="1:11" x14ac:dyDescent="0.3">
      <c r="A1780" s="28"/>
      <c r="B1780" s="29"/>
      <c r="C1780" s="30"/>
      <c r="D1780" s="31"/>
      <c r="E1780" s="33">
        <f>IF(OR($D1780="",$K1780=""),"",IF(COUNTIFS(Payments!$G$5:$G$2500,$K1780,Payments!$C$5:$C$2500,"&lt;&gt;")=0,"",_xlfn.MAXIFS(Payments!$C$5:$C$2500,Payments!$G$5:$G$2500,$K1780)))</f>
      </c>
      <c r="F1780" s="34">
        <f>IF(OR($D1780="",$K1780=""),"",SUMIF(Payments!$G$5:$G$2500,$K1780,Payments!$D$5:$D$2500))</f>
      </c>
      <c r="G1780" s="36">
        <f>IF($D1780="","",ROUND($D1780-IF($F1780="",0,$F1780),2))</f>
      </c>
      <c r="H1780" s="35">
        <f>IF(OR($D1780="",$K1780=""),"",COUNTIF(Payments!$G$5:$G$2500,$K1780))</f>
      </c>
      <c r="I1780" s="37">
        <f>IF($D1780="","",IF(OR($F1780="",$F1780=0),"Pending",IF(ROUND($F1780-$D1780,2)&gt;0,"Overpaid",IF(ROUND($F1780-$D1780,2)=0,"Paid","Partial"))))</f>
      </c>
      <c r="J1780" s="29"/>
      <c r="K1780">
        <f>IF($A1780="","","#"&amp;TRIM(SUBSTITUTE(SUBSTITUTE(SUBSTITUTE(SUBSTITUTE(SUBSTITUTE(SUBSTITUTE($A1780,"-",""),"(",""),")",""),".",""),"+","")," ","")))</f>
      </c>
    </row>
    <row r="1781" spans="1:11" x14ac:dyDescent="0.3">
      <c r="A1781" s="28"/>
      <c r="B1781" s="29"/>
      <c r="C1781" s="30"/>
      <c r="D1781" s="31"/>
      <c r="E1781" s="33">
        <f>IF(OR($D1781="",$K1781=""),"",IF(COUNTIFS(Payments!$G$5:$G$2500,$K1781,Payments!$C$5:$C$2500,"&lt;&gt;")=0,"",_xlfn.MAXIFS(Payments!$C$5:$C$2500,Payments!$G$5:$G$2500,$K1781)))</f>
      </c>
      <c r="F1781" s="34">
        <f>IF(OR($D1781="",$K1781=""),"",SUMIF(Payments!$G$5:$G$2500,$K1781,Payments!$D$5:$D$2500))</f>
      </c>
      <c r="G1781" s="36">
        <f>IF($D1781="","",ROUND($D1781-IF($F1781="",0,$F1781),2))</f>
      </c>
      <c r="H1781" s="35">
        <f>IF(OR($D1781="",$K1781=""),"",COUNTIF(Payments!$G$5:$G$2500,$K1781))</f>
      </c>
      <c r="I1781" s="37">
        <f>IF($D1781="","",IF(OR($F1781="",$F1781=0),"Pending",IF(ROUND($F1781-$D1781,2)&gt;0,"Overpaid",IF(ROUND($F1781-$D1781,2)=0,"Paid","Partial"))))</f>
      </c>
      <c r="J1781" s="29"/>
      <c r="K1781">
        <f>IF($A1781="","","#"&amp;TRIM(SUBSTITUTE(SUBSTITUTE(SUBSTITUTE(SUBSTITUTE(SUBSTITUTE(SUBSTITUTE($A1781,"-",""),"(",""),")",""),".",""),"+","")," ","")))</f>
      </c>
    </row>
    <row r="1782" spans="1:11" x14ac:dyDescent="0.3">
      <c r="A1782" s="28"/>
      <c r="B1782" s="29"/>
      <c r="C1782" s="30"/>
      <c r="D1782" s="31"/>
      <c r="E1782" s="33">
        <f>IF(OR($D1782="",$K1782=""),"",IF(COUNTIFS(Payments!$G$5:$G$2500,$K1782,Payments!$C$5:$C$2500,"&lt;&gt;")=0,"",_xlfn.MAXIFS(Payments!$C$5:$C$2500,Payments!$G$5:$G$2500,$K1782)))</f>
      </c>
      <c r="F1782" s="34">
        <f>IF(OR($D1782="",$K1782=""),"",SUMIF(Payments!$G$5:$G$2500,$K1782,Payments!$D$5:$D$2500))</f>
      </c>
      <c r="G1782" s="36">
        <f>IF($D1782="","",ROUND($D1782-IF($F1782="",0,$F1782),2))</f>
      </c>
      <c r="H1782" s="35">
        <f>IF(OR($D1782="",$K1782=""),"",COUNTIF(Payments!$G$5:$G$2500,$K1782))</f>
      </c>
      <c r="I1782" s="37">
        <f>IF($D1782="","",IF(OR($F1782="",$F1782=0),"Pending",IF(ROUND($F1782-$D1782,2)&gt;0,"Overpaid",IF(ROUND($F1782-$D1782,2)=0,"Paid","Partial"))))</f>
      </c>
      <c r="J1782" s="29"/>
      <c r="K1782">
        <f>IF($A1782="","","#"&amp;TRIM(SUBSTITUTE(SUBSTITUTE(SUBSTITUTE(SUBSTITUTE(SUBSTITUTE(SUBSTITUTE($A1782,"-",""),"(",""),")",""),".",""),"+","")," ","")))</f>
      </c>
    </row>
    <row r="1783" spans="1:11" x14ac:dyDescent="0.3">
      <c r="A1783" s="28"/>
      <c r="B1783" s="29"/>
      <c r="C1783" s="30"/>
      <c r="D1783" s="31"/>
      <c r="E1783" s="33">
        <f>IF(OR($D1783="",$K1783=""),"",IF(COUNTIFS(Payments!$G$5:$G$2500,$K1783,Payments!$C$5:$C$2500,"&lt;&gt;")=0,"",_xlfn.MAXIFS(Payments!$C$5:$C$2500,Payments!$G$5:$G$2500,$K1783)))</f>
      </c>
      <c r="F1783" s="34">
        <f>IF(OR($D1783="",$K1783=""),"",SUMIF(Payments!$G$5:$G$2500,$K1783,Payments!$D$5:$D$2500))</f>
      </c>
      <c r="G1783" s="36">
        <f>IF($D1783="","",ROUND($D1783-IF($F1783="",0,$F1783),2))</f>
      </c>
      <c r="H1783" s="35">
        <f>IF(OR($D1783="",$K1783=""),"",COUNTIF(Payments!$G$5:$G$2500,$K1783))</f>
      </c>
      <c r="I1783" s="37">
        <f>IF($D1783="","",IF(OR($F1783="",$F1783=0),"Pending",IF(ROUND($F1783-$D1783,2)&gt;0,"Overpaid",IF(ROUND($F1783-$D1783,2)=0,"Paid","Partial"))))</f>
      </c>
      <c r="J1783" s="29"/>
      <c r="K1783">
        <f>IF($A1783="","","#"&amp;TRIM(SUBSTITUTE(SUBSTITUTE(SUBSTITUTE(SUBSTITUTE(SUBSTITUTE(SUBSTITUTE($A1783,"-",""),"(",""),")",""),".",""),"+","")," ","")))</f>
      </c>
    </row>
    <row r="1784" spans="1:11" x14ac:dyDescent="0.3">
      <c r="A1784" s="28"/>
      <c r="B1784" s="29"/>
      <c r="C1784" s="30"/>
      <c r="D1784" s="31"/>
      <c r="E1784" s="33">
        <f>IF(OR($D1784="",$K1784=""),"",IF(COUNTIFS(Payments!$G$5:$G$2500,$K1784,Payments!$C$5:$C$2500,"&lt;&gt;")=0,"",_xlfn.MAXIFS(Payments!$C$5:$C$2500,Payments!$G$5:$G$2500,$K1784)))</f>
      </c>
      <c r="F1784" s="34">
        <f>IF(OR($D1784="",$K1784=""),"",SUMIF(Payments!$G$5:$G$2500,$K1784,Payments!$D$5:$D$2500))</f>
      </c>
      <c r="G1784" s="36">
        <f>IF($D1784="","",ROUND($D1784-IF($F1784="",0,$F1784),2))</f>
      </c>
      <c r="H1784" s="35">
        <f>IF(OR($D1784="",$K1784=""),"",COUNTIF(Payments!$G$5:$G$2500,$K1784))</f>
      </c>
      <c r="I1784" s="37">
        <f>IF($D1784="","",IF(OR($F1784="",$F1784=0),"Pending",IF(ROUND($F1784-$D1784,2)&gt;0,"Overpaid",IF(ROUND($F1784-$D1784,2)=0,"Paid","Partial"))))</f>
      </c>
      <c r="J1784" s="29"/>
      <c r="K1784">
        <f>IF($A1784="","","#"&amp;TRIM(SUBSTITUTE(SUBSTITUTE(SUBSTITUTE(SUBSTITUTE(SUBSTITUTE(SUBSTITUTE($A1784,"-",""),"(",""),")",""),".",""),"+","")," ","")))</f>
      </c>
    </row>
    <row r="1785" spans="1:11" x14ac:dyDescent="0.3">
      <c r="A1785" s="28"/>
      <c r="B1785" s="29"/>
      <c r="C1785" s="30"/>
      <c r="D1785" s="31"/>
      <c r="E1785" s="33">
        <f>IF(OR($D1785="",$K1785=""),"",IF(COUNTIFS(Payments!$G$5:$G$2500,$K1785,Payments!$C$5:$C$2500,"&lt;&gt;")=0,"",_xlfn.MAXIFS(Payments!$C$5:$C$2500,Payments!$G$5:$G$2500,$K1785)))</f>
      </c>
      <c r="F1785" s="34">
        <f>IF(OR($D1785="",$K1785=""),"",SUMIF(Payments!$G$5:$G$2500,$K1785,Payments!$D$5:$D$2500))</f>
      </c>
      <c r="G1785" s="36">
        <f>IF($D1785="","",ROUND($D1785-IF($F1785="",0,$F1785),2))</f>
      </c>
      <c r="H1785" s="35">
        <f>IF(OR($D1785="",$K1785=""),"",COUNTIF(Payments!$G$5:$G$2500,$K1785))</f>
      </c>
      <c r="I1785" s="37">
        <f>IF($D1785="","",IF(OR($F1785="",$F1785=0),"Pending",IF(ROUND($F1785-$D1785,2)&gt;0,"Overpaid",IF(ROUND($F1785-$D1785,2)=0,"Paid","Partial"))))</f>
      </c>
      <c r="J1785" s="29"/>
      <c r="K1785">
        <f>IF($A1785="","","#"&amp;TRIM(SUBSTITUTE(SUBSTITUTE(SUBSTITUTE(SUBSTITUTE(SUBSTITUTE(SUBSTITUTE($A1785,"-",""),"(",""),")",""),".",""),"+","")," ","")))</f>
      </c>
    </row>
    <row r="1786" spans="1:11" x14ac:dyDescent="0.3">
      <c r="A1786" s="28"/>
      <c r="B1786" s="29"/>
      <c r="C1786" s="30"/>
      <c r="D1786" s="31"/>
      <c r="E1786" s="33">
        <f>IF(OR($D1786="",$K1786=""),"",IF(COUNTIFS(Payments!$G$5:$G$2500,$K1786,Payments!$C$5:$C$2500,"&lt;&gt;")=0,"",_xlfn.MAXIFS(Payments!$C$5:$C$2500,Payments!$G$5:$G$2500,$K1786)))</f>
      </c>
      <c r="F1786" s="34">
        <f>IF(OR($D1786="",$K1786=""),"",SUMIF(Payments!$G$5:$G$2500,$K1786,Payments!$D$5:$D$2500))</f>
      </c>
      <c r="G1786" s="36">
        <f>IF($D1786="","",ROUND($D1786-IF($F1786="",0,$F1786),2))</f>
      </c>
      <c r="H1786" s="35">
        <f>IF(OR($D1786="",$K1786=""),"",COUNTIF(Payments!$G$5:$G$2500,$K1786))</f>
      </c>
      <c r="I1786" s="37">
        <f>IF($D1786="","",IF(OR($F1786="",$F1786=0),"Pending",IF(ROUND($F1786-$D1786,2)&gt;0,"Overpaid",IF(ROUND($F1786-$D1786,2)=0,"Paid","Partial"))))</f>
      </c>
      <c r="J1786" s="29"/>
      <c r="K1786">
        <f>IF($A1786="","","#"&amp;TRIM(SUBSTITUTE(SUBSTITUTE(SUBSTITUTE(SUBSTITUTE(SUBSTITUTE(SUBSTITUTE($A1786,"-",""),"(",""),")",""),".",""),"+","")," ","")))</f>
      </c>
    </row>
    <row r="1787" spans="1:11" x14ac:dyDescent="0.3">
      <c r="A1787" s="28"/>
      <c r="B1787" s="29"/>
      <c r="C1787" s="30"/>
      <c r="D1787" s="31"/>
      <c r="E1787" s="33">
        <f>IF(OR($D1787="",$K1787=""),"",IF(COUNTIFS(Payments!$G$5:$G$2500,$K1787,Payments!$C$5:$C$2500,"&lt;&gt;")=0,"",_xlfn.MAXIFS(Payments!$C$5:$C$2500,Payments!$G$5:$G$2500,$K1787)))</f>
      </c>
      <c r="F1787" s="34">
        <f>IF(OR($D1787="",$K1787=""),"",SUMIF(Payments!$G$5:$G$2500,$K1787,Payments!$D$5:$D$2500))</f>
      </c>
      <c r="G1787" s="36">
        <f>IF($D1787="","",ROUND($D1787-IF($F1787="",0,$F1787),2))</f>
      </c>
      <c r="H1787" s="35">
        <f>IF(OR($D1787="",$K1787=""),"",COUNTIF(Payments!$G$5:$G$2500,$K1787))</f>
      </c>
      <c r="I1787" s="37">
        <f>IF($D1787="","",IF(OR($F1787="",$F1787=0),"Pending",IF(ROUND($F1787-$D1787,2)&gt;0,"Overpaid",IF(ROUND($F1787-$D1787,2)=0,"Paid","Partial"))))</f>
      </c>
      <c r="J1787" s="29"/>
      <c r="K1787">
        <f>IF($A1787="","","#"&amp;TRIM(SUBSTITUTE(SUBSTITUTE(SUBSTITUTE(SUBSTITUTE(SUBSTITUTE(SUBSTITUTE($A1787,"-",""),"(",""),")",""),".",""),"+","")," ","")))</f>
      </c>
    </row>
    <row r="1788" spans="1:11" x14ac:dyDescent="0.3">
      <c r="A1788" s="28"/>
      <c r="B1788" s="29"/>
      <c r="C1788" s="30"/>
      <c r="D1788" s="31"/>
      <c r="E1788" s="33">
        <f>IF(OR($D1788="",$K1788=""),"",IF(COUNTIFS(Payments!$G$5:$G$2500,$K1788,Payments!$C$5:$C$2500,"&lt;&gt;")=0,"",_xlfn.MAXIFS(Payments!$C$5:$C$2500,Payments!$G$5:$G$2500,$K1788)))</f>
      </c>
      <c r="F1788" s="34">
        <f>IF(OR($D1788="",$K1788=""),"",SUMIF(Payments!$G$5:$G$2500,$K1788,Payments!$D$5:$D$2500))</f>
      </c>
      <c r="G1788" s="36">
        <f>IF($D1788="","",ROUND($D1788-IF($F1788="",0,$F1788),2))</f>
      </c>
      <c r="H1788" s="35">
        <f>IF(OR($D1788="",$K1788=""),"",COUNTIF(Payments!$G$5:$G$2500,$K1788))</f>
      </c>
      <c r="I1788" s="37">
        <f>IF($D1788="","",IF(OR($F1788="",$F1788=0),"Pending",IF(ROUND($F1788-$D1788,2)&gt;0,"Overpaid",IF(ROUND($F1788-$D1788,2)=0,"Paid","Partial"))))</f>
      </c>
      <c r="J1788" s="29"/>
      <c r="K1788">
        <f>IF($A1788="","","#"&amp;TRIM(SUBSTITUTE(SUBSTITUTE(SUBSTITUTE(SUBSTITUTE(SUBSTITUTE(SUBSTITUTE($A1788,"-",""),"(",""),")",""),".",""),"+","")," ","")))</f>
      </c>
    </row>
    <row r="1789" spans="1:11" x14ac:dyDescent="0.3">
      <c r="A1789" s="28"/>
      <c r="B1789" s="29"/>
      <c r="C1789" s="30"/>
      <c r="D1789" s="31"/>
      <c r="E1789" s="33">
        <f>IF(OR($D1789="",$K1789=""),"",IF(COUNTIFS(Payments!$G$5:$G$2500,$K1789,Payments!$C$5:$C$2500,"&lt;&gt;")=0,"",_xlfn.MAXIFS(Payments!$C$5:$C$2500,Payments!$G$5:$G$2500,$K1789)))</f>
      </c>
      <c r="F1789" s="34">
        <f>IF(OR($D1789="",$K1789=""),"",SUMIF(Payments!$G$5:$G$2500,$K1789,Payments!$D$5:$D$2500))</f>
      </c>
      <c r="G1789" s="36">
        <f>IF($D1789="","",ROUND($D1789-IF($F1789="",0,$F1789),2))</f>
      </c>
      <c r="H1789" s="35">
        <f>IF(OR($D1789="",$K1789=""),"",COUNTIF(Payments!$G$5:$G$2500,$K1789))</f>
      </c>
      <c r="I1789" s="37">
        <f>IF($D1789="","",IF(OR($F1789="",$F1789=0),"Pending",IF(ROUND($F1789-$D1789,2)&gt;0,"Overpaid",IF(ROUND($F1789-$D1789,2)=0,"Paid","Partial"))))</f>
      </c>
      <c r="J1789" s="29"/>
      <c r="K1789">
        <f>IF($A1789="","","#"&amp;TRIM(SUBSTITUTE(SUBSTITUTE(SUBSTITUTE(SUBSTITUTE(SUBSTITUTE(SUBSTITUTE($A1789,"-",""),"(",""),")",""),".",""),"+","")," ","")))</f>
      </c>
    </row>
    <row r="1790" spans="1:11" x14ac:dyDescent="0.3">
      <c r="A1790" s="28"/>
      <c r="B1790" s="29"/>
      <c r="C1790" s="30"/>
      <c r="D1790" s="31"/>
      <c r="E1790" s="33">
        <f>IF(OR($D1790="",$K1790=""),"",IF(COUNTIFS(Payments!$G$5:$G$2500,$K1790,Payments!$C$5:$C$2500,"&lt;&gt;")=0,"",_xlfn.MAXIFS(Payments!$C$5:$C$2500,Payments!$G$5:$G$2500,$K1790)))</f>
      </c>
      <c r="F1790" s="34">
        <f>IF(OR($D1790="",$K1790=""),"",SUMIF(Payments!$G$5:$G$2500,$K1790,Payments!$D$5:$D$2500))</f>
      </c>
      <c r="G1790" s="36">
        <f>IF($D1790="","",ROUND($D1790-IF($F1790="",0,$F1790),2))</f>
      </c>
      <c r="H1790" s="35">
        <f>IF(OR($D1790="",$K1790=""),"",COUNTIF(Payments!$G$5:$G$2500,$K1790))</f>
      </c>
      <c r="I1790" s="37">
        <f>IF($D1790="","",IF(OR($F1790="",$F1790=0),"Pending",IF(ROUND($F1790-$D1790,2)&gt;0,"Overpaid",IF(ROUND($F1790-$D1790,2)=0,"Paid","Partial"))))</f>
      </c>
      <c r="J1790" s="29"/>
      <c r="K1790">
        <f>IF($A1790="","","#"&amp;TRIM(SUBSTITUTE(SUBSTITUTE(SUBSTITUTE(SUBSTITUTE(SUBSTITUTE(SUBSTITUTE($A1790,"-",""),"(",""),")",""),".",""),"+","")," ","")))</f>
      </c>
    </row>
    <row r="1791" spans="1:11" x14ac:dyDescent="0.3">
      <c r="A1791" s="28"/>
      <c r="B1791" s="29"/>
      <c r="C1791" s="30"/>
      <c r="D1791" s="31"/>
      <c r="E1791" s="33">
        <f>IF(OR($D1791="",$K1791=""),"",IF(COUNTIFS(Payments!$G$5:$G$2500,$K1791,Payments!$C$5:$C$2500,"&lt;&gt;")=0,"",_xlfn.MAXIFS(Payments!$C$5:$C$2500,Payments!$G$5:$G$2500,$K1791)))</f>
      </c>
      <c r="F1791" s="34">
        <f>IF(OR($D1791="",$K1791=""),"",SUMIF(Payments!$G$5:$G$2500,$K1791,Payments!$D$5:$D$2500))</f>
      </c>
      <c r="G1791" s="36">
        <f>IF($D1791="","",ROUND($D1791-IF($F1791="",0,$F1791),2))</f>
      </c>
      <c r="H1791" s="35">
        <f>IF(OR($D1791="",$K1791=""),"",COUNTIF(Payments!$G$5:$G$2500,$K1791))</f>
      </c>
      <c r="I1791" s="37">
        <f>IF($D1791="","",IF(OR($F1791="",$F1791=0),"Pending",IF(ROUND($F1791-$D1791,2)&gt;0,"Overpaid",IF(ROUND($F1791-$D1791,2)=0,"Paid","Partial"))))</f>
      </c>
      <c r="J1791" s="29"/>
      <c r="K1791">
        <f>IF($A1791="","","#"&amp;TRIM(SUBSTITUTE(SUBSTITUTE(SUBSTITUTE(SUBSTITUTE(SUBSTITUTE(SUBSTITUTE($A1791,"-",""),"(",""),")",""),".",""),"+","")," ","")))</f>
      </c>
    </row>
    <row r="1792" spans="1:11" x14ac:dyDescent="0.3">
      <c r="A1792" s="28"/>
      <c r="B1792" s="29"/>
      <c r="C1792" s="30"/>
      <c r="D1792" s="31"/>
      <c r="E1792" s="33">
        <f>IF(OR($D1792="",$K1792=""),"",IF(COUNTIFS(Payments!$G$5:$G$2500,$K1792,Payments!$C$5:$C$2500,"&lt;&gt;")=0,"",_xlfn.MAXIFS(Payments!$C$5:$C$2500,Payments!$G$5:$G$2500,$K1792)))</f>
      </c>
      <c r="F1792" s="34">
        <f>IF(OR($D1792="",$K1792=""),"",SUMIF(Payments!$G$5:$G$2500,$K1792,Payments!$D$5:$D$2500))</f>
      </c>
      <c r="G1792" s="36">
        <f>IF($D1792="","",ROUND($D1792-IF($F1792="",0,$F1792),2))</f>
      </c>
      <c r="H1792" s="35">
        <f>IF(OR($D1792="",$K1792=""),"",COUNTIF(Payments!$G$5:$G$2500,$K1792))</f>
      </c>
      <c r="I1792" s="37">
        <f>IF($D1792="","",IF(OR($F1792="",$F1792=0),"Pending",IF(ROUND($F1792-$D1792,2)&gt;0,"Overpaid",IF(ROUND($F1792-$D1792,2)=0,"Paid","Partial"))))</f>
      </c>
      <c r="J1792" s="29"/>
      <c r="K1792">
        <f>IF($A1792="","","#"&amp;TRIM(SUBSTITUTE(SUBSTITUTE(SUBSTITUTE(SUBSTITUTE(SUBSTITUTE(SUBSTITUTE($A1792,"-",""),"(",""),")",""),".",""),"+","")," ","")))</f>
      </c>
    </row>
    <row r="1793" spans="1:11" x14ac:dyDescent="0.3">
      <c r="A1793" s="28"/>
      <c r="B1793" s="29"/>
      <c r="C1793" s="30"/>
      <c r="D1793" s="31"/>
      <c r="E1793" s="33">
        <f>IF(OR($D1793="",$K1793=""),"",IF(COUNTIFS(Payments!$G$5:$G$2500,$K1793,Payments!$C$5:$C$2500,"&lt;&gt;")=0,"",_xlfn.MAXIFS(Payments!$C$5:$C$2500,Payments!$G$5:$G$2500,$K1793)))</f>
      </c>
      <c r="F1793" s="34">
        <f>IF(OR($D1793="",$K1793=""),"",SUMIF(Payments!$G$5:$G$2500,$K1793,Payments!$D$5:$D$2500))</f>
      </c>
      <c r="G1793" s="36">
        <f>IF($D1793="","",ROUND($D1793-IF($F1793="",0,$F1793),2))</f>
      </c>
      <c r="H1793" s="35">
        <f>IF(OR($D1793="",$K1793=""),"",COUNTIF(Payments!$G$5:$G$2500,$K1793))</f>
      </c>
      <c r="I1793" s="37">
        <f>IF($D1793="","",IF(OR($F1793="",$F1793=0),"Pending",IF(ROUND($F1793-$D1793,2)&gt;0,"Overpaid",IF(ROUND($F1793-$D1793,2)=0,"Paid","Partial"))))</f>
      </c>
      <c r="J1793" s="29"/>
      <c r="K1793">
        <f>IF($A1793="","","#"&amp;TRIM(SUBSTITUTE(SUBSTITUTE(SUBSTITUTE(SUBSTITUTE(SUBSTITUTE(SUBSTITUTE($A1793,"-",""),"(",""),")",""),".",""),"+","")," ","")))</f>
      </c>
    </row>
    <row r="1794" spans="1:11" x14ac:dyDescent="0.3">
      <c r="A1794" s="28"/>
      <c r="B1794" s="29"/>
      <c r="C1794" s="30"/>
      <c r="D1794" s="31"/>
      <c r="E1794" s="33">
        <f>IF(OR($D1794="",$K1794=""),"",IF(COUNTIFS(Payments!$G$5:$G$2500,$K1794,Payments!$C$5:$C$2500,"&lt;&gt;")=0,"",_xlfn.MAXIFS(Payments!$C$5:$C$2500,Payments!$G$5:$G$2500,$K1794)))</f>
      </c>
      <c r="F1794" s="34">
        <f>IF(OR($D1794="",$K1794=""),"",SUMIF(Payments!$G$5:$G$2500,$K1794,Payments!$D$5:$D$2500))</f>
      </c>
      <c r="G1794" s="36">
        <f>IF($D1794="","",ROUND($D1794-IF($F1794="",0,$F1794),2))</f>
      </c>
      <c r="H1794" s="35">
        <f>IF(OR($D1794="",$K1794=""),"",COUNTIF(Payments!$G$5:$G$2500,$K1794))</f>
      </c>
      <c r="I1794" s="37">
        <f>IF($D1794="","",IF(OR($F1794="",$F1794=0),"Pending",IF(ROUND($F1794-$D1794,2)&gt;0,"Overpaid",IF(ROUND($F1794-$D1794,2)=0,"Paid","Partial"))))</f>
      </c>
      <c r="J1794" s="29"/>
      <c r="K1794">
        <f>IF($A1794="","","#"&amp;TRIM(SUBSTITUTE(SUBSTITUTE(SUBSTITUTE(SUBSTITUTE(SUBSTITUTE(SUBSTITUTE($A1794,"-",""),"(",""),")",""),".",""),"+","")," ","")))</f>
      </c>
    </row>
    <row r="1795" spans="1:11" x14ac:dyDescent="0.3">
      <c r="A1795" s="28"/>
      <c r="B1795" s="29"/>
      <c r="C1795" s="30"/>
      <c r="D1795" s="31"/>
      <c r="E1795" s="33">
        <f>IF(OR($D1795="",$K1795=""),"",IF(COUNTIFS(Payments!$G$5:$G$2500,$K1795,Payments!$C$5:$C$2500,"&lt;&gt;")=0,"",_xlfn.MAXIFS(Payments!$C$5:$C$2500,Payments!$G$5:$G$2500,$K1795)))</f>
      </c>
      <c r="F1795" s="34">
        <f>IF(OR($D1795="",$K1795=""),"",SUMIF(Payments!$G$5:$G$2500,$K1795,Payments!$D$5:$D$2500))</f>
      </c>
      <c r="G1795" s="36">
        <f>IF($D1795="","",ROUND($D1795-IF($F1795="",0,$F1795),2))</f>
      </c>
      <c r="H1795" s="35">
        <f>IF(OR($D1795="",$K1795=""),"",COUNTIF(Payments!$G$5:$G$2500,$K1795))</f>
      </c>
      <c r="I1795" s="37">
        <f>IF($D1795="","",IF(OR($F1795="",$F1795=0),"Pending",IF(ROUND($F1795-$D1795,2)&gt;0,"Overpaid",IF(ROUND($F1795-$D1795,2)=0,"Paid","Partial"))))</f>
      </c>
      <c r="J1795" s="29"/>
      <c r="K1795">
        <f>IF($A1795="","","#"&amp;TRIM(SUBSTITUTE(SUBSTITUTE(SUBSTITUTE(SUBSTITUTE(SUBSTITUTE(SUBSTITUTE($A1795,"-",""),"(",""),")",""),".",""),"+","")," ","")))</f>
      </c>
    </row>
    <row r="1796" spans="1:11" x14ac:dyDescent="0.3">
      <c r="A1796" s="28"/>
      <c r="B1796" s="29"/>
      <c r="C1796" s="30"/>
      <c r="D1796" s="31"/>
      <c r="E1796" s="33">
        <f>IF(OR($D1796="",$K1796=""),"",IF(COUNTIFS(Payments!$G$5:$G$2500,$K1796,Payments!$C$5:$C$2500,"&lt;&gt;")=0,"",_xlfn.MAXIFS(Payments!$C$5:$C$2500,Payments!$G$5:$G$2500,$K1796)))</f>
      </c>
      <c r="F1796" s="34">
        <f>IF(OR($D1796="",$K1796=""),"",SUMIF(Payments!$G$5:$G$2500,$K1796,Payments!$D$5:$D$2500))</f>
      </c>
      <c r="G1796" s="36">
        <f>IF($D1796="","",ROUND($D1796-IF($F1796="",0,$F1796),2))</f>
      </c>
      <c r="H1796" s="35">
        <f>IF(OR($D1796="",$K1796=""),"",COUNTIF(Payments!$G$5:$G$2500,$K1796))</f>
      </c>
      <c r="I1796" s="37">
        <f>IF($D1796="","",IF(OR($F1796="",$F1796=0),"Pending",IF(ROUND($F1796-$D1796,2)&gt;0,"Overpaid",IF(ROUND($F1796-$D1796,2)=0,"Paid","Partial"))))</f>
      </c>
      <c r="J1796" s="29"/>
      <c r="K1796">
        <f>IF($A1796="","","#"&amp;TRIM(SUBSTITUTE(SUBSTITUTE(SUBSTITUTE(SUBSTITUTE(SUBSTITUTE(SUBSTITUTE($A1796,"-",""),"(",""),")",""),".",""),"+","")," ","")))</f>
      </c>
    </row>
    <row r="1797" spans="1:11" x14ac:dyDescent="0.3">
      <c r="A1797" s="28"/>
      <c r="B1797" s="29"/>
      <c r="C1797" s="30"/>
      <c r="D1797" s="31"/>
      <c r="E1797" s="33">
        <f>IF(OR($D1797="",$K1797=""),"",IF(COUNTIFS(Payments!$G$5:$G$2500,$K1797,Payments!$C$5:$C$2500,"&lt;&gt;")=0,"",_xlfn.MAXIFS(Payments!$C$5:$C$2500,Payments!$G$5:$G$2500,$K1797)))</f>
      </c>
      <c r="F1797" s="34">
        <f>IF(OR($D1797="",$K1797=""),"",SUMIF(Payments!$G$5:$G$2500,$K1797,Payments!$D$5:$D$2500))</f>
      </c>
      <c r="G1797" s="36">
        <f>IF($D1797="","",ROUND($D1797-IF($F1797="",0,$F1797),2))</f>
      </c>
      <c r="H1797" s="35">
        <f>IF(OR($D1797="",$K1797=""),"",COUNTIF(Payments!$G$5:$G$2500,$K1797))</f>
      </c>
      <c r="I1797" s="37">
        <f>IF($D1797="","",IF(OR($F1797="",$F1797=0),"Pending",IF(ROUND($F1797-$D1797,2)&gt;0,"Overpaid",IF(ROUND($F1797-$D1797,2)=0,"Paid","Partial"))))</f>
      </c>
      <c r="J1797" s="29"/>
      <c r="K1797">
        <f>IF($A1797="","","#"&amp;TRIM(SUBSTITUTE(SUBSTITUTE(SUBSTITUTE(SUBSTITUTE(SUBSTITUTE(SUBSTITUTE($A1797,"-",""),"(",""),")",""),".",""),"+","")," ","")))</f>
      </c>
    </row>
    <row r="1798" spans="1:11" x14ac:dyDescent="0.3">
      <c r="A1798" s="28"/>
      <c r="B1798" s="29"/>
      <c r="C1798" s="30"/>
      <c r="D1798" s="31"/>
      <c r="E1798" s="33">
        <f>IF(OR($D1798="",$K1798=""),"",IF(COUNTIFS(Payments!$G$5:$G$2500,$K1798,Payments!$C$5:$C$2500,"&lt;&gt;")=0,"",_xlfn.MAXIFS(Payments!$C$5:$C$2500,Payments!$G$5:$G$2500,$K1798)))</f>
      </c>
      <c r="F1798" s="34">
        <f>IF(OR($D1798="",$K1798=""),"",SUMIF(Payments!$G$5:$G$2500,$K1798,Payments!$D$5:$D$2500))</f>
      </c>
      <c r="G1798" s="36">
        <f>IF($D1798="","",ROUND($D1798-IF($F1798="",0,$F1798),2))</f>
      </c>
      <c r="H1798" s="35">
        <f>IF(OR($D1798="",$K1798=""),"",COUNTIF(Payments!$G$5:$G$2500,$K1798))</f>
      </c>
      <c r="I1798" s="37">
        <f>IF($D1798="","",IF(OR($F1798="",$F1798=0),"Pending",IF(ROUND($F1798-$D1798,2)&gt;0,"Overpaid",IF(ROUND($F1798-$D1798,2)=0,"Paid","Partial"))))</f>
      </c>
      <c r="J1798" s="29"/>
      <c r="K1798">
        <f>IF($A1798="","","#"&amp;TRIM(SUBSTITUTE(SUBSTITUTE(SUBSTITUTE(SUBSTITUTE(SUBSTITUTE(SUBSTITUTE($A1798,"-",""),"(",""),")",""),".",""),"+","")," ","")))</f>
      </c>
    </row>
    <row r="1799" spans="1:11" x14ac:dyDescent="0.3">
      <c r="A1799" s="28"/>
      <c r="B1799" s="29"/>
      <c r="C1799" s="30"/>
      <c r="D1799" s="31"/>
      <c r="E1799" s="33">
        <f>IF(OR($D1799="",$K1799=""),"",IF(COUNTIFS(Payments!$G$5:$G$2500,$K1799,Payments!$C$5:$C$2500,"&lt;&gt;")=0,"",_xlfn.MAXIFS(Payments!$C$5:$C$2500,Payments!$G$5:$G$2500,$K1799)))</f>
      </c>
      <c r="F1799" s="34">
        <f>IF(OR($D1799="",$K1799=""),"",SUMIF(Payments!$G$5:$G$2500,$K1799,Payments!$D$5:$D$2500))</f>
      </c>
      <c r="G1799" s="36">
        <f>IF($D1799="","",ROUND($D1799-IF($F1799="",0,$F1799),2))</f>
      </c>
      <c r="H1799" s="35">
        <f>IF(OR($D1799="",$K1799=""),"",COUNTIF(Payments!$G$5:$G$2500,$K1799))</f>
      </c>
      <c r="I1799" s="37">
        <f>IF($D1799="","",IF(OR($F1799="",$F1799=0),"Pending",IF(ROUND($F1799-$D1799,2)&gt;0,"Overpaid",IF(ROUND($F1799-$D1799,2)=0,"Paid","Partial"))))</f>
      </c>
      <c r="J1799" s="29"/>
      <c r="K1799">
        <f>IF($A1799="","","#"&amp;TRIM(SUBSTITUTE(SUBSTITUTE(SUBSTITUTE(SUBSTITUTE(SUBSTITUTE(SUBSTITUTE($A1799,"-",""),"(",""),")",""),".",""),"+","")," ","")))</f>
      </c>
    </row>
    <row r="1800" spans="1:11" x14ac:dyDescent="0.3">
      <c r="A1800" s="28"/>
      <c r="B1800" s="29"/>
      <c r="C1800" s="30"/>
      <c r="D1800" s="31"/>
      <c r="E1800" s="33">
        <f>IF(OR($D1800="",$K1800=""),"",IF(COUNTIFS(Payments!$G$5:$G$2500,$K1800,Payments!$C$5:$C$2500,"&lt;&gt;")=0,"",_xlfn.MAXIFS(Payments!$C$5:$C$2500,Payments!$G$5:$G$2500,$K1800)))</f>
      </c>
      <c r="F1800" s="34">
        <f>IF(OR($D1800="",$K1800=""),"",SUMIF(Payments!$G$5:$G$2500,$K1800,Payments!$D$5:$D$2500))</f>
      </c>
      <c r="G1800" s="36">
        <f>IF($D1800="","",ROUND($D1800-IF($F1800="",0,$F1800),2))</f>
      </c>
      <c r="H1800" s="35">
        <f>IF(OR($D1800="",$K1800=""),"",COUNTIF(Payments!$G$5:$G$2500,$K1800))</f>
      </c>
      <c r="I1800" s="37">
        <f>IF($D1800="","",IF(OR($F1800="",$F1800=0),"Pending",IF(ROUND($F1800-$D1800,2)&gt;0,"Overpaid",IF(ROUND($F1800-$D1800,2)=0,"Paid","Partial"))))</f>
      </c>
      <c r="J1800" s="29"/>
      <c r="K1800">
        <f>IF($A1800="","","#"&amp;TRIM(SUBSTITUTE(SUBSTITUTE(SUBSTITUTE(SUBSTITUTE(SUBSTITUTE(SUBSTITUTE($A1800,"-",""),"(",""),")",""),".",""),"+","")," ","")))</f>
      </c>
    </row>
    <row r="1801" spans="1:11" x14ac:dyDescent="0.3">
      <c r="A1801" s="28"/>
      <c r="B1801" s="29"/>
      <c r="C1801" s="30"/>
      <c r="D1801" s="31"/>
      <c r="E1801" s="33">
        <f>IF(OR($D1801="",$K1801=""),"",IF(COUNTIFS(Payments!$G$5:$G$2500,$K1801,Payments!$C$5:$C$2500,"&lt;&gt;")=0,"",_xlfn.MAXIFS(Payments!$C$5:$C$2500,Payments!$G$5:$G$2500,$K1801)))</f>
      </c>
      <c r="F1801" s="34">
        <f>IF(OR($D1801="",$K1801=""),"",SUMIF(Payments!$G$5:$G$2500,$K1801,Payments!$D$5:$D$2500))</f>
      </c>
      <c r="G1801" s="36">
        <f>IF($D1801="","",ROUND($D1801-IF($F1801="",0,$F1801),2))</f>
      </c>
      <c r="H1801" s="35">
        <f>IF(OR($D1801="",$K1801=""),"",COUNTIF(Payments!$G$5:$G$2500,$K1801))</f>
      </c>
      <c r="I1801" s="37">
        <f>IF($D1801="","",IF(OR($F1801="",$F1801=0),"Pending",IF(ROUND($F1801-$D1801,2)&gt;0,"Overpaid",IF(ROUND($F1801-$D1801,2)=0,"Paid","Partial"))))</f>
      </c>
      <c r="J1801" s="29"/>
      <c r="K1801">
        <f>IF($A1801="","","#"&amp;TRIM(SUBSTITUTE(SUBSTITUTE(SUBSTITUTE(SUBSTITUTE(SUBSTITUTE(SUBSTITUTE($A1801,"-",""),"(",""),")",""),".",""),"+","")," ","")))</f>
      </c>
    </row>
    <row r="1802" spans="1:11" x14ac:dyDescent="0.3">
      <c r="A1802" s="28"/>
      <c r="B1802" s="29"/>
      <c r="C1802" s="30"/>
      <c r="D1802" s="31"/>
      <c r="E1802" s="33">
        <f>IF(OR($D1802="",$K1802=""),"",IF(COUNTIFS(Payments!$G$5:$G$2500,$K1802,Payments!$C$5:$C$2500,"&lt;&gt;")=0,"",_xlfn.MAXIFS(Payments!$C$5:$C$2500,Payments!$G$5:$G$2500,$K1802)))</f>
      </c>
      <c r="F1802" s="34">
        <f>IF(OR($D1802="",$K1802=""),"",SUMIF(Payments!$G$5:$G$2500,$K1802,Payments!$D$5:$D$2500))</f>
      </c>
      <c r="G1802" s="36">
        <f>IF($D1802="","",ROUND($D1802-IF($F1802="",0,$F1802),2))</f>
      </c>
      <c r="H1802" s="35">
        <f>IF(OR($D1802="",$K1802=""),"",COUNTIF(Payments!$G$5:$G$2500,$K1802))</f>
      </c>
      <c r="I1802" s="37">
        <f>IF($D1802="","",IF(OR($F1802="",$F1802=0),"Pending",IF(ROUND($F1802-$D1802,2)&gt;0,"Overpaid",IF(ROUND($F1802-$D1802,2)=0,"Paid","Partial"))))</f>
      </c>
      <c r="J1802" s="29"/>
      <c r="K1802">
        <f>IF($A1802="","","#"&amp;TRIM(SUBSTITUTE(SUBSTITUTE(SUBSTITUTE(SUBSTITUTE(SUBSTITUTE(SUBSTITUTE($A1802,"-",""),"(",""),")",""),".",""),"+","")," ","")))</f>
      </c>
    </row>
    <row r="1803" spans="1:11" x14ac:dyDescent="0.3">
      <c r="A1803" s="28"/>
      <c r="B1803" s="29"/>
      <c r="C1803" s="30"/>
      <c r="D1803" s="31"/>
      <c r="E1803" s="33">
        <f>IF(OR($D1803="",$K1803=""),"",IF(COUNTIFS(Payments!$G$5:$G$2500,$K1803,Payments!$C$5:$C$2500,"&lt;&gt;")=0,"",_xlfn.MAXIFS(Payments!$C$5:$C$2500,Payments!$G$5:$G$2500,$K1803)))</f>
      </c>
      <c r="F1803" s="34">
        <f>IF(OR($D1803="",$K1803=""),"",SUMIF(Payments!$G$5:$G$2500,$K1803,Payments!$D$5:$D$2500))</f>
      </c>
      <c r="G1803" s="36">
        <f>IF($D1803="","",ROUND($D1803-IF($F1803="",0,$F1803),2))</f>
      </c>
      <c r="H1803" s="35">
        <f>IF(OR($D1803="",$K1803=""),"",COUNTIF(Payments!$G$5:$G$2500,$K1803))</f>
      </c>
      <c r="I1803" s="37">
        <f>IF($D1803="","",IF(OR($F1803="",$F1803=0),"Pending",IF(ROUND($F1803-$D1803,2)&gt;0,"Overpaid",IF(ROUND($F1803-$D1803,2)=0,"Paid","Partial"))))</f>
      </c>
      <c r="J1803" s="29"/>
      <c r="K1803">
        <f>IF($A1803="","","#"&amp;TRIM(SUBSTITUTE(SUBSTITUTE(SUBSTITUTE(SUBSTITUTE(SUBSTITUTE(SUBSTITUTE($A1803,"-",""),"(",""),")",""),".",""),"+","")," ","")))</f>
      </c>
    </row>
    <row r="1804" spans="1:11" x14ac:dyDescent="0.3">
      <c r="A1804" s="28"/>
      <c r="B1804" s="29"/>
      <c r="C1804" s="30"/>
      <c r="D1804" s="31"/>
      <c r="E1804" s="33">
        <f>IF(OR($D1804="",$K1804=""),"",IF(COUNTIFS(Payments!$G$5:$G$2500,$K1804,Payments!$C$5:$C$2500,"&lt;&gt;")=0,"",_xlfn.MAXIFS(Payments!$C$5:$C$2500,Payments!$G$5:$G$2500,$K1804)))</f>
      </c>
      <c r="F1804" s="34">
        <f>IF(OR($D1804="",$K1804=""),"",SUMIF(Payments!$G$5:$G$2500,$K1804,Payments!$D$5:$D$2500))</f>
      </c>
      <c r="G1804" s="36">
        <f>IF($D1804="","",ROUND($D1804-IF($F1804="",0,$F1804),2))</f>
      </c>
      <c r="H1804" s="35">
        <f>IF(OR($D1804="",$K1804=""),"",COUNTIF(Payments!$G$5:$G$2500,$K1804))</f>
      </c>
      <c r="I1804" s="37">
        <f>IF($D1804="","",IF(OR($F1804="",$F1804=0),"Pending",IF(ROUND($F1804-$D1804,2)&gt;0,"Overpaid",IF(ROUND($F1804-$D1804,2)=0,"Paid","Partial"))))</f>
      </c>
      <c r="J1804" s="29"/>
      <c r="K1804">
        <f>IF($A1804="","","#"&amp;TRIM(SUBSTITUTE(SUBSTITUTE(SUBSTITUTE(SUBSTITUTE(SUBSTITUTE(SUBSTITUTE($A1804,"-",""),"(",""),")",""),".",""),"+","")," ","")))</f>
      </c>
    </row>
    <row r="1805" spans="1:11" x14ac:dyDescent="0.3">
      <c r="A1805" s="28"/>
      <c r="B1805" s="29"/>
      <c r="C1805" s="30"/>
      <c r="D1805" s="31"/>
      <c r="E1805" s="33">
        <f>IF(OR($D1805="",$K1805=""),"",IF(COUNTIFS(Payments!$G$5:$G$2500,$K1805,Payments!$C$5:$C$2500,"&lt;&gt;")=0,"",_xlfn.MAXIFS(Payments!$C$5:$C$2500,Payments!$G$5:$G$2500,$K1805)))</f>
      </c>
      <c r="F1805" s="34">
        <f>IF(OR($D1805="",$K1805=""),"",SUMIF(Payments!$G$5:$G$2500,$K1805,Payments!$D$5:$D$2500))</f>
      </c>
      <c r="G1805" s="36">
        <f>IF($D1805="","",ROUND($D1805-IF($F1805="",0,$F1805),2))</f>
      </c>
      <c r="H1805" s="35">
        <f>IF(OR($D1805="",$K1805=""),"",COUNTIF(Payments!$G$5:$G$2500,$K1805))</f>
      </c>
      <c r="I1805" s="37">
        <f>IF($D1805="","",IF(OR($F1805="",$F1805=0),"Pending",IF(ROUND($F1805-$D1805,2)&gt;0,"Overpaid",IF(ROUND($F1805-$D1805,2)=0,"Paid","Partial"))))</f>
      </c>
      <c r="J1805" s="29"/>
      <c r="K1805">
        <f>IF($A1805="","","#"&amp;TRIM(SUBSTITUTE(SUBSTITUTE(SUBSTITUTE(SUBSTITUTE(SUBSTITUTE(SUBSTITUTE($A1805,"-",""),"(",""),")",""),".",""),"+","")," ","")))</f>
      </c>
    </row>
    <row r="1806" spans="1:11" x14ac:dyDescent="0.3">
      <c r="A1806" s="28"/>
      <c r="B1806" s="29"/>
      <c r="C1806" s="30"/>
      <c r="D1806" s="31"/>
      <c r="E1806" s="33">
        <f>IF(OR($D1806="",$K1806=""),"",IF(COUNTIFS(Payments!$G$5:$G$2500,$K1806,Payments!$C$5:$C$2500,"&lt;&gt;")=0,"",_xlfn.MAXIFS(Payments!$C$5:$C$2500,Payments!$G$5:$G$2500,$K1806)))</f>
      </c>
      <c r="F1806" s="34">
        <f>IF(OR($D1806="",$K1806=""),"",SUMIF(Payments!$G$5:$G$2500,$K1806,Payments!$D$5:$D$2500))</f>
      </c>
      <c r="G1806" s="36">
        <f>IF($D1806="","",ROUND($D1806-IF($F1806="",0,$F1806),2))</f>
      </c>
      <c r="H1806" s="35">
        <f>IF(OR($D1806="",$K1806=""),"",COUNTIF(Payments!$G$5:$G$2500,$K1806))</f>
      </c>
      <c r="I1806" s="37">
        <f>IF($D1806="","",IF(OR($F1806="",$F1806=0),"Pending",IF(ROUND($F1806-$D1806,2)&gt;0,"Overpaid",IF(ROUND($F1806-$D1806,2)=0,"Paid","Partial"))))</f>
      </c>
      <c r="J1806" s="29"/>
      <c r="K1806">
        <f>IF($A1806="","","#"&amp;TRIM(SUBSTITUTE(SUBSTITUTE(SUBSTITUTE(SUBSTITUTE(SUBSTITUTE(SUBSTITUTE($A1806,"-",""),"(",""),")",""),".",""),"+","")," ","")))</f>
      </c>
    </row>
    <row r="1807" spans="1:11" x14ac:dyDescent="0.3">
      <c r="A1807" s="28"/>
      <c r="B1807" s="29"/>
      <c r="C1807" s="30"/>
      <c r="D1807" s="31"/>
      <c r="E1807" s="33">
        <f>IF(OR($D1807="",$K1807=""),"",IF(COUNTIFS(Payments!$G$5:$G$2500,$K1807,Payments!$C$5:$C$2500,"&lt;&gt;")=0,"",_xlfn.MAXIFS(Payments!$C$5:$C$2500,Payments!$G$5:$G$2500,$K1807)))</f>
      </c>
      <c r="F1807" s="34">
        <f>IF(OR($D1807="",$K1807=""),"",SUMIF(Payments!$G$5:$G$2500,$K1807,Payments!$D$5:$D$2500))</f>
      </c>
      <c r="G1807" s="36">
        <f>IF($D1807="","",ROUND($D1807-IF($F1807="",0,$F1807),2))</f>
      </c>
      <c r="H1807" s="35">
        <f>IF(OR($D1807="",$K1807=""),"",COUNTIF(Payments!$G$5:$G$2500,$K1807))</f>
      </c>
      <c r="I1807" s="37">
        <f>IF($D1807="","",IF(OR($F1807="",$F1807=0),"Pending",IF(ROUND($F1807-$D1807,2)&gt;0,"Overpaid",IF(ROUND($F1807-$D1807,2)=0,"Paid","Partial"))))</f>
      </c>
      <c r="J1807" s="29"/>
      <c r="K1807">
        <f>IF($A1807="","","#"&amp;TRIM(SUBSTITUTE(SUBSTITUTE(SUBSTITUTE(SUBSTITUTE(SUBSTITUTE(SUBSTITUTE($A1807,"-",""),"(",""),")",""),".",""),"+","")," ","")))</f>
      </c>
    </row>
    <row r="1808" spans="1:11" x14ac:dyDescent="0.3">
      <c r="A1808" s="28"/>
      <c r="B1808" s="29"/>
      <c r="C1808" s="30"/>
      <c r="D1808" s="31"/>
      <c r="E1808" s="33">
        <f>IF(OR($D1808="",$K1808=""),"",IF(COUNTIFS(Payments!$G$5:$G$2500,$K1808,Payments!$C$5:$C$2500,"&lt;&gt;")=0,"",_xlfn.MAXIFS(Payments!$C$5:$C$2500,Payments!$G$5:$G$2500,$K1808)))</f>
      </c>
      <c r="F1808" s="34">
        <f>IF(OR($D1808="",$K1808=""),"",SUMIF(Payments!$G$5:$G$2500,$K1808,Payments!$D$5:$D$2500))</f>
      </c>
      <c r="G1808" s="36">
        <f>IF($D1808="","",ROUND($D1808-IF($F1808="",0,$F1808),2))</f>
      </c>
      <c r="H1808" s="35">
        <f>IF(OR($D1808="",$K1808=""),"",COUNTIF(Payments!$G$5:$G$2500,$K1808))</f>
      </c>
      <c r="I1808" s="37">
        <f>IF($D1808="","",IF(OR($F1808="",$F1808=0),"Pending",IF(ROUND($F1808-$D1808,2)&gt;0,"Overpaid",IF(ROUND($F1808-$D1808,2)=0,"Paid","Partial"))))</f>
      </c>
      <c r="J1808" s="29"/>
      <c r="K1808">
        <f>IF($A1808="","","#"&amp;TRIM(SUBSTITUTE(SUBSTITUTE(SUBSTITUTE(SUBSTITUTE(SUBSTITUTE(SUBSTITUTE($A1808,"-",""),"(",""),")",""),".",""),"+","")," ","")))</f>
      </c>
    </row>
    <row r="1809" spans="1:11" x14ac:dyDescent="0.3">
      <c r="A1809" s="28"/>
      <c r="B1809" s="29"/>
      <c r="C1809" s="30"/>
      <c r="D1809" s="31"/>
      <c r="E1809" s="33">
        <f>IF(OR($D1809="",$K1809=""),"",IF(COUNTIFS(Payments!$G$5:$G$2500,$K1809,Payments!$C$5:$C$2500,"&lt;&gt;")=0,"",_xlfn.MAXIFS(Payments!$C$5:$C$2500,Payments!$G$5:$G$2500,$K1809)))</f>
      </c>
      <c r="F1809" s="34">
        <f>IF(OR($D1809="",$K1809=""),"",SUMIF(Payments!$G$5:$G$2500,$K1809,Payments!$D$5:$D$2500))</f>
      </c>
      <c r="G1809" s="36">
        <f>IF($D1809="","",ROUND($D1809-IF($F1809="",0,$F1809),2))</f>
      </c>
      <c r="H1809" s="35">
        <f>IF(OR($D1809="",$K1809=""),"",COUNTIF(Payments!$G$5:$G$2500,$K1809))</f>
      </c>
      <c r="I1809" s="37">
        <f>IF($D1809="","",IF(OR($F1809="",$F1809=0),"Pending",IF(ROUND($F1809-$D1809,2)&gt;0,"Overpaid",IF(ROUND($F1809-$D1809,2)=0,"Paid","Partial"))))</f>
      </c>
      <c r="J1809" s="29"/>
      <c r="K1809">
        <f>IF($A1809="","","#"&amp;TRIM(SUBSTITUTE(SUBSTITUTE(SUBSTITUTE(SUBSTITUTE(SUBSTITUTE(SUBSTITUTE($A1809,"-",""),"(",""),")",""),".",""),"+","")," ","")))</f>
      </c>
    </row>
    <row r="1810" spans="1:11" x14ac:dyDescent="0.3">
      <c r="A1810" s="28"/>
      <c r="B1810" s="29"/>
      <c r="C1810" s="30"/>
      <c r="D1810" s="31"/>
      <c r="E1810" s="33">
        <f>IF(OR($D1810="",$K1810=""),"",IF(COUNTIFS(Payments!$G$5:$G$2500,$K1810,Payments!$C$5:$C$2500,"&lt;&gt;")=0,"",_xlfn.MAXIFS(Payments!$C$5:$C$2500,Payments!$G$5:$G$2500,$K1810)))</f>
      </c>
      <c r="F1810" s="34">
        <f>IF(OR($D1810="",$K1810=""),"",SUMIF(Payments!$G$5:$G$2500,$K1810,Payments!$D$5:$D$2500))</f>
      </c>
      <c r="G1810" s="36">
        <f>IF($D1810="","",ROUND($D1810-IF($F1810="",0,$F1810),2))</f>
      </c>
      <c r="H1810" s="35">
        <f>IF(OR($D1810="",$K1810=""),"",COUNTIF(Payments!$G$5:$G$2500,$K1810))</f>
      </c>
      <c r="I1810" s="37">
        <f>IF($D1810="","",IF(OR($F1810="",$F1810=0),"Pending",IF(ROUND($F1810-$D1810,2)&gt;0,"Overpaid",IF(ROUND($F1810-$D1810,2)=0,"Paid","Partial"))))</f>
      </c>
      <c r="J1810" s="29"/>
      <c r="K1810">
        <f>IF($A1810="","","#"&amp;TRIM(SUBSTITUTE(SUBSTITUTE(SUBSTITUTE(SUBSTITUTE(SUBSTITUTE(SUBSTITUTE($A1810,"-",""),"(",""),")",""),".",""),"+","")," ","")))</f>
      </c>
    </row>
    <row r="1811" spans="1:11" x14ac:dyDescent="0.3">
      <c r="A1811" s="28"/>
      <c r="B1811" s="29"/>
      <c r="C1811" s="30"/>
      <c r="D1811" s="31"/>
      <c r="E1811" s="33">
        <f>IF(OR($D1811="",$K1811=""),"",IF(COUNTIFS(Payments!$G$5:$G$2500,$K1811,Payments!$C$5:$C$2500,"&lt;&gt;")=0,"",_xlfn.MAXIFS(Payments!$C$5:$C$2500,Payments!$G$5:$G$2500,$K1811)))</f>
      </c>
      <c r="F1811" s="34">
        <f>IF(OR($D1811="",$K1811=""),"",SUMIF(Payments!$G$5:$G$2500,$K1811,Payments!$D$5:$D$2500))</f>
      </c>
      <c r="G1811" s="36">
        <f>IF($D1811="","",ROUND($D1811-IF($F1811="",0,$F1811),2))</f>
      </c>
      <c r="H1811" s="35">
        <f>IF(OR($D1811="",$K1811=""),"",COUNTIF(Payments!$G$5:$G$2500,$K1811))</f>
      </c>
      <c r="I1811" s="37">
        <f>IF($D1811="","",IF(OR($F1811="",$F1811=0),"Pending",IF(ROUND($F1811-$D1811,2)&gt;0,"Overpaid",IF(ROUND($F1811-$D1811,2)=0,"Paid","Partial"))))</f>
      </c>
      <c r="J1811" s="29"/>
      <c r="K1811">
        <f>IF($A1811="","","#"&amp;TRIM(SUBSTITUTE(SUBSTITUTE(SUBSTITUTE(SUBSTITUTE(SUBSTITUTE(SUBSTITUTE($A1811,"-",""),"(",""),")",""),".",""),"+","")," ","")))</f>
      </c>
    </row>
    <row r="1812" spans="1:11" x14ac:dyDescent="0.3">
      <c r="A1812" s="28"/>
      <c r="B1812" s="29"/>
      <c r="C1812" s="30"/>
      <c r="D1812" s="31"/>
      <c r="E1812" s="33">
        <f>IF(OR($D1812="",$K1812=""),"",IF(COUNTIFS(Payments!$G$5:$G$2500,$K1812,Payments!$C$5:$C$2500,"&lt;&gt;")=0,"",_xlfn.MAXIFS(Payments!$C$5:$C$2500,Payments!$G$5:$G$2500,$K1812)))</f>
      </c>
      <c r="F1812" s="34">
        <f>IF(OR($D1812="",$K1812=""),"",SUMIF(Payments!$G$5:$G$2500,$K1812,Payments!$D$5:$D$2500))</f>
      </c>
      <c r="G1812" s="36">
        <f>IF($D1812="","",ROUND($D1812-IF($F1812="",0,$F1812),2))</f>
      </c>
      <c r="H1812" s="35">
        <f>IF(OR($D1812="",$K1812=""),"",COUNTIF(Payments!$G$5:$G$2500,$K1812))</f>
      </c>
      <c r="I1812" s="37">
        <f>IF($D1812="","",IF(OR($F1812="",$F1812=0),"Pending",IF(ROUND($F1812-$D1812,2)&gt;0,"Overpaid",IF(ROUND($F1812-$D1812,2)=0,"Paid","Partial"))))</f>
      </c>
      <c r="J1812" s="29"/>
      <c r="K1812">
        <f>IF($A1812="","","#"&amp;TRIM(SUBSTITUTE(SUBSTITUTE(SUBSTITUTE(SUBSTITUTE(SUBSTITUTE(SUBSTITUTE($A1812,"-",""),"(",""),")",""),".",""),"+","")," ","")))</f>
      </c>
    </row>
    <row r="1813" spans="1:11" x14ac:dyDescent="0.3">
      <c r="A1813" s="28"/>
      <c r="B1813" s="29"/>
      <c r="C1813" s="30"/>
      <c r="D1813" s="31"/>
      <c r="E1813" s="33">
        <f>IF(OR($D1813="",$K1813=""),"",IF(COUNTIFS(Payments!$G$5:$G$2500,$K1813,Payments!$C$5:$C$2500,"&lt;&gt;")=0,"",_xlfn.MAXIFS(Payments!$C$5:$C$2500,Payments!$G$5:$G$2500,$K1813)))</f>
      </c>
      <c r="F1813" s="34">
        <f>IF(OR($D1813="",$K1813=""),"",SUMIF(Payments!$G$5:$G$2500,$K1813,Payments!$D$5:$D$2500))</f>
      </c>
      <c r="G1813" s="36">
        <f>IF($D1813="","",ROUND($D1813-IF($F1813="",0,$F1813),2))</f>
      </c>
      <c r="H1813" s="35">
        <f>IF(OR($D1813="",$K1813=""),"",COUNTIF(Payments!$G$5:$G$2500,$K1813))</f>
      </c>
      <c r="I1813" s="37">
        <f>IF($D1813="","",IF(OR($F1813="",$F1813=0),"Pending",IF(ROUND($F1813-$D1813,2)&gt;0,"Overpaid",IF(ROUND($F1813-$D1813,2)=0,"Paid","Partial"))))</f>
      </c>
      <c r="J1813" s="29"/>
      <c r="K1813">
        <f>IF($A1813="","","#"&amp;TRIM(SUBSTITUTE(SUBSTITUTE(SUBSTITUTE(SUBSTITUTE(SUBSTITUTE(SUBSTITUTE($A1813,"-",""),"(",""),")",""),".",""),"+","")," ","")))</f>
      </c>
    </row>
    <row r="1814" spans="1:11" x14ac:dyDescent="0.3">
      <c r="A1814" s="28"/>
      <c r="B1814" s="29"/>
      <c r="C1814" s="30"/>
      <c r="D1814" s="31"/>
      <c r="E1814" s="33">
        <f>IF(OR($D1814="",$K1814=""),"",IF(COUNTIFS(Payments!$G$5:$G$2500,$K1814,Payments!$C$5:$C$2500,"&lt;&gt;")=0,"",_xlfn.MAXIFS(Payments!$C$5:$C$2500,Payments!$G$5:$G$2500,$K1814)))</f>
      </c>
      <c r="F1814" s="34">
        <f>IF(OR($D1814="",$K1814=""),"",SUMIF(Payments!$G$5:$G$2500,$K1814,Payments!$D$5:$D$2500))</f>
      </c>
      <c r="G1814" s="36">
        <f>IF($D1814="","",ROUND($D1814-IF($F1814="",0,$F1814),2))</f>
      </c>
      <c r="H1814" s="35">
        <f>IF(OR($D1814="",$K1814=""),"",COUNTIF(Payments!$G$5:$G$2500,$K1814))</f>
      </c>
      <c r="I1814" s="37">
        <f>IF($D1814="","",IF(OR($F1814="",$F1814=0),"Pending",IF(ROUND($F1814-$D1814,2)&gt;0,"Overpaid",IF(ROUND($F1814-$D1814,2)=0,"Paid","Partial"))))</f>
      </c>
      <c r="J1814" s="29"/>
      <c r="K1814">
        <f>IF($A1814="","","#"&amp;TRIM(SUBSTITUTE(SUBSTITUTE(SUBSTITUTE(SUBSTITUTE(SUBSTITUTE(SUBSTITUTE($A1814,"-",""),"(",""),")",""),".",""),"+","")," ","")))</f>
      </c>
    </row>
    <row r="1815" spans="1:11" x14ac:dyDescent="0.3">
      <c r="A1815" s="28"/>
      <c r="B1815" s="29"/>
      <c r="C1815" s="30"/>
      <c r="D1815" s="31"/>
      <c r="E1815" s="33">
        <f>IF(OR($D1815="",$K1815=""),"",IF(COUNTIFS(Payments!$G$5:$G$2500,$K1815,Payments!$C$5:$C$2500,"&lt;&gt;")=0,"",_xlfn.MAXIFS(Payments!$C$5:$C$2500,Payments!$G$5:$G$2500,$K1815)))</f>
      </c>
      <c r="F1815" s="34">
        <f>IF(OR($D1815="",$K1815=""),"",SUMIF(Payments!$G$5:$G$2500,$K1815,Payments!$D$5:$D$2500))</f>
      </c>
      <c r="G1815" s="36">
        <f>IF($D1815="","",ROUND($D1815-IF($F1815="",0,$F1815),2))</f>
      </c>
      <c r="H1815" s="35">
        <f>IF(OR($D1815="",$K1815=""),"",COUNTIF(Payments!$G$5:$G$2500,$K1815))</f>
      </c>
      <c r="I1815" s="37">
        <f>IF($D1815="","",IF(OR($F1815="",$F1815=0),"Pending",IF(ROUND($F1815-$D1815,2)&gt;0,"Overpaid",IF(ROUND($F1815-$D1815,2)=0,"Paid","Partial"))))</f>
      </c>
      <c r="J1815" s="29"/>
      <c r="K1815">
        <f>IF($A1815="","","#"&amp;TRIM(SUBSTITUTE(SUBSTITUTE(SUBSTITUTE(SUBSTITUTE(SUBSTITUTE(SUBSTITUTE($A1815,"-",""),"(",""),")",""),".",""),"+","")," ","")))</f>
      </c>
    </row>
    <row r="1816" spans="1:11" x14ac:dyDescent="0.3">
      <c r="A1816" s="28"/>
      <c r="B1816" s="29"/>
      <c r="C1816" s="30"/>
      <c r="D1816" s="31"/>
      <c r="E1816" s="33">
        <f>IF(OR($D1816="",$K1816=""),"",IF(COUNTIFS(Payments!$G$5:$G$2500,$K1816,Payments!$C$5:$C$2500,"&lt;&gt;")=0,"",_xlfn.MAXIFS(Payments!$C$5:$C$2500,Payments!$G$5:$G$2500,$K1816)))</f>
      </c>
      <c r="F1816" s="34">
        <f>IF(OR($D1816="",$K1816=""),"",SUMIF(Payments!$G$5:$G$2500,$K1816,Payments!$D$5:$D$2500))</f>
      </c>
      <c r="G1816" s="36">
        <f>IF($D1816="","",ROUND($D1816-IF($F1816="",0,$F1816),2))</f>
      </c>
      <c r="H1816" s="35">
        <f>IF(OR($D1816="",$K1816=""),"",COUNTIF(Payments!$G$5:$G$2500,$K1816))</f>
      </c>
      <c r="I1816" s="37">
        <f>IF($D1816="","",IF(OR($F1816="",$F1816=0),"Pending",IF(ROUND($F1816-$D1816,2)&gt;0,"Overpaid",IF(ROUND($F1816-$D1816,2)=0,"Paid","Partial"))))</f>
      </c>
      <c r="J1816" s="29"/>
      <c r="K1816">
        <f>IF($A1816="","","#"&amp;TRIM(SUBSTITUTE(SUBSTITUTE(SUBSTITUTE(SUBSTITUTE(SUBSTITUTE(SUBSTITUTE($A1816,"-",""),"(",""),")",""),".",""),"+","")," ","")))</f>
      </c>
    </row>
    <row r="1817" spans="1:11" x14ac:dyDescent="0.3">
      <c r="A1817" s="28"/>
      <c r="B1817" s="29"/>
      <c r="C1817" s="30"/>
      <c r="D1817" s="31"/>
      <c r="E1817" s="33">
        <f>IF(OR($D1817="",$K1817=""),"",IF(COUNTIFS(Payments!$G$5:$G$2500,$K1817,Payments!$C$5:$C$2500,"&lt;&gt;")=0,"",_xlfn.MAXIFS(Payments!$C$5:$C$2500,Payments!$G$5:$G$2500,$K1817)))</f>
      </c>
      <c r="F1817" s="34">
        <f>IF(OR($D1817="",$K1817=""),"",SUMIF(Payments!$G$5:$G$2500,$K1817,Payments!$D$5:$D$2500))</f>
      </c>
      <c r="G1817" s="36">
        <f>IF($D1817="","",ROUND($D1817-IF($F1817="",0,$F1817),2))</f>
      </c>
      <c r="H1817" s="35">
        <f>IF(OR($D1817="",$K1817=""),"",COUNTIF(Payments!$G$5:$G$2500,$K1817))</f>
      </c>
      <c r="I1817" s="37">
        <f>IF($D1817="","",IF(OR($F1817="",$F1817=0),"Pending",IF(ROUND($F1817-$D1817,2)&gt;0,"Overpaid",IF(ROUND($F1817-$D1817,2)=0,"Paid","Partial"))))</f>
      </c>
      <c r="J1817" s="29"/>
      <c r="K1817">
        <f>IF($A1817="","","#"&amp;TRIM(SUBSTITUTE(SUBSTITUTE(SUBSTITUTE(SUBSTITUTE(SUBSTITUTE(SUBSTITUTE($A1817,"-",""),"(",""),")",""),".",""),"+","")," ","")))</f>
      </c>
    </row>
    <row r="1818" spans="1:11" x14ac:dyDescent="0.3">
      <c r="A1818" s="28"/>
      <c r="B1818" s="29"/>
      <c r="C1818" s="30"/>
      <c r="D1818" s="31"/>
      <c r="E1818" s="33">
        <f>IF(OR($D1818="",$K1818=""),"",IF(COUNTIFS(Payments!$G$5:$G$2500,$K1818,Payments!$C$5:$C$2500,"&lt;&gt;")=0,"",_xlfn.MAXIFS(Payments!$C$5:$C$2500,Payments!$G$5:$G$2500,$K1818)))</f>
      </c>
      <c r="F1818" s="34">
        <f>IF(OR($D1818="",$K1818=""),"",SUMIF(Payments!$G$5:$G$2500,$K1818,Payments!$D$5:$D$2500))</f>
      </c>
      <c r="G1818" s="36">
        <f>IF($D1818="","",ROUND($D1818-IF($F1818="",0,$F1818),2))</f>
      </c>
      <c r="H1818" s="35">
        <f>IF(OR($D1818="",$K1818=""),"",COUNTIF(Payments!$G$5:$G$2500,$K1818))</f>
      </c>
      <c r="I1818" s="37">
        <f>IF($D1818="","",IF(OR($F1818="",$F1818=0),"Pending",IF(ROUND($F1818-$D1818,2)&gt;0,"Overpaid",IF(ROUND($F1818-$D1818,2)=0,"Paid","Partial"))))</f>
      </c>
      <c r="J1818" s="29"/>
      <c r="K1818">
        <f>IF($A1818="","","#"&amp;TRIM(SUBSTITUTE(SUBSTITUTE(SUBSTITUTE(SUBSTITUTE(SUBSTITUTE(SUBSTITUTE($A1818,"-",""),"(",""),")",""),".",""),"+","")," ","")))</f>
      </c>
    </row>
    <row r="1819" spans="1:11" x14ac:dyDescent="0.3">
      <c r="A1819" s="28"/>
      <c r="B1819" s="29"/>
      <c r="C1819" s="30"/>
      <c r="D1819" s="31"/>
      <c r="E1819" s="33">
        <f>IF(OR($D1819="",$K1819=""),"",IF(COUNTIFS(Payments!$G$5:$G$2500,$K1819,Payments!$C$5:$C$2500,"&lt;&gt;")=0,"",_xlfn.MAXIFS(Payments!$C$5:$C$2500,Payments!$G$5:$G$2500,$K1819)))</f>
      </c>
      <c r="F1819" s="34">
        <f>IF(OR($D1819="",$K1819=""),"",SUMIF(Payments!$G$5:$G$2500,$K1819,Payments!$D$5:$D$2500))</f>
      </c>
      <c r="G1819" s="36">
        <f>IF($D1819="","",ROUND($D1819-IF($F1819="",0,$F1819),2))</f>
      </c>
      <c r="H1819" s="35">
        <f>IF(OR($D1819="",$K1819=""),"",COUNTIF(Payments!$G$5:$G$2500,$K1819))</f>
      </c>
      <c r="I1819" s="37">
        <f>IF($D1819="","",IF(OR($F1819="",$F1819=0),"Pending",IF(ROUND($F1819-$D1819,2)&gt;0,"Overpaid",IF(ROUND($F1819-$D1819,2)=0,"Paid","Partial"))))</f>
      </c>
      <c r="J1819" s="29"/>
      <c r="K1819">
        <f>IF($A1819="","","#"&amp;TRIM(SUBSTITUTE(SUBSTITUTE(SUBSTITUTE(SUBSTITUTE(SUBSTITUTE(SUBSTITUTE($A1819,"-",""),"(",""),")",""),".",""),"+","")," ","")))</f>
      </c>
    </row>
    <row r="1820" spans="1:11" x14ac:dyDescent="0.3">
      <c r="A1820" s="28"/>
      <c r="B1820" s="29"/>
      <c r="C1820" s="30"/>
      <c r="D1820" s="31"/>
      <c r="E1820" s="33">
        <f>IF(OR($D1820="",$K1820=""),"",IF(COUNTIFS(Payments!$G$5:$G$2500,$K1820,Payments!$C$5:$C$2500,"&lt;&gt;")=0,"",_xlfn.MAXIFS(Payments!$C$5:$C$2500,Payments!$G$5:$G$2500,$K1820)))</f>
      </c>
      <c r="F1820" s="34">
        <f>IF(OR($D1820="",$K1820=""),"",SUMIF(Payments!$G$5:$G$2500,$K1820,Payments!$D$5:$D$2500))</f>
      </c>
      <c r="G1820" s="36">
        <f>IF($D1820="","",ROUND($D1820-IF($F1820="",0,$F1820),2))</f>
      </c>
      <c r="H1820" s="35">
        <f>IF(OR($D1820="",$K1820=""),"",COUNTIF(Payments!$G$5:$G$2500,$K1820))</f>
      </c>
      <c r="I1820" s="37">
        <f>IF($D1820="","",IF(OR($F1820="",$F1820=0),"Pending",IF(ROUND($F1820-$D1820,2)&gt;0,"Overpaid",IF(ROUND($F1820-$D1820,2)=0,"Paid","Partial"))))</f>
      </c>
      <c r="J1820" s="29"/>
      <c r="K1820">
        <f>IF($A1820="","","#"&amp;TRIM(SUBSTITUTE(SUBSTITUTE(SUBSTITUTE(SUBSTITUTE(SUBSTITUTE(SUBSTITUTE($A1820,"-",""),"(",""),")",""),".",""),"+","")," ","")))</f>
      </c>
    </row>
    <row r="1821" spans="1:11" x14ac:dyDescent="0.3">
      <c r="A1821" s="28"/>
      <c r="B1821" s="29"/>
      <c r="C1821" s="30"/>
      <c r="D1821" s="31"/>
      <c r="E1821" s="33">
        <f>IF(OR($D1821="",$K1821=""),"",IF(COUNTIFS(Payments!$G$5:$G$2500,$K1821,Payments!$C$5:$C$2500,"&lt;&gt;")=0,"",_xlfn.MAXIFS(Payments!$C$5:$C$2500,Payments!$G$5:$G$2500,$K1821)))</f>
      </c>
      <c r="F1821" s="34">
        <f>IF(OR($D1821="",$K1821=""),"",SUMIF(Payments!$G$5:$G$2500,$K1821,Payments!$D$5:$D$2500))</f>
      </c>
      <c r="G1821" s="36">
        <f>IF($D1821="","",ROUND($D1821-IF($F1821="",0,$F1821),2))</f>
      </c>
      <c r="H1821" s="35">
        <f>IF(OR($D1821="",$K1821=""),"",COUNTIF(Payments!$G$5:$G$2500,$K1821))</f>
      </c>
      <c r="I1821" s="37">
        <f>IF($D1821="","",IF(OR($F1821="",$F1821=0),"Pending",IF(ROUND($F1821-$D1821,2)&gt;0,"Overpaid",IF(ROUND($F1821-$D1821,2)=0,"Paid","Partial"))))</f>
      </c>
      <c r="J1821" s="29"/>
      <c r="K1821">
        <f>IF($A1821="","","#"&amp;TRIM(SUBSTITUTE(SUBSTITUTE(SUBSTITUTE(SUBSTITUTE(SUBSTITUTE(SUBSTITUTE($A1821,"-",""),"(",""),")",""),".",""),"+","")," ","")))</f>
      </c>
    </row>
    <row r="1822" spans="1:11" x14ac:dyDescent="0.3">
      <c r="A1822" s="28"/>
      <c r="B1822" s="29"/>
      <c r="C1822" s="30"/>
      <c r="D1822" s="31"/>
      <c r="E1822" s="33">
        <f>IF(OR($D1822="",$K1822=""),"",IF(COUNTIFS(Payments!$G$5:$G$2500,$K1822,Payments!$C$5:$C$2500,"&lt;&gt;")=0,"",_xlfn.MAXIFS(Payments!$C$5:$C$2500,Payments!$G$5:$G$2500,$K1822)))</f>
      </c>
      <c r="F1822" s="34">
        <f>IF(OR($D1822="",$K1822=""),"",SUMIF(Payments!$G$5:$G$2500,$K1822,Payments!$D$5:$D$2500))</f>
      </c>
      <c r="G1822" s="36">
        <f>IF($D1822="","",ROUND($D1822-IF($F1822="",0,$F1822),2))</f>
      </c>
      <c r="H1822" s="35">
        <f>IF(OR($D1822="",$K1822=""),"",COUNTIF(Payments!$G$5:$G$2500,$K1822))</f>
      </c>
      <c r="I1822" s="37">
        <f>IF($D1822="","",IF(OR($F1822="",$F1822=0),"Pending",IF(ROUND($F1822-$D1822,2)&gt;0,"Overpaid",IF(ROUND($F1822-$D1822,2)=0,"Paid","Partial"))))</f>
      </c>
      <c r="J1822" s="29"/>
      <c r="K1822">
        <f>IF($A1822="","","#"&amp;TRIM(SUBSTITUTE(SUBSTITUTE(SUBSTITUTE(SUBSTITUTE(SUBSTITUTE(SUBSTITUTE($A1822,"-",""),"(",""),")",""),".",""),"+","")," ","")))</f>
      </c>
    </row>
    <row r="1823" spans="1:11" x14ac:dyDescent="0.3">
      <c r="A1823" s="28"/>
      <c r="B1823" s="29"/>
      <c r="C1823" s="30"/>
      <c r="D1823" s="31"/>
      <c r="E1823" s="33">
        <f>IF(OR($D1823="",$K1823=""),"",IF(COUNTIFS(Payments!$G$5:$G$2500,$K1823,Payments!$C$5:$C$2500,"&lt;&gt;")=0,"",_xlfn.MAXIFS(Payments!$C$5:$C$2500,Payments!$G$5:$G$2500,$K1823)))</f>
      </c>
      <c r="F1823" s="34">
        <f>IF(OR($D1823="",$K1823=""),"",SUMIF(Payments!$G$5:$G$2500,$K1823,Payments!$D$5:$D$2500))</f>
      </c>
      <c r="G1823" s="36">
        <f>IF($D1823="","",ROUND($D1823-IF($F1823="",0,$F1823),2))</f>
      </c>
      <c r="H1823" s="35">
        <f>IF(OR($D1823="",$K1823=""),"",COUNTIF(Payments!$G$5:$G$2500,$K1823))</f>
      </c>
      <c r="I1823" s="37">
        <f>IF($D1823="","",IF(OR($F1823="",$F1823=0),"Pending",IF(ROUND($F1823-$D1823,2)&gt;0,"Overpaid",IF(ROUND($F1823-$D1823,2)=0,"Paid","Partial"))))</f>
      </c>
      <c r="J1823" s="29"/>
      <c r="K1823">
        <f>IF($A1823="","","#"&amp;TRIM(SUBSTITUTE(SUBSTITUTE(SUBSTITUTE(SUBSTITUTE(SUBSTITUTE(SUBSTITUTE($A1823,"-",""),"(",""),")",""),".",""),"+","")," ","")))</f>
      </c>
    </row>
    <row r="1824" spans="1:11" x14ac:dyDescent="0.3">
      <c r="A1824" s="28"/>
      <c r="B1824" s="29"/>
      <c r="C1824" s="30"/>
      <c r="D1824" s="31"/>
      <c r="E1824" s="33">
        <f>IF(OR($D1824="",$K1824=""),"",IF(COUNTIFS(Payments!$G$5:$G$2500,$K1824,Payments!$C$5:$C$2500,"&lt;&gt;")=0,"",_xlfn.MAXIFS(Payments!$C$5:$C$2500,Payments!$G$5:$G$2500,$K1824)))</f>
      </c>
      <c r="F1824" s="34">
        <f>IF(OR($D1824="",$K1824=""),"",SUMIF(Payments!$G$5:$G$2500,$K1824,Payments!$D$5:$D$2500))</f>
      </c>
      <c r="G1824" s="36">
        <f>IF($D1824="","",ROUND($D1824-IF($F1824="",0,$F1824),2))</f>
      </c>
      <c r="H1824" s="35">
        <f>IF(OR($D1824="",$K1824=""),"",COUNTIF(Payments!$G$5:$G$2500,$K1824))</f>
      </c>
      <c r="I1824" s="37">
        <f>IF($D1824="","",IF(OR($F1824="",$F1824=0),"Pending",IF(ROUND($F1824-$D1824,2)&gt;0,"Overpaid",IF(ROUND($F1824-$D1824,2)=0,"Paid","Partial"))))</f>
      </c>
      <c r="J1824" s="29"/>
      <c r="K1824">
        <f>IF($A1824="","","#"&amp;TRIM(SUBSTITUTE(SUBSTITUTE(SUBSTITUTE(SUBSTITUTE(SUBSTITUTE(SUBSTITUTE($A1824,"-",""),"(",""),")",""),".",""),"+","")," ","")))</f>
      </c>
    </row>
    <row r="1825" spans="1:11" x14ac:dyDescent="0.3">
      <c r="A1825" s="28"/>
      <c r="B1825" s="29"/>
      <c r="C1825" s="30"/>
      <c r="D1825" s="31"/>
      <c r="E1825" s="33">
        <f>IF(OR($D1825="",$K1825=""),"",IF(COUNTIFS(Payments!$G$5:$G$2500,$K1825,Payments!$C$5:$C$2500,"&lt;&gt;")=0,"",_xlfn.MAXIFS(Payments!$C$5:$C$2500,Payments!$G$5:$G$2500,$K1825)))</f>
      </c>
      <c r="F1825" s="34">
        <f>IF(OR($D1825="",$K1825=""),"",SUMIF(Payments!$G$5:$G$2500,$K1825,Payments!$D$5:$D$2500))</f>
      </c>
      <c r="G1825" s="36">
        <f>IF($D1825="","",ROUND($D1825-IF($F1825="",0,$F1825),2))</f>
      </c>
      <c r="H1825" s="35">
        <f>IF(OR($D1825="",$K1825=""),"",COUNTIF(Payments!$G$5:$G$2500,$K1825))</f>
      </c>
      <c r="I1825" s="37">
        <f>IF($D1825="","",IF(OR($F1825="",$F1825=0),"Pending",IF(ROUND($F1825-$D1825,2)&gt;0,"Overpaid",IF(ROUND($F1825-$D1825,2)=0,"Paid","Partial"))))</f>
      </c>
      <c r="J1825" s="29"/>
      <c r="K1825">
        <f>IF($A1825="","","#"&amp;TRIM(SUBSTITUTE(SUBSTITUTE(SUBSTITUTE(SUBSTITUTE(SUBSTITUTE(SUBSTITUTE($A1825,"-",""),"(",""),")",""),".",""),"+","")," ","")))</f>
      </c>
    </row>
    <row r="1826" spans="1:11" x14ac:dyDescent="0.3">
      <c r="A1826" s="28"/>
      <c r="B1826" s="29"/>
      <c r="C1826" s="30"/>
      <c r="D1826" s="31"/>
      <c r="E1826" s="33">
        <f>IF(OR($D1826="",$K1826=""),"",IF(COUNTIFS(Payments!$G$5:$G$2500,$K1826,Payments!$C$5:$C$2500,"&lt;&gt;")=0,"",_xlfn.MAXIFS(Payments!$C$5:$C$2500,Payments!$G$5:$G$2500,$K1826)))</f>
      </c>
      <c r="F1826" s="34">
        <f>IF(OR($D1826="",$K1826=""),"",SUMIF(Payments!$G$5:$G$2500,$K1826,Payments!$D$5:$D$2500))</f>
      </c>
      <c r="G1826" s="36">
        <f>IF($D1826="","",ROUND($D1826-IF($F1826="",0,$F1826),2))</f>
      </c>
      <c r="H1826" s="35">
        <f>IF(OR($D1826="",$K1826=""),"",COUNTIF(Payments!$G$5:$G$2500,$K1826))</f>
      </c>
      <c r="I1826" s="37">
        <f>IF($D1826="","",IF(OR($F1826="",$F1826=0),"Pending",IF(ROUND($F1826-$D1826,2)&gt;0,"Overpaid",IF(ROUND($F1826-$D1826,2)=0,"Paid","Partial"))))</f>
      </c>
      <c r="J1826" s="29"/>
      <c r="K1826">
        <f>IF($A1826="","","#"&amp;TRIM(SUBSTITUTE(SUBSTITUTE(SUBSTITUTE(SUBSTITUTE(SUBSTITUTE(SUBSTITUTE($A1826,"-",""),"(",""),")",""),".",""),"+","")," ","")))</f>
      </c>
    </row>
    <row r="1827" spans="1:11" x14ac:dyDescent="0.3">
      <c r="A1827" s="28"/>
      <c r="B1827" s="29"/>
      <c r="C1827" s="30"/>
      <c r="D1827" s="31"/>
      <c r="E1827" s="33">
        <f>IF(OR($D1827="",$K1827=""),"",IF(COUNTIFS(Payments!$G$5:$G$2500,$K1827,Payments!$C$5:$C$2500,"&lt;&gt;")=0,"",_xlfn.MAXIFS(Payments!$C$5:$C$2500,Payments!$G$5:$G$2500,$K1827)))</f>
      </c>
      <c r="F1827" s="34">
        <f>IF(OR($D1827="",$K1827=""),"",SUMIF(Payments!$G$5:$G$2500,$K1827,Payments!$D$5:$D$2500))</f>
      </c>
      <c r="G1827" s="36">
        <f>IF($D1827="","",ROUND($D1827-IF($F1827="",0,$F1827),2))</f>
      </c>
      <c r="H1827" s="35">
        <f>IF(OR($D1827="",$K1827=""),"",COUNTIF(Payments!$G$5:$G$2500,$K1827))</f>
      </c>
      <c r="I1827" s="37">
        <f>IF($D1827="","",IF(OR($F1827="",$F1827=0),"Pending",IF(ROUND($F1827-$D1827,2)&gt;0,"Overpaid",IF(ROUND($F1827-$D1827,2)=0,"Paid","Partial"))))</f>
      </c>
      <c r="J1827" s="29"/>
      <c r="K1827">
        <f>IF($A1827="","","#"&amp;TRIM(SUBSTITUTE(SUBSTITUTE(SUBSTITUTE(SUBSTITUTE(SUBSTITUTE(SUBSTITUTE($A1827,"-",""),"(",""),")",""),".",""),"+","")," ","")))</f>
      </c>
    </row>
    <row r="1828" spans="1:11" x14ac:dyDescent="0.3">
      <c r="A1828" s="28"/>
      <c r="B1828" s="29"/>
      <c r="C1828" s="30"/>
      <c r="D1828" s="31"/>
      <c r="E1828" s="33">
        <f>IF(OR($D1828="",$K1828=""),"",IF(COUNTIFS(Payments!$G$5:$G$2500,$K1828,Payments!$C$5:$C$2500,"&lt;&gt;")=0,"",_xlfn.MAXIFS(Payments!$C$5:$C$2500,Payments!$G$5:$G$2500,$K1828)))</f>
      </c>
      <c r="F1828" s="34">
        <f>IF(OR($D1828="",$K1828=""),"",SUMIF(Payments!$G$5:$G$2500,$K1828,Payments!$D$5:$D$2500))</f>
      </c>
      <c r="G1828" s="36">
        <f>IF($D1828="","",ROUND($D1828-IF($F1828="",0,$F1828),2))</f>
      </c>
      <c r="H1828" s="35">
        <f>IF(OR($D1828="",$K1828=""),"",COUNTIF(Payments!$G$5:$G$2500,$K1828))</f>
      </c>
      <c r="I1828" s="37">
        <f>IF($D1828="","",IF(OR($F1828="",$F1828=0),"Pending",IF(ROUND($F1828-$D1828,2)&gt;0,"Overpaid",IF(ROUND($F1828-$D1828,2)=0,"Paid","Partial"))))</f>
      </c>
      <c r="J1828" s="29"/>
      <c r="K1828">
        <f>IF($A1828="","","#"&amp;TRIM(SUBSTITUTE(SUBSTITUTE(SUBSTITUTE(SUBSTITUTE(SUBSTITUTE(SUBSTITUTE($A1828,"-",""),"(",""),")",""),".",""),"+","")," ","")))</f>
      </c>
    </row>
    <row r="1829" spans="1:11" x14ac:dyDescent="0.3">
      <c r="A1829" s="28"/>
      <c r="B1829" s="29"/>
      <c r="C1829" s="30"/>
      <c r="D1829" s="31"/>
      <c r="E1829" s="33">
        <f>IF(OR($D1829="",$K1829=""),"",IF(COUNTIFS(Payments!$G$5:$G$2500,$K1829,Payments!$C$5:$C$2500,"&lt;&gt;")=0,"",_xlfn.MAXIFS(Payments!$C$5:$C$2500,Payments!$G$5:$G$2500,$K1829)))</f>
      </c>
      <c r="F1829" s="34">
        <f>IF(OR($D1829="",$K1829=""),"",SUMIF(Payments!$G$5:$G$2500,$K1829,Payments!$D$5:$D$2500))</f>
      </c>
      <c r="G1829" s="36">
        <f>IF($D1829="","",ROUND($D1829-IF($F1829="",0,$F1829),2))</f>
      </c>
      <c r="H1829" s="35">
        <f>IF(OR($D1829="",$K1829=""),"",COUNTIF(Payments!$G$5:$G$2500,$K1829))</f>
      </c>
      <c r="I1829" s="37">
        <f>IF($D1829="","",IF(OR($F1829="",$F1829=0),"Pending",IF(ROUND($F1829-$D1829,2)&gt;0,"Overpaid",IF(ROUND($F1829-$D1829,2)=0,"Paid","Partial"))))</f>
      </c>
      <c r="J1829" s="29"/>
      <c r="K1829">
        <f>IF($A1829="","","#"&amp;TRIM(SUBSTITUTE(SUBSTITUTE(SUBSTITUTE(SUBSTITUTE(SUBSTITUTE(SUBSTITUTE($A1829,"-",""),"(",""),")",""),".",""),"+","")," ","")))</f>
      </c>
    </row>
    <row r="1830" spans="1:11" x14ac:dyDescent="0.3">
      <c r="A1830" s="28"/>
      <c r="B1830" s="29"/>
      <c r="C1830" s="30"/>
      <c r="D1830" s="31"/>
      <c r="E1830" s="33">
        <f>IF(OR($D1830="",$K1830=""),"",IF(COUNTIFS(Payments!$G$5:$G$2500,$K1830,Payments!$C$5:$C$2500,"&lt;&gt;")=0,"",_xlfn.MAXIFS(Payments!$C$5:$C$2500,Payments!$G$5:$G$2500,$K1830)))</f>
      </c>
      <c r="F1830" s="34">
        <f>IF(OR($D1830="",$K1830=""),"",SUMIF(Payments!$G$5:$G$2500,$K1830,Payments!$D$5:$D$2500))</f>
      </c>
      <c r="G1830" s="36">
        <f>IF($D1830="","",ROUND($D1830-IF($F1830="",0,$F1830),2))</f>
      </c>
      <c r="H1830" s="35">
        <f>IF(OR($D1830="",$K1830=""),"",COUNTIF(Payments!$G$5:$G$2500,$K1830))</f>
      </c>
      <c r="I1830" s="37">
        <f>IF($D1830="","",IF(OR($F1830="",$F1830=0),"Pending",IF(ROUND($F1830-$D1830,2)&gt;0,"Overpaid",IF(ROUND($F1830-$D1830,2)=0,"Paid","Partial"))))</f>
      </c>
      <c r="J1830" s="29"/>
      <c r="K1830">
        <f>IF($A1830="","","#"&amp;TRIM(SUBSTITUTE(SUBSTITUTE(SUBSTITUTE(SUBSTITUTE(SUBSTITUTE(SUBSTITUTE($A1830,"-",""),"(",""),")",""),".",""),"+","")," ","")))</f>
      </c>
    </row>
    <row r="1831" spans="1:11" x14ac:dyDescent="0.3">
      <c r="A1831" s="28"/>
      <c r="B1831" s="29"/>
      <c r="C1831" s="30"/>
      <c r="D1831" s="31"/>
      <c r="E1831" s="33">
        <f>IF(OR($D1831="",$K1831=""),"",IF(COUNTIFS(Payments!$G$5:$G$2500,$K1831,Payments!$C$5:$C$2500,"&lt;&gt;")=0,"",_xlfn.MAXIFS(Payments!$C$5:$C$2500,Payments!$G$5:$G$2500,$K1831)))</f>
      </c>
      <c r="F1831" s="34">
        <f>IF(OR($D1831="",$K1831=""),"",SUMIF(Payments!$G$5:$G$2500,$K1831,Payments!$D$5:$D$2500))</f>
      </c>
      <c r="G1831" s="36">
        <f>IF($D1831="","",ROUND($D1831-IF($F1831="",0,$F1831),2))</f>
      </c>
      <c r="H1831" s="35">
        <f>IF(OR($D1831="",$K1831=""),"",COUNTIF(Payments!$G$5:$G$2500,$K1831))</f>
      </c>
      <c r="I1831" s="37">
        <f>IF($D1831="","",IF(OR($F1831="",$F1831=0),"Pending",IF(ROUND($F1831-$D1831,2)&gt;0,"Overpaid",IF(ROUND($F1831-$D1831,2)=0,"Paid","Partial"))))</f>
      </c>
      <c r="J1831" s="29"/>
      <c r="K1831">
        <f>IF($A1831="","","#"&amp;TRIM(SUBSTITUTE(SUBSTITUTE(SUBSTITUTE(SUBSTITUTE(SUBSTITUTE(SUBSTITUTE($A1831,"-",""),"(",""),")",""),".",""),"+","")," ","")))</f>
      </c>
    </row>
    <row r="1832" spans="1:11" x14ac:dyDescent="0.3">
      <c r="A1832" s="28"/>
      <c r="B1832" s="29"/>
      <c r="C1832" s="30"/>
      <c r="D1832" s="31"/>
      <c r="E1832" s="33">
        <f>IF(OR($D1832="",$K1832=""),"",IF(COUNTIFS(Payments!$G$5:$G$2500,$K1832,Payments!$C$5:$C$2500,"&lt;&gt;")=0,"",_xlfn.MAXIFS(Payments!$C$5:$C$2500,Payments!$G$5:$G$2500,$K1832)))</f>
      </c>
      <c r="F1832" s="34">
        <f>IF(OR($D1832="",$K1832=""),"",SUMIF(Payments!$G$5:$G$2500,$K1832,Payments!$D$5:$D$2500))</f>
      </c>
      <c r="G1832" s="36">
        <f>IF($D1832="","",ROUND($D1832-IF($F1832="",0,$F1832),2))</f>
      </c>
      <c r="H1832" s="35">
        <f>IF(OR($D1832="",$K1832=""),"",COUNTIF(Payments!$G$5:$G$2500,$K1832))</f>
      </c>
      <c r="I1832" s="37">
        <f>IF($D1832="","",IF(OR($F1832="",$F1832=0),"Pending",IF(ROUND($F1832-$D1832,2)&gt;0,"Overpaid",IF(ROUND($F1832-$D1832,2)=0,"Paid","Partial"))))</f>
      </c>
      <c r="J1832" s="29"/>
      <c r="K1832">
        <f>IF($A1832="","","#"&amp;TRIM(SUBSTITUTE(SUBSTITUTE(SUBSTITUTE(SUBSTITUTE(SUBSTITUTE(SUBSTITUTE($A1832,"-",""),"(",""),")",""),".",""),"+","")," ","")))</f>
      </c>
    </row>
    <row r="1833" spans="1:11" x14ac:dyDescent="0.3">
      <c r="A1833" s="28"/>
      <c r="B1833" s="29"/>
      <c r="C1833" s="30"/>
      <c r="D1833" s="31"/>
      <c r="E1833" s="33">
        <f>IF(OR($D1833="",$K1833=""),"",IF(COUNTIFS(Payments!$G$5:$G$2500,$K1833,Payments!$C$5:$C$2500,"&lt;&gt;")=0,"",_xlfn.MAXIFS(Payments!$C$5:$C$2500,Payments!$G$5:$G$2500,$K1833)))</f>
      </c>
      <c r="F1833" s="34">
        <f>IF(OR($D1833="",$K1833=""),"",SUMIF(Payments!$G$5:$G$2500,$K1833,Payments!$D$5:$D$2500))</f>
      </c>
      <c r="G1833" s="36">
        <f>IF($D1833="","",ROUND($D1833-IF($F1833="",0,$F1833),2))</f>
      </c>
      <c r="H1833" s="35">
        <f>IF(OR($D1833="",$K1833=""),"",COUNTIF(Payments!$G$5:$G$2500,$K1833))</f>
      </c>
      <c r="I1833" s="37">
        <f>IF($D1833="","",IF(OR($F1833="",$F1833=0),"Pending",IF(ROUND($F1833-$D1833,2)&gt;0,"Overpaid",IF(ROUND($F1833-$D1833,2)=0,"Paid","Partial"))))</f>
      </c>
      <c r="J1833" s="29"/>
      <c r="K1833">
        <f>IF($A1833="","","#"&amp;TRIM(SUBSTITUTE(SUBSTITUTE(SUBSTITUTE(SUBSTITUTE(SUBSTITUTE(SUBSTITUTE($A1833,"-",""),"(",""),")",""),".",""),"+","")," ","")))</f>
      </c>
    </row>
    <row r="1834" spans="1:11" x14ac:dyDescent="0.3">
      <c r="A1834" s="28"/>
      <c r="B1834" s="29"/>
      <c r="C1834" s="30"/>
      <c r="D1834" s="31"/>
      <c r="E1834" s="33">
        <f>IF(OR($D1834="",$K1834=""),"",IF(COUNTIFS(Payments!$G$5:$G$2500,$K1834,Payments!$C$5:$C$2500,"&lt;&gt;")=0,"",_xlfn.MAXIFS(Payments!$C$5:$C$2500,Payments!$G$5:$G$2500,$K1834)))</f>
      </c>
      <c r="F1834" s="34">
        <f>IF(OR($D1834="",$K1834=""),"",SUMIF(Payments!$G$5:$G$2500,$K1834,Payments!$D$5:$D$2500))</f>
      </c>
      <c r="G1834" s="36">
        <f>IF($D1834="","",ROUND($D1834-IF($F1834="",0,$F1834),2))</f>
      </c>
      <c r="H1834" s="35">
        <f>IF(OR($D1834="",$K1834=""),"",COUNTIF(Payments!$G$5:$G$2500,$K1834))</f>
      </c>
      <c r="I1834" s="37">
        <f>IF($D1834="","",IF(OR($F1834="",$F1834=0),"Pending",IF(ROUND($F1834-$D1834,2)&gt;0,"Overpaid",IF(ROUND($F1834-$D1834,2)=0,"Paid","Partial"))))</f>
      </c>
      <c r="J1834" s="29"/>
      <c r="K1834">
        <f>IF($A1834="","","#"&amp;TRIM(SUBSTITUTE(SUBSTITUTE(SUBSTITUTE(SUBSTITUTE(SUBSTITUTE(SUBSTITUTE($A1834,"-",""),"(",""),")",""),".",""),"+","")," ","")))</f>
      </c>
    </row>
    <row r="1835" spans="1:11" x14ac:dyDescent="0.3">
      <c r="A1835" s="28"/>
      <c r="B1835" s="29"/>
      <c r="C1835" s="30"/>
      <c r="D1835" s="31"/>
      <c r="E1835" s="33">
        <f>IF(OR($D1835="",$K1835=""),"",IF(COUNTIFS(Payments!$G$5:$G$2500,$K1835,Payments!$C$5:$C$2500,"&lt;&gt;")=0,"",_xlfn.MAXIFS(Payments!$C$5:$C$2500,Payments!$G$5:$G$2500,$K1835)))</f>
      </c>
      <c r="F1835" s="34">
        <f>IF(OR($D1835="",$K1835=""),"",SUMIF(Payments!$G$5:$G$2500,$K1835,Payments!$D$5:$D$2500))</f>
      </c>
      <c r="G1835" s="36">
        <f>IF($D1835="","",ROUND($D1835-IF($F1835="",0,$F1835),2))</f>
      </c>
      <c r="H1835" s="35">
        <f>IF(OR($D1835="",$K1835=""),"",COUNTIF(Payments!$G$5:$G$2500,$K1835))</f>
      </c>
      <c r="I1835" s="37">
        <f>IF($D1835="","",IF(OR($F1835="",$F1835=0),"Pending",IF(ROUND($F1835-$D1835,2)&gt;0,"Overpaid",IF(ROUND($F1835-$D1835,2)=0,"Paid","Partial"))))</f>
      </c>
      <c r="J1835" s="29"/>
      <c r="K1835">
        <f>IF($A1835="","","#"&amp;TRIM(SUBSTITUTE(SUBSTITUTE(SUBSTITUTE(SUBSTITUTE(SUBSTITUTE(SUBSTITUTE($A1835,"-",""),"(",""),")",""),".",""),"+","")," ","")))</f>
      </c>
    </row>
    <row r="1836" spans="1:11" x14ac:dyDescent="0.3">
      <c r="A1836" s="28"/>
      <c r="B1836" s="29"/>
      <c r="C1836" s="30"/>
      <c r="D1836" s="31"/>
      <c r="E1836" s="33">
        <f>IF(OR($D1836="",$K1836=""),"",IF(COUNTIFS(Payments!$G$5:$G$2500,$K1836,Payments!$C$5:$C$2500,"&lt;&gt;")=0,"",_xlfn.MAXIFS(Payments!$C$5:$C$2500,Payments!$G$5:$G$2500,$K1836)))</f>
      </c>
      <c r="F1836" s="34">
        <f>IF(OR($D1836="",$K1836=""),"",SUMIF(Payments!$G$5:$G$2500,$K1836,Payments!$D$5:$D$2500))</f>
      </c>
      <c r="G1836" s="36">
        <f>IF($D1836="","",ROUND($D1836-IF($F1836="",0,$F1836),2))</f>
      </c>
      <c r="H1836" s="35">
        <f>IF(OR($D1836="",$K1836=""),"",COUNTIF(Payments!$G$5:$G$2500,$K1836))</f>
      </c>
      <c r="I1836" s="37">
        <f>IF($D1836="","",IF(OR($F1836="",$F1836=0),"Pending",IF(ROUND($F1836-$D1836,2)&gt;0,"Overpaid",IF(ROUND($F1836-$D1836,2)=0,"Paid","Partial"))))</f>
      </c>
      <c r="J1836" s="29"/>
      <c r="K1836">
        <f>IF($A1836="","","#"&amp;TRIM(SUBSTITUTE(SUBSTITUTE(SUBSTITUTE(SUBSTITUTE(SUBSTITUTE(SUBSTITUTE($A1836,"-",""),"(",""),")",""),".",""),"+","")," ","")))</f>
      </c>
    </row>
    <row r="1837" spans="1:11" x14ac:dyDescent="0.3">
      <c r="A1837" s="28"/>
      <c r="B1837" s="29"/>
      <c r="C1837" s="30"/>
      <c r="D1837" s="31"/>
      <c r="E1837" s="33">
        <f>IF(OR($D1837="",$K1837=""),"",IF(COUNTIFS(Payments!$G$5:$G$2500,$K1837,Payments!$C$5:$C$2500,"&lt;&gt;")=0,"",_xlfn.MAXIFS(Payments!$C$5:$C$2500,Payments!$G$5:$G$2500,$K1837)))</f>
      </c>
      <c r="F1837" s="34">
        <f>IF(OR($D1837="",$K1837=""),"",SUMIF(Payments!$G$5:$G$2500,$K1837,Payments!$D$5:$D$2500))</f>
      </c>
      <c r="G1837" s="36">
        <f>IF($D1837="","",ROUND($D1837-IF($F1837="",0,$F1837),2))</f>
      </c>
      <c r="H1837" s="35">
        <f>IF(OR($D1837="",$K1837=""),"",COUNTIF(Payments!$G$5:$G$2500,$K1837))</f>
      </c>
      <c r="I1837" s="37">
        <f>IF($D1837="","",IF(OR($F1837="",$F1837=0),"Pending",IF(ROUND($F1837-$D1837,2)&gt;0,"Overpaid",IF(ROUND($F1837-$D1837,2)=0,"Paid","Partial"))))</f>
      </c>
      <c r="J1837" s="29"/>
      <c r="K1837">
        <f>IF($A1837="","","#"&amp;TRIM(SUBSTITUTE(SUBSTITUTE(SUBSTITUTE(SUBSTITUTE(SUBSTITUTE(SUBSTITUTE($A1837,"-",""),"(",""),")",""),".",""),"+","")," ","")))</f>
      </c>
    </row>
    <row r="1838" spans="1:11" x14ac:dyDescent="0.3">
      <c r="A1838" s="28"/>
      <c r="B1838" s="29"/>
      <c r="C1838" s="30"/>
      <c r="D1838" s="31"/>
      <c r="E1838" s="33">
        <f>IF(OR($D1838="",$K1838=""),"",IF(COUNTIFS(Payments!$G$5:$G$2500,$K1838,Payments!$C$5:$C$2500,"&lt;&gt;")=0,"",_xlfn.MAXIFS(Payments!$C$5:$C$2500,Payments!$G$5:$G$2500,$K1838)))</f>
      </c>
      <c r="F1838" s="34">
        <f>IF(OR($D1838="",$K1838=""),"",SUMIF(Payments!$G$5:$G$2500,$K1838,Payments!$D$5:$D$2500))</f>
      </c>
      <c r="G1838" s="36">
        <f>IF($D1838="","",ROUND($D1838-IF($F1838="",0,$F1838),2))</f>
      </c>
      <c r="H1838" s="35">
        <f>IF(OR($D1838="",$K1838=""),"",COUNTIF(Payments!$G$5:$G$2500,$K1838))</f>
      </c>
      <c r="I1838" s="37">
        <f>IF($D1838="","",IF(OR($F1838="",$F1838=0),"Pending",IF(ROUND($F1838-$D1838,2)&gt;0,"Overpaid",IF(ROUND($F1838-$D1838,2)=0,"Paid","Partial"))))</f>
      </c>
      <c r="J1838" s="29"/>
      <c r="K1838">
        <f>IF($A1838="","","#"&amp;TRIM(SUBSTITUTE(SUBSTITUTE(SUBSTITUTE(SUBSTITUTE(SUBSTITUTE(SUBSTITUTE($A1838,"-",""),"(",""),")",""),".",""),"+","")," ","")))</f>
      </c>
    </row>
    <row r="1839" spans="1:11" x14ac:dyDescent="0.3">
      <c r="A1839" s="28"/>
      <c r="B1839" s="29"/>
      <c r="C1839" s="30"/>
      <c r="D1839" s="31"/>
      <c r="E1839" s="33">
        <f>IF(OR($D1839="",$K1839=""),"",IF(COUNTIFS(Payments!$G$5:$G$2500,$K1839,Payments!$C$5:$C$2500,"&lt;&gt;")=0,"",_xlfn.MAXIFS(Payments!$C$5:$C$2500,Payments!$G$5:$G$2500,$K1839)))</f>
      </c>
      <c r="F1839" s="34">
        <f>IF(OR($D1839="",$K1839=""),"",SUMIF(Payments!$G$5:$G$2500,$K1839,Payments!$D$5:$D$2500))</f>
      </c>
      <c r="G1839" s="36">
        <f>IF($D1839="","",ROUND($D1839-IF($F1839="",0,$F1839),2))</f>
      </c>
      <c r="H1839" s="35">
        <f>IF(OR($D1839="",$K1839=""),"",COUNTIF(Payments!$G$5:$G$2500,$K1839))</f>
      </c>
      <c r="I1839" s="37">
        <f>IF($D1839="","",IF(OR($F1839="",$F1839=0),"Pending",IF(ROUND($F1839-$D1839,2)&gt;0,"Overpaid",IF(ROUND($F1839-$D1839,2)=0,"Paid","Partial"))))</f>
      </c>
      <c r="J1839" s="29"/>
      <c r="K1839">
        <f>IF($A1839="","","#"&amp;TRIM(SUBSTITUTE(SUBSTITUTE(SUBSTITUTE(SUBSTITUTE(SUBSTITUTE(SUBSTITUTE($A1839,"-",""),"(",""),")",""),".",""),"+","")," ","")))</f>
      </c>
    </row>
    <row r="1840" spans="1:11" x14ac:dyDescent="0.3">
      <c r="A1840" s="28"/>
      <c r="B1840" s="29"/>
      <c r="C1840" s="30"/>
      <c r="D1840" s="31"/>
      <c r="E1840" s="33">
        <f>IF(OR($D1840="",$K1840=""),"",IF(COUNTIFS(Payments!$G$5:$G$2500,$K1840,Payments!$C$5:$C$2500,"&lt;&gt;")=0,"",_xlfn.MAXIFS(Payments!$C$5:$C$2500,Payments!$G$5:$G$2500,$K1840)))</f>
      </c>
      <c r="F1840" s="34">
        <f>IF(OR($D1840="",$K1840=""),"",SUMIF(Payments!$G$5:$G$2500,$K1840,Payments!$D$5:$D$2500))</f>
      </c>
      <c r="G1840" s="36">
        <f>IF($D1840="","",ROUND($D1840-IF($F1840="",0,$F1840),2))</f>
      </c>
      <c r="H1840" s="35">
        <f>IF(OR($D1840="",$K1840=""),"",COUNTIF(Payments!$G$5:$G$2500,$K1840))</f>
      </c>
      <c r="I1840" s="37">
        <f>IF($D1840="","",IF(OR($F1840="",$F1840=0),"Pending",IF(ROUND($F1840-$D1840,2)&gt;0,"Overpaid",IF(ROUND($F1840-$D1840,2)=0,"Paid","Partial"))))</f>
      </c>
      <c r="J1840" s="29"/>
      <c r="K1840">
        <f>IF($A1840="","","#"&amp;TRIM(SUBSTITUTE(SUBSTITUTE(SUBSTITUTE(SUBSTITUTE(SUBSTITUTE(SUBSTITUTE($A1840,"-",""),"(",""),")",""),".",""),"+","")," ","")))</f>
      </c>
    </row>
    <row r="1841" spans="1:11" x14ac:dyDescent="0.3">
      <c r="A1841" s="28"/>
      <c r="B1841" s="29"/>
      <c r="C1841" s="30"/>
      <c r="D1841" s="31"/>
      <c r="E1841" s="33">
        <f>IF(OR($D1841="",$K1841=""),"",IF(COUNTIFS(Payments!$G$5:$G$2500,$K1841,Payments!$C$5:$C$2500,"&lt;&gt;")=0,"",_xlfn.MAXIFS(Payments!$C$5:$C$2500,Payments!$G$5:$G$2500,$K1841)))</f>
      </c>
      <c r="F1841" s="34">
        <f>IF(OR($D1841="",$K1841=""),"",SUMIF(Payments!$G$5:$G$2500,$K1841,Payments!$D$5:$D$2500))</f>
      </c>
      <c r="G1841" s="36">
        <f>IF($D1841="","",ROUND($D1841-IF($F1841="",0,$F1841),2))</f>
      </c>
      <c r="H1841" s="35">
        <f>IF(OR($D1841="",$K1841=""),"",COUNTIF(Payments!$G$5:$G$2500,$K1841))</f>
      </c>
      <c r="I1841" s="37">
        <f>IF($D1841="","",IF(OR($F1841="",$F1841=0),"Pending",IF(ROUND($F1841-$D1841,2)&gt;0,"Overpaid",IF(ROUND($F1841-$D1841,2)=0,"Paid","Partial"))))</f>
      </c>
      <c r="J1841" s="29"/>
      <c r="K1841">
        <f>IF($A1841="","","#"&amp;TRIM(SUBSTITUTE(SUBSTITUTE(SUBSTITUTE(SUBSTITUTE(SUBSTITUTE(SUBSTITUTE($A1841,"-",""),"(",""),")",""),".",""),"+","")," ","")))</f>
      </c>
    </row>
    <row r="1842" spans="1:11" x14ac:dyDescent="0.3">
      <c r="A1842" s="28"/>
      <c r="B1842" s="29"/>
      <c r="C1842" s="30"/>
      <c r="D1842" s="31"/>
      <c r="E1842" s="33">
        <f>IF(OR($D1842="",$K1842=""),"",IF(COUNTIFS(Payments!$G$5:$G$2500,$K1842,Payments!$C$5:$C$2500,"&lt;&gt;")=0,"",_xlfn.MAXIFS(Payments!$C$5:$C$2500,Payments!$G$5:$G$2500,$K1842)))</f>
      </c>
      <c r="F1842" s="34">
        <f>IF(OR($D1842="",$K1842=""),"",SUMIF(Payments!$G$5:$G$2500,$K1842,Payments!$D$5:$D$2500))</f>
      </c>
      <c r="G1842" s="36">
        <f>IF($D1842="","",ROUND($D1842-IF($F1842="",0,$F1842),2))</f>
      </c>
      <c r="H1842" s="35">
        <f>IF(OR($D1842="",$K1842=""),"",COUNTIF(Payments!$G$5:$G$2500,$K1842))</f>
      </c>
      <c r="I1842" s="37">
        <f>IF($D1842="","",IF(OR($F1842="",$F1842=0),"Pending",IF(ROUND($F1842-$D1842,2)&gt;0,"Overpaid",IF(ROUND($F1842-$D1842,2)=0,"Paid","Partial"))))</f>
      </c>
      <c r="J1842" s="29"/>
      <c r="K1842">
        <f>IF($A1842="","","#"&amp;TRIM(SUBSTITUTE(SUBSTITUTE(SUBSTITUTE(SUBSTITUTE(SUBSTITUTE(SUBSTITUTE($A1842,"-",""),"(",""),")",""),".",""),"+","")," ","")))</f>
      </c>
    </row>
    <row r="1843" spans="1:11" x14ac:dyDescent="0.3">
      <c r="A1843" s="28"/>
      <c r="B1843" s="29"/>
      <c r="C1843" s="30"/>
      <c r="D1843" s="31"/>
      <c r="E1843" s="33">
        <f>IF(OR($D1843="",$K1843=""),"",IF(COUNTIFS(Payments!$G$5:$G$2500,$K1843,Payments!$C$5:$C$2500,"&lt;&gt;")=0,"",_xlfn.MAXIFS(Payments!$C$5:$C$2500,Payments!$G$5:$G$2500,$K1843)))</f>
      </c>
      <c r="F1843" s="34">
        <f>IF(OR($D1843="",$K1843=""),"",SUMIF(Payments!$G$5:$G$2500,$K1843,Payments!$D$5:$D$2500))</f>
      </c>
      <c r="G1843" s="36">
        <f>IF($D1843="","",ROUND($D1843-IF($F1843="",0,$F1843),2))</f>
      </c>
      <c r="H1843" s="35">
        <f>IF(OR($D1843="",$K1843=""),"",COUNTIF(Payments!$G$5:$G$2500,$K1843))</f>
      </c>
      <c r="I1843" s="37">
        <f>IF($D1843="","",IF(OR($F1843="",$F1843=0),"Pending",IF(ROUND($F1843-$D1843,2)&gt;0,"Overpaid",IF(ROUND($F1843-$D1843,2)=0,"Paid","Partial"))))</f>
      </c>
      <c r="J1843" s="29"/>
      <c r="K1843">
        <f>IF($A1843="","","#"&amp;TRIM(SUBSTITUTE(SUBSTITUTE(SUBSTITUTE(SUBSTITUTE(SUBSTITUTE(SUBSTITUTE($A1843,"-",""),"(",""),")",""),".",""),"+","")," ","")))</f>
      </c>
    </row>
    <row r="1844" spans="1:11" x14ac:dyDescent="0.3">
      <c r="A1844" s="28"/>
      <c r="B1844" s="29"/>
      <c r="C1844" s="30"/>
      <c r="D1844" s="31"/>
      <c r="E1844" s="33">
        <f>IF(OR($D1844="",$K1844=""),"",IF(COUNTIFS(Payments!$G$5:$G$2500,$K1844,Payments!$C$5:$C$2500,"&lt;&gt;")=0,"",_xlfn.MAXIFS(Payments!$C$5:$C$2500,Payments!$G$5:$G$2500,$K1844)))</f>
      </c>
      <c r="F1844" s="34">
        <f>IF(OR($D1844="",$K1844=""),"",SUMIF(Payments!$G$5:$G$2500,$K1844,Payments!$D$5:$D$2500))</f>
      </c>
      <c r="G1844" s="36">
        <f>IF($D1844="","",ROUND($D1844-IF($F1844="",0,$F1844),2))</f>
      </c>
      <c r="H1844" s="35">
        <f>IF(OR($D1844="",$K1844=""),"",COUNTIF(Payments!$G$5:$G$2500,$K1844))</f>
      </c>
      <c r="I1844" s="37">
        <f>IF($D1844="","",IF(OR($F1844="",$F1844=0),"Pending",IF(ROUND($F1844-$D1844,2)&gt;0,"Overpaid",IF(ROUND($F1844-$D1844,2)=0,"Paid","Partial"))))</f>
      </c>
      <c r="J1844" s="29"/>
      <c r="K1844">
        <f>IF($A1844="","","#"&amp;TRIM(SUBSTITUTE(SUBSTITUTE(SUBSTITUTE(SUBSTITUTE(SUBSTITUTE(SUBSTITUTE($A1844,"-",""),"(",""),")",""),".",""),"+","")," ","")))</f>
      </c>
    </row>
    <row r="1845" spans="1:11" x14ac:dyDescent="0.3">
      <c r="A1845" s="28"/>
      <c r="B1845" s="29"/>
      <c r="C1845" s="30"/>
      <c r="D1845" s="31"/>
      <c r="E1845" s="33">
        <f>IF(OR($D1845="",$K1845=""),"",IF(COUNTIFS(Payments!$G$5:$G$2500,$K1845,Payments!$C$5:$C$2500,"&lt;&gt;")=0,"",_xlfn.MAXIFS(Payments!$C$5:$C$2500,Payments!$G$5:$G$2500,$K1845)))</f>
      </c>
      <c r="F1845" s="34">
        <f>IF(OR($D1845="",$K1845=""),"",SUMIF(Payments!$G$5:$G$2500,$K1845,Payments!$D$5:$D$2500))</f>
      </c>
      <c r="G1845" s="36">
        <f>IF($D1845="","",ROUND($D1845-IF($F1845="",0,$F1845),2))</f>
      </c>
      <c r="H1845" s="35">
        <f>IF(OR($D1845="",$K1845=""),"",COUNTIF(Payments!$G$5:$G$2500,$K1845))</f>
      </c>
      <c r="I1845" s="37">
        <f>IF($D1845="","",IF(OR($F1845="",$F1845=0),"Pending",IF(ROUND($F1845-$D1845,2)&gt;0,"Overpaid",IF(ROUND($F1845-$D1845,2)=0,"Paid","Partial"))))</f>
      </c>
      <c r="J1845" s="29"/>
      <c r="K1845">
        <f>IF($A1845="","","#"&amp;TRIM(SUBSTITUTE(SUBSTITUTE(SUBSTITUTE(SUBSTITUTE(SUBSTITUTE(SUBSTITUTE($A1845,"-",""),"(",""),")",""),".",""),"+","")," ","")))</f>
      </c>
    </row>
    <row r="1846" spans="1:11" x14ac:dyDescent="0.3">
      <c r="A1846" s="28"/>
      <c r="B1846" s="29"/>
      <c r="C1846" s="30"/>
      <c r="D1846" s="31"/>
      <c r="E1846" s="33">
        <f>IF(OR($D1846="",$K1846=""),"",IF(COUNTIFS(Payments!$G$5:$G$2500,$K1846,Payments!$C$5:$C$2500,"&lt;&gt;")=0,"",_xlfn.MAXIFS(Payments!$C$5:$C$2500,Payments!$G$5:$G$2500,$K1846)))</f>
      </c>
      <c r="F1846" s="34">
        <f>IF(OR($D1846="",$K1846=""),"",SUMIF(Payments!$G$5:$G$2500,$K1846,Payments!$D$5:$D$2500))</f>
      </c>
      <c r="G1846" s="36">
        <f>IF($D1846="","",ROUND($D1846-IF($F1846="",0,$F1846),2))</f>
      </c>
      <c r="H1846" s="35">
        <f>IF(OR($D1846="",$K1846=""),"",COUNTIF(Payments!$G$5:$G$2500,$K1846))</f>
      </c>
      <c r="I1846" s="37">
        <f>IF($D1846="","",IF(OR($F1846="",$F1846=0),"Pending",IF(ROUND($F1846-$D1846,2)&gt;0,"Overpaid",IF(ROUND($F1846-$D1846,2)=0,"Paid","Partial"))))</f>
      </c>
      <c r="J1846" s="29"/>
      <c r="K1846">
        <f>IF($A1846="","","#"&amp;TRIM(SUBSTITUTE(SUBSTITUTE(SUBSTITUTE(SUBSTITUTE(SUBSTITUTE(SUBSTITUTE($A1846,"-",""),"(",""),")",""),".",""),"+","")," ","")))</f>
      </c>
    </row>
    <row r="1847" spans="1:11" x14ac:dyDescent="0.3">
      <c r="A1847" s="28"/>
      <c r="B1847" s="29"/>
      <c r="C1847" s="30"/>
      <c r="D1847" s="31"/>
      <c r="E1847" s="33">
        <f>IF(OR($D1847="",$K1847=""),"",IF(COUNTIFS(Payments!$G$5:$G$2500,$K1847,Payments!$C$5:$C$2500,"&lt;&gt;")=0,"",_xlfn.MAXIFS(Payments!$C$5:$C$2500,Payments!$G$5:$G$2500,$K1847)))</f>
      </c>
      <c r="F1847" s="34">
        <f>IF(OR($D1847="",$K1847=""),"",SUMIF(Payments!$G$5:$G$2500,$K1847,Payments!$D$5:$D$2500))</f>
      </c>
      <c r="G1847" s="36">
        <f>IF($D1847="","",ROUND($D1847-IF($F1847="",0,$F1847),2))</f>
      </c>
      <c r="H1847" s="35">
        <f>IF(OR($D1847="",$K1847=""),"",COUNTIF(Payments!$G$5:$G$2500,$K1847))</f>
      </c>
      <c r="I1847" s="37">
        <f>IF($D1847="","",IF(OR($F1847="",$F1847=0),"Pending",IF(ROUND($F1847-$D1847,2)&gt;0,"Overpaid",IF(ROUND($F1847-$D1847,2)=0,"Paid","Partial"))))</f>
      </c>
      <c r="J1847" s="29"/>
      <c r="K1847">
        <f>IF($A1847="","","#"&amp;TRIM(SUBSTITUTE(SUBSTITUTE(SUBSTITUTE(SUBSTITUTE(SUBSTITUTE(SUBSTITUTE($A1847,"-",""),"(",""),")",""),".",""),"+","")," ","")))</f>
      </c>
    </row>
    <row r="1848" spans="1:11" x14ac:dyDescent="0.3">
      <c r="A1848" s="28"/>
      <c r="B1848" s="29"/>
      <c r="C1848" s="30"/>
      <c r="D1848" s="31"/>
      <c r="E1848" s="33">
        <f>IF(OR($D1848="",$K1848=""),"",IF(COUNTIFS(Payments!$G$5:$G$2500,$K1848,Payments!$C$5:$C$2500,"&lt;&gt;")=0,"",_xlfn.MAXIFS(Payments!$C$5:$C$2500,Payments!$G$5:$G$2500,$K1848)))</f>
      </c>
      <c r="F1848" s="34">
        <f>IF(OR($D1848="",$K1848=""),"",SUMIF(Payments!$G$5:$G$2500,$K1848,Payments!$D$5:$D$2500))</f>
      </c>
      <c r="G1848" s="36">
        <f>IF($D1848="","",ROUND($D1848-IF($F1848="",0,$F1848),2))</f>
      </c>
      <c r="H1848" s="35">
        <f>IF(OR($D1848="",$K1848=""),"",COUNTIF(Payments!$G$5:$G$2500,$K1848))</f>
      </c>
      <c r="I1848" s="37">
        <f>IF($D1848="","",IF(OR($F1848="",$F1848=0),"Pending",IF(ROUND($F1848-$D1848,2)&gt;0,"Overpaid",IF(ROUND($F1848-$D1848,2)=0,"Paid","Partial"))))</f>
      </c>
      <c r="J1848" s="29"/>
      <c r="K1848">
        <f>IF($A1848="","","#"&amp;TRIM(SUBSTITUTE(SUBSTITUTE(SUBSTITUTE(SUBSTITUTE(SUBSTITUTE(SUBSTITUTE($A1848,"-",""),"(",""),")",""),".",""),"+","")," ","")))</f>
      </c>
    </row>
    <row r="1849" spans="1:11" x14ac:dyDescent="0.3">
      <c r="A1849" s="28"/>
      <c r="B1849" s="29"/>
      <c r="C1849" s="30"/>
      <c r="D1849" s="31"/>
      <c r="E1849" s="33">
        <f>IF(OR($D1849="",$K1849=""),"",IF(COUNTIFS(Payments!$G$5:$G$2500,$K1849,Payments!$C$5:$C$2500,"&lt;&gt;")=0,"",_xlfn.MAXIFS(Payments!$C$5:$C$2500,Payments!$G$5:$G$2500,$K1849)))</f>
      </c>
      <c r="F1849" s="34">
        <f>IF(OR($D1849="",$K1849=""),"",SUMIF(Payments!$G$5:$G$2500,$K1849,Payments!$D$5:$D$2500))</f>
      </c>
      <c r="G1849" s="36">
        <f>IF($D1849="","",ROUND($D1849-IF($F1849="",0,$F1849),2))</f>
      </c>
      <c r="H1849" s="35">
        <f>IF(OR($D1849="",$K1849=""),"",COUNTIF(Payments!$G$5:$G$2500,$K1849))</f>
      </c>
      <c r="I1849" s="37">
        <f>IF($D1849="","",IF(OR($F1849="",$F1849=0),"Pending",IF(ROUND($F1849-$D1849,2)&gt;0,"Overpaid",IF(ROUND($F1849-$D1849,2)=0,"Paid","Partial"))))</f>
      </c>
      <c r="J1849" s="29"/>
      <c r="K1849">
        <f>IF($A1849="","","#"&amp;TRIM(SUBSTITUTE(SUBSTITUTE(SUBSTITUTE(SUBSTITUTE(SUBSTITUTE(SUBSTITUTE($A1849,"-",""),"(",""),")",""),".",""),"+","")," ","")))</f>
      </c>
    </row>
    <row r="1850" spans="1:11" x14ac:dyDescent="0.3">
      <c r="A1850" s="28"/>
      <c r="B1850" s="29"/>
      <c r="C1850" s="30"/>
      <c r="D1850" s="31"/>
      <c r="E1850" s="33">
        <f>IF(OR($D1850="",$K1850=""),"",IF(COUNTIFS(Payments!$G$5:$G$2500,$K1850,Payments!$C$5:$C$2500,"&lt;&gt;")=0,"",_xlfn.MAXIFS(Payments!$C$5:$C$2500,Payments!$G$5:$G$2500,$K1850)))</f>
      </c>
      <c r="F1850" s="34">
        <f>IF(OR($D1850="",$K1850=""),"",SUMIF(Payments!$G$5:$G$2500,$K1850,Payments!$D$5:$D$2500))</f>
      </c>
      <c r="G1850" s="36">
        <f>IF($D1850="","",ROUND($D1850-IF($F1850="",0,$F1850),2))</f>
      </c>
      <c r="H1850" s="35">
        <f>IF(OR($D1850="",$K1850=""),"",COUNTIF(Payments!$G$5:$G$2500,$K1850))</f>
      </c>
      <c r="I1850" s="37">
        <f>IF($D1850="","",IF(OR($F1850="",$F1850=0),"Pending",IF(ROUND($F1850-$D1850,2)&gt;0,"Overpaid",IF(ROUND($F1850-$D1850,2)=0,"Paid","Partial"))))</f>
      </c>
      <c r="J1850" s="29"/>
      <c r="K1850">
        <f>IF($A1850="","","#"&amp;TRIM(SUBSTITUTE(SUBSTITUTE(SUBSTITUTE(SUBSTITUTE(SUBSTITUTE(SUBSTITUTE($A1850,"-",""),"(",""),")",""),".",""),"+","")," ","")))</f>
      </c>
    </row>
    <row r="1851" spans="1:11" x14ac:dyDescent="0.3">
      <c r="A1851" s="28"/>
      <c r="B1851" s="29"/>
      <c r="C1851" s="30"/>
      <c r="D1851" s="31"/>
      <c r="E1851" s="33">
        <f>IF(OR($D1851="",$K1851=""),"",IF(COUNTIFS(Payments!$G$5:$G$2500,$K1851,Payments!$C$5:$C$2500,"&lt;&gt;")=0,"",_xlfn.MAXIFS(Payments!$C$5:$C$2500,Payments!$G$5:$G$2500,$K1851)))</f>
      </c>
      <c r="F1851" s="34">
        <f>IF(OR($D1851="",$K1851=""),"",SUMIF(Payments!$G$5:$G$2500,$K1851,Payments!$D$5:$D$2500))</f>
      </c>
      <c r="G1851" s="36">
        <f>IF($D1851="","",ROUND($D1851-IF($F1851="",0,$F1851),2))</f>
      </c>
      <c r="H1851" s="35">
        <f>IF(OR($D1851="",$K1851=""),"",COUNTIF(Payments!$G$5:$G$2500,$K1851))</f>
      </c>
      <c r="I1851" s="37">
        <f>IF($D1851="","",IF(OR($F1851="",$F1851=0),"Pending",IF(ROUND($F1851-$D1851,2)&gt;0,"Overpaid",IF(ROUND($F1851-$D1851,2)=0,"Paid","Partial"))))</f>
      </c>
      <c r="J1851" s="29"/>
      <c r="K1851">
        <f>IF($A1851="","","#"&amp;TRIM(SUBSTITUTE(SUBSTITUTE(SUBSTITUTE(SUBSTITUTE(SUBSTITUTE(SUBSTITUTE($A1851,"-",""),"(",""),")",""),".",""),"+","")," ","")))</f>
      </c>
    </row>
    <row r="1852" spans="1:11" x14ac:dyDescent="0.3">
      <c r="A1852" s="28"/>
      <c r="B1852" s="29"/>
      <c r="C1852" s="30"/>
      <c r="D1852" s="31"/>
      <c r="E1852" s="33">
        <f>IF(OR($D1852="",$K1852=""),"",IF(COUNTIFS(Payments!$G$5:$G$2500,$K1852,Payments!$C$5:$C$2500,"&lt;&gt;")=0,"",_xlfn.MAXIFS(Payments!$C$5:$C$2500,Payments!$G$5:$G$2500,$K1852)))</f>
      </c>
      <c r="F1852" s="34">
        <f>IF(OR($D1852="",$K1852=""),"",SUMIF(Payments!$G$5:$G$2500,$K1852,Payments!$D$5:$D$2500))</f>
      </c>
      <c r="G1852" s="36">
        <f>IF($D1852="","",ROUND($D1852-IF($F1852="",0,$F1852),2))</f>
      </c>
      <c r="H1852" s="35">
        <f>IF(OR($D1852="",$K1852=""),"",COUNTIF(Payments!$G$5:$G$2500,$K1852))</f>
      </c>
      <c r="I1852" s="37">
        <f>IF($D1852="","",IF(OR($F1852="",$F1852=0),"Pending",IF(ROUND($F1852-$D1852,2)&gt;0,"Overpaid",IF(ROUND($F1852-$D1852,2)=0,"Paid","Partial"))))</f>
      </c>
      <c r="J1852" s="29"/>
      <c r="K1852">
        <f>IF($A1852="","","#"&amp;TRIM(SUBSTITUTE(SUBSTITUTE(SUBSTITUTE(SUBSTITUTE(SUBSTITUTE(SUBSTITUTE($A1852,"-",""),"(",""),")",""),".",""),"+","")," ","")))</f>
      </c>
    </row>
    <row r="1853" spans="1:11" x14ac:dyDescent="0.3">
      <c r="A1853" s="28"/>
      <c r="B1853" s="29"/>
      <c r="C1853" s="30"/>
      <c r="D1853" s="31"/>
      <c r="E1853" s="33">
        <f>IF(OR($D1853="",$K1853=""),"",IF(COUNTIFS(Payments!$G$5:$G$2500,$K1853,Payments!$C$5:$C$2500,"&lt;&gt;")=0,"",_xlfn.MAXIFS(Payments!$C$5:$C$2500,Payments!$G$5:$G$2500,$K1853)))</f>
      </c>
      <c r="F1853" s="34">
        <f>IF(OR($D1853="",$K1853=""),"",SUMIF(Payments!$G$5:$G$2500,$K1853,Payments!$D$5:$D$2500))</f>
      </c>
      <c r="G1853" s="36">
        <f>IF($D1853="","",ROUND($D1853-IF($F1853="",0,$F1853),2))</f>
      </c>
      <c r="H1853" s="35">
        <f>IF(OR($D1853="",$K1853=""),"",COUNTIF(Payments!$G$5:$G$2500,$K1853))</f>
      </c>
      <c r="I1853" s="37">
        <f>IF($D1853="","",IF(OR($F1853="",$F1853=0),"Pending",IF(ROUND($F1853-$D1853,2)&gt;0,"Overpaid",IF(ROUND($F1853-$D1853,2)=0,"Paid","Partial"))))</f>
      </c>
      <c r="J1853" s="29"/>
      <c r="K1853">
        <f>IF($A1853="","","#"&amp;TRIM(SUBSTITUTE(SUBSTITUTE(SUBSTITUTE(SUBSTITUTE(SUBSTITUTE(SUBSTITUTE($A1853,"-",""),"(",""),")",""),".",""),"+","")," ","")))</f>
      </c>
    </row>
    <row r="1854" spans="1:11" x14ac:dyDescent="0.3">
      <c r="A1854" s="28"/>
      <c r="B1854" s="29"/>
      <c r="C1854" s="30"/>
      <c r="D1854" s="31"/>
      <c r="E1854" s="33">
        <f>IF(OR($D1854="",$K1854=""),"",IF(COUNTIFS(Payments!$G$5:$G$2500,$K1854,Payments!$C$5:$C$2500,"&lt;&gt;")=0,"",_xlfn.MAXIFS(Payments!$C$5:$C$2500,Payments!$G$5:$G$2500,$K1854)))</f>
      </c>
      <c r="F1854" s="34">
        <f>IF(OR($D1854="",$K1854=""),"",SUMIF(Payments!$G$5:$G$2500,$K1854,Payments!$D$5:$D$2500))</f>
      </c>
      <c r="G1854" s="36">
        <f>IF($D1854="","",ROUND($D1854-IF($F1854="",0,$F1854),2))</f>
      </c>
      <c r="H1854" s="35">
        <f>IF(OR($D1854="",$K1854=""),"",COUNTIF(Payments!$G$5:$G$2500,$K1854))</f>
      </c>
      <c r="I1854" s="37">
        <f>IF($D1854="","",IF(OR($F1854="",$F1854=0),"Pending",IF(ROUND($F1854-$D1854,2)&gt;0,"Overpaid",IF(ROUND($F1854-$D1854,2)=0,"Paid","Partial"))))</f>
      </c>
      <c r="J1854" s="29"/>
      <c r="K1854">
        <f>IF($A1854="","","#"&amp;TRIM(SUBSTITUTE(SUBSTITUTE(SUBSTITUTE(SUBSTITUTE(SUBSTITUTE(SUBSTITUTE($A1854,"-",""),"(",""),")",""),".",""),"+","")," ","")))</f>
      </c>
    </row>
    <row r="1855" spans="1:11" x14ac:dyDescent="0.3">
      <c r="A1855" s="28"/>
      <c r="B1855" s="29"/>
      <c r="C1855" s="30"/>
      <c r="D1855" s="31"/>
      <c r="E1855" s="33">
        <f>IF(OR($D1855="",$K1855=""),"",IF(COUNTIFS(Payments!$G$5:$G$2500,$K1855,Payments!$C$5:$C$2500,"&lt;&gt;")=0,"",_xlfn.MAXIFS(Payments!$C$5:$C$2500,Payments!$G$5:$G$2500,$K1855)))</f>
      </c>
      <c r="F1855" s="34">
        <f>IF(OR($D1855="",$K1855=""),"",SUMIF(Payments!$G$5:$G$2500,$K1855,Payments!$D$5:$D$2500))</f>
      </c>
      <c r="G1855" s="36">
        <f>IF($D1855="","",ROUND($D1855-IF($F1855="",0,$F1855),2))</f>
      </c>
      <c r="H1855" s="35">
        <f>IF(OR($D1855="",$K1855=""),"",COUNTIF(Payments!$G$5:$G$2500,$K1855))</f>
      </c>
      <c r="I1855" s="37">
        <f>IF($D1855="","",IF(OR($F1855="",$F1855=0),"Pending",IF(ROUND($F1855-$D1855,2)&gt;0,"Overpaid",IF(ROUND($F1855-$D1855,2)=0,"Paid","Partial"))))</f>
      </c>
      <c r="J1855" s="29"/>
      <c r="K1855">
        <f>IF($A1855="","","#"&amp;TRIM(SUBSTITUTE(SUBSTITUTE(SUBSTITUTE(SUBSTITUTE(SUBSTITUTE(SUBSTITUTE($A1855,"-",""),"(",""),")",""),".",""),"+","")," ","")))</f>
      </c>
    </row>
    <row r="1856" spans="1:11" x14ac:dyDescent="0.3">
      <c r="A1856" s="28"/>
      <c r="B1856" s="29"/>
      <c r="C1856" s="30"/>
      <c r="D1856" s="31"/>
      <c r="E1856" s="33">
        <f>IF(OR($D1856="",$K1856=""),"",IF(COUNTIFS(Payments!$G$5:$G$2500,$K1856,Payments!$C$5:$C$2500,"&lt;&gt;")=0,"",_xlfn.MAXIFS(Payments!$C$5:$C$2500,Payments!$G$5:$G$2500,$K1856)))</f>
      </c>
      <c r="F1856" s="34">
        <f>IF(OR($D1856="",$K1856=""),"",SUMIF(Payments!$G$5:$G$2500,$K1856,Payments!$D$5:$D$2500))</f>
      </c>
      <c r="G1856" s="36">
        <f>IF($D1856="","",ROUND($D1856-IF($F1856="",0,$F1856),2))</f>
      </c>
      <c r="H1856" s="35">
        <f>IF(OR($D1856="",$K1856=""),"",COUNTIF(Payments!$G$5:$G$2500,$K1856))</f>
      </c>
      <c r="I1856" s="37">
        <f>IF($D1856="","",IF(OR($F1856="",$F1856=0),"Pending",IF(ROUND($F1856-$D1856,2)&gt;0,"Overpaid",IF(ROUND($F1856-$D1856,2)=0,"Paid","Partial"))))</f>
      </c>
      <c r="J1856" s="29"/>
      <c r="K1856">
        <f>IF($A1856="","","#"&amp;TRIM(SUBSTITUTE(SUBSTITUTE(SUBSTITUTE(SUBSTITUTE(SUBSTITUTE(SUBSTITUTE($A1856,"-",""),"(",""),")",""),".",""),"+","")," ","")))</f>
      </c>
    </row>
    <row r="1857" spans="1:11" x14ac:dyDescent="0.3">
      <c r="A1857" s="28"/>
      <c r="B1857" s="29"/>
      <c r="C1857" s="30"/>
      <c r="D1857" s="31"/>
      <c r="E1857" s="33">
        <f>IF(OR($D1857="",$K1857=""),"",IF(COUNTIFS(Payments!$G$5:$G$2500,$K1857,Payments!$C$5:$C$2500,"&lt;&gt;")=0,"",_xlfn.MAXIFS(Payments!$C$5:$C$2500,Payments!$G$5:$G$2500,$K1857)))</f>
      </c>
      <c r="F1857" s="34">
        <f>IF(OR($D1857="",$K1857=""),"",SUMIF(Payments!$G$5:$G$2500,$K1857,Payments!$D$5:$D$2500))</f>
      </c>
      <c r="G1857" s="36">
        <f>IF($D1857="","",ROUND($D1857-IF($F1857="",0,$F1857),2))</f>
      </c>
      <c r="H1857" s="35">
        <f>IF(OR($D1857="",$K1857=""),"",COUNTIF(Payments!$G$5:$G$2500,$K1857))</f>
      </c>
      <c r="I1857" s="37">
        <f>IF($D1857="","",IF(OR($F1857="",$F1857=0),"Pending",IF(ROUND($F1857-$D1857,2)&gt;0,"Overpaid",IF(ROUND($F1857-$D1857,2)=0,"Paid","Partial"))))</f>
      </c>
      <c r="J1857" s="29"/>
      <c r="K1857">
        <f>IF($A1857="","","#"&amp;TRIM(SUBSTITUTE(SUBSTITUTE(SUBSTITUTE(SUBSTITUTE(SUBSTITUTE(SUBSTITUTE($A1857,"-",""),"(",""),")",""),".",""),"+","")," ","")))</f>
      </c>
    </row>
    <row r="1858" spans="1:11" x14ac:dyDescent="0.3">
      <c r="A1858" s="28"/>
      <c r="B1858" s="29"/>
      <c r="C1858" s="30"/>
      <c r="D1858" s="31"/>
      <c r="E1858" s="33">
        <f>IF(OR($D1858="",$K1858=""),"",IF(COUNTIFS(Payments!$G$5:$G$2500,$K1858,Payments!$C$5:$C$2500,"&lt;&gt;")=0,"",_xlfn.MAXIFS(Payments!$C$5:$C$2500,Payments!$G$5:$G$2500,$K1858)))</f>
      </c>
      <c r="F1858" s="34">
        <f>IF(OR($D1858="",$K1858=""),"",SUMIF(Payments!$G$5:$G$2500,$K1858,Payments!$D$5:$D$2500))</f>
      </c>
      <c r="G1858" s="36">
        <f>IF($D1858="","",ROUND($D1858-IF($F1858="",0,$F1858),2))</f>
      </c>
      <c r="H1858" s="35">
        <f>IF(OR($D1858="",$K1858=""),"",COUNTIF(Payments!$G$5:$G$2500,$K1858))</f>
      </c>
      <c r="I1858" s="37">
        <f>IF($D1858="","",IF(OR($F1858="",$F1858=0),"Pending",IF(ROUND($F1858-$D1858,2)&gt;0,"Overpaid",IF(ROUND($F1858-$D1858,2)=0,"Paid","Partial"))))</f>
      </c>
      <c r="J1858" s="29"/>
      <c r="K1858">
        <f>IF($A1858="","","#"&amp;TRIM(SUBSTITUTE(SUBSTITUTE(SUBSTITUTE(SUBSTITUTE(SUBSTITUTE(SUBSTITUTE($A1858,"-",""),"(",""),")",""),".",""),"+","")," ","")))</f>
      </c>
    </row>
    <row r="1859" spans="1:11" x14ac:dyDescent="0.3">
      <c r="A1859" s="28"/>
      <c r="B1859" s="29"/>
      <c r="C1859" s="30"/>
      <c r="D1859" s="31"/>
      <c r="E1859" s="33">
        <f>IF(OR($D1859="",$K1859=""),"",IF(COUNTIFS(Payments!$G$5:$G$2500,$K1859,Payments!$C$5:$C$2500,"&lt;&gt;")=0,"",_xlfn.MAXIFS(Payments!$C$5:$C$2500,Payments!$G$5:$G$2500,$K1859)))</f>
      </c>
      <c r="F1859" s="34">
        <f>IF(OR($D1859="",$K1859=""),"",SUMIF(Payments!$G$5:$G$2500,$K1859,Payments!$D$5:$D$2500))</f>
      </c>
      <c r="G1859" s="36">
        <f>IF($D1859="","",ROUND($D1859-IF($F1859="",0,$F1859),2))</f>
      </c>
      <c r="H1859" s="35">
        <f>IF(OR($D1859="",$K1859=""),"",COUNTIF(Payments!$G$5:$G$2500,$K1859))</f>
      </c>
      <c r="I1859" s="37">
        <f>IF($D1859="","",IF(OR($F1859="",$F1859=0),"Pending",IF(ROUND($F1859-$D1859,2)&gt;0,"Overpaid",IF(ROUND($F1859-$D1859,2)=0,"Paid","Partial"))))</f>
      </c>
      <c r="J1859" s="29"/>
      <c r="K1859">
        <f>IF($A1859="","","#"&amp;TRIM(SUBSTITUTE(SUBSTITUTE(SUBSTITUTE(SUBSTITUTE(SUBSTITUTE(SUBSTITUTE($A1859,"-",""),"(",""),")",""),".",""),"+","")," ","")))</f>
      </c>
    </row>
    <row r="1860" spans="1:11" x14ac:dyDescent="0.3">
      <c r="A1860" s="28"/>
      <c r="B1860" s="29"/>
      <c r="C1860" s="30"/>
      <c r="D1860" s="31"/>
      <c r="E1860" s="33">
        <f>IF(OR($D1860="",$K1860=""),"",IF(COUNTIFS(Payments!$G$5:$G$2500,$K1860,Payments!$C$5:$C$2500,"&lt;&gt;")=0,"",_xlfn.MAXIFS(Payments!$C$5:$C$2500,Payments!$G$5:$G$2500,$K1860)))</f>
      </c>
      <c r="F1860" s="34">
        <f>IF(OR($D1860="",$K1860=""),"",SUMIF(Payments!$G$5:$G$2500,$K1860,Payments!$D$5:$D$2500))</f>
      </c>
      <c r="G1860" s="36">
        <f>IF($D1860="","",ROUND($D1860-IF($F1860="",0,$F1860),2))</f>
      </c>
      <c r="H1860" s="35">
        <f>IF(OR($D1860="",$K1860=""),"",COUNTIF(Payments!$G$5:$G$2500,$K1860))</f>
      </c>
      <c r="I1860" s="37">
        <f>IF($D1860="","",IF(OR($F1860="",$F1860=0),"Pending",IF(ROUND($F1860-$D1860,2)&gt;0,"Overpaid",IF(ROUND($F1860-$D1860,2)=0,"Paid","Partial"))))</f>
      </c>
      <c r="J1860" s="29"/>
      <c r="K1860">
        <f>IF($A1860="","","#"&amp;TRIM(SUBSTITUTE(SUBSTITUTE(SUBSTITUTE(SUBSTITUTE(SUBSTITUTE(SUBSTITUTE($A1860,"-",""),"(",""),")",""),".",""),"+","")," ","")))</f>
      </c>
    </row>
    <row r="1861" spans="1:11" x14ac:dyDescent="0.3">
      <c r="A1861" s="28"/>
      <c r="B1861" s="29"/>
      <c r="C1861" s="30"/>
      <c r="D1861" s="31"/>
      <c r="E1861" s="33">
        <f>IF(OR($D1861="",$K1861=""),"",IF(COUNTIFS(Payments!$G$5:$G$2500,$K1861,Payments!$C$5:$C$2500,"&lt;&gt;")=0,"",_xlfn.MAXIFS(Payments!$C$5:$C$2500,Payments!$G$5:$G$2500,$K1861)))</f>
      </c>
      <c r="F1861" s="34">
        <f>IF(OR($D1861="",$K1861=""),"",SUMIF(Payments!$G$5:$G$2500,$K1861,Payments!$D$5:$D$2500))</f>
      </c>
      <c r="G1861" s="36">
        <f>IF($D1861="","",ROUND($D1861-IF($F1861="",0,$F1861),2))</f>
      </c>
      <c r="H1861" s="35">
        <f>IF(OR($D1861="",$K1861=""),"",COUNTIF(Payments!$G$5:$G$2500,$K1861))</f>
      </c>
      <c r="I1861" s="37">
        <f>IF($D1861="","",IF(OR($F1861="",$F1861=0),"Pending",IF(ROUND($F1861-$D1861,2)&gt;0,"Overpaid",IF(ROUND($F1861-$D1861,2)=0,"Paid","Partial"))))</f>
      </c>
      <c r="J1861" s="29"/>
      <c r="K1861">
        <f>IF($A1861="","","#"&amp;TRIM(SUBSTITUTE(SUBSTITUTE(SUBSTITUTE(SUBSTITUTE(SUBSTITUTE(SUBSTITUTE($A1861,"-",""),"(",""),")",""),".",""),"+","")," ","")))</f>
      </c>
    </row>
    <row r="1862" spans="1:11" x14ac:dyDescent="0.3">
      <c r="A1862" s="28"/>
      <c r="B1862" s="29"/>
      <c r="C1862" s="30"/>
      <c r="D1862" s="31"/>
      <c r="E1862" s="33">
        <f>IF(OR($D1862="",$K1862=""),"",IF(COUNTIFS(Payments!$G$5:$G$2500,$K1862,Payments!$C$5:$C$2500,"&lt;&gt;")=0,"",_xlfn.MAXIFS(Payments!$C$5:$C$2500,Payments!$G$5:$G$2500,$K1862)))</f>
      </c>
      <c r="F1862" s="34">
        <f>IF(OR($D1862="",$K1862=""),"",SUMIF(Payments!$G$5:$G$2500,$K1862,Payments!$D$5:$D$2500))</f>
      </c>
      <c r="G1862" s="36">
        <f>IF($D1862="","",ROUND($D1862-IF($F1862="",0,$F1862),2))</f>
      </c>
      <c r="H1862" s="35">
        <f>IF(OR($D1862="",$K1862=""),"",COUNTIF(Payments!$G$5:$G$2500,$K1862))</f>
      </c>
      <c r="I1862" s="37">
        <f>IF($D1862="","",IF(OR($F1862="",$F1862=0),"Pending",IF(ROUND($F1862-$D1862,2)&gt;0,"Overpaid",IF(ROUND($F1862-$D1862,2)=0,"Paid","Partial"))))</f>
      </c>
      <c r="J1862" s="29"/>
      <c r="K1862">
        <f>IF($A1862="","","#"&amp;TRIM(SUBSTITUTE(SUBSTITUTE(SUBSTITUTE(SUBSTITUTE(SUBSTITUTE(SUBSTITUTE($A1862,"-",""),"(",""),")",""),".",""),"+","")," ","")))</f>
      </c>
    </row>
    <row r="1863" spans="1:11" x14ac:dyDescent="0.3">
      <c r="A1863" s="28"/>
      <c r="B1863" s="29"/>
      <c r="C1863" s="30"/>
      <c r="D1863" s="31"/>
      <c r="E1863" s="33">
        <f>IF(OR($D1863="",$K1863=""),"",IF(COUNTIFS(Payments!$G$5:$G$2500,$K1863,Payments!$C$5:$C$2500,"&lt;&gt;")=0,"",_xlfn.MAXIFS(Payments!$C$5:$C$2500,Payments!$G$5:$G$2500,$K1863)))</f>
      </c>
      <c r="F1863" s="34">
        <f>IF(OR($D1863="",$K1863=""),"",SUMIF(Payments!$G$5:$G$2500,$K1863,Payments!$D$5:$D$2500))</f>
      </c>
      <c r="G1863" s="36">
        <f>IF($D1863="","",ROUND($D1863-IF($F1863="",0,$F1863),2))</f>
      </c>
      <c r="H1863" s="35">
        <f>IF(OR($D1863="",$K1863=""),"",COUNTIF(Payments!$G$5:$G$2500,$K1863))</f>
      </c>
      <c r="I1863" s="37">
        <f>IF($D1863="","",IF(OR($F1863="",$F1863=0),"Pending",IF(ROUND($F1863-$D1863,2)&gt;0,"Overpaid",IF(ROUND($F1863-$D1863,2)=0,"Paid","Partial"))))</f>
      </c>
      <c r="J1863" s="29"/>
      <c r="K1863">
        <f>IF($A1863="","","#"&amp;TRIM(SUBSTITUTE(SUBSTITUTE(SUBSTITUTE(SUBSTITUTE(SUBSTITUTE(SUBSTITUTE($A1863,"-",""),"(",""),")",""),".",""),"+","")," ","")))</f>
      </c>
    </row>
    <row r="1864" spans="1:11" x14ac:dyDescent="0.3">
      <c r="A1864" s="28"/>
      <c r="B1864" s="29"/>
      <c r="C1864" s="30"/>
      <c r="D1864" s="31"/>
      <c r="E1864" s="33">
        <f>IF(OR($D1864="",$K1864=""),"",IF(COUNTIFS(Payments!$G$5:$G$2500,$K1864,Payments!$C$5:$C$2500,"&lt;&gt;")=0,"",_xlfn.MAXIFS(Payments!$C$5:$C$2500,Payments!$G$5:$G$2500,$K1864)))</f>
      </c>
      <c r="F1864" s="34">
        <f>IF(OR($D1864="",$K1864=""),"",SUMIF(Payments!$G$5:$G$2500,$K1864,Payments!$D$5:$D$2500))</f>
      </c>
      <c r="G1864" s="36">
        <f>IF($D1864="","",ROUND($D1864-IF($F1864="",0,$F1864),2))</f>
      </c>
      <c r="H1864" s="35">
        <f>IF(OR($D1864="",$K1864=""),"",COUNTIF(Payments!$G$5:$G$2500,$K1864))</f>
      </c>
      <c r="I1864" s="37">
        <f>IF($D1864="","",IF(OR($F1864="",$F1864=0),"Pending",IF(ROUND($F1864-$D1864,2)&gt;0,"Overpaid",IF(ROUND($F1864-$D1864,2)=0,"Paid","Partial"))))</f>
      </c>
      <c r="J1864" s="29"/>
      <c r="K1864">
        <f>IF($A1864="","","#"&amp;TRIM(SUBSTITUTE(SUBSTITUTE(SUBSTITUTE(SUBSTITUTE(SUBSTITUTE(SUBSTITUTE($A1864,"-",""),"(",""),")",""),".",""),"+","")," ","")))</f>
      </c>
    </row>
    <row r="1865" spans="1:11" x14ac:dyDescent="0.3">
      <c r="A1865" s="28"/>
      <c r="B1865" s="29"/>
      <c r="C1865" s="30"/>
      <c r="D1865" s="31"/>
      <c r="E1865" s="33">
        <f>IF(OR($D1865="",$K1865=""),"",IF(COUNTIFS(Payments!$G$5:$G$2500,$K1865,Payments!$C$5:$C$2500,"&lt;&gt;")=0,"",_xlfn.MAXIFS(Payments!$C$5:$C$2500,Payments!$G$5:$G$2500,$K1865)))</f>
      </c>
      <c r="F1865" s="34">
        <f>IF(OR($D1865="",$K1865=""),"",SUMIF(Payments!$G$5:$G$2500,$K1865,Payments!$D$5:$D$2500))</f>
      </c>
      <c r="G1865" s="36">
        <f>IF($D1865="","",ROUND($D1865-IF($F1865="",0,$F1865),2))</f>
      </c>
      <c r="H1865" s="35">
        <f>IF(OR($D1865="",$K1865=""),"",COUNTIF(Payments!$G$5:$G$2500,$K1865))</f>
      </c>
      <c r="I1865" s="37">
        <f>IF($D1865="","",IF(OR($F1865="",$F1865=0),"Pending",IF(ROUND($F1865-$D1865,2)&gt;0,"Overpaid",IF(ROUND($F1865-$D1865,2)=0,"Paid","Partial"))))</f>
      </c>
      <c r="J1865" s="29"/>
      <c r="K1865">
        <f>IF($A1865="","","#"&amp;TRIM(SUBSTITUTE(SUBSTITUTE(SUBSTITUTE(SUBSTITUTE(SUBSTITUTE(SUBSTITUTE($A1865,"-",""),"(",""),")",""),".",""),"+","")," ","")))</f>
      </c>
    </row>
    <row r="1866" spans="1:11" x14ac:dyDescent="0.3">
      <c r="A1866" s="28"/>
      <c r="B1866" s="29"/>
      <c r="C1866" s="30"/>
      <c r="D1866" s="31"/>
      <c r="E1866" s="33">
        <f>IF(OR($D1866="",$K1866=""),"",IF(COUNTIFS(Payments!$G$5:$G$2500,$K1866,Payments!$C$5:$C$2500,"&lt;&gt;")=0,"",_xlfn.MAXIFS(Payments!$C$5:$C$2500,Payments!$G$5:$G$2500,$K1866)))</f>
      </c>
      <c r="F1866" s="34">
        <f>IF(OR($D1866="",$K1866=""),"",SUMIF(Payments!$G$5:$G$2500,$K1866,Payments!$D$5:$D$2500))</f>
      </c>
      <c r="G1866" s="36">
        <f>IF($D1866="","",ROUND($D1866-IF($F1866="",0,$F1866),2))</f>
      </c>
      <c r="H1866" s="35">
        <f>IF(OR($D1866="",$K1866=""),"",COUNTIF(Payments!$G$5:$G$2500,$K1866))</f>
      </c>
      <c r="I1866" s="37">
        <f>IF($D1866="","",IF(OR($F1866="",$F1866=0),"Pending",IF(ROUND($F1866-$D1866,2)&gt;0,"Overpaid",IF(ROUND($F1866-$D1866,2)=0,"Paid","Partial"))))</f>
      </c>
      <c r="J1866" s="29"/>
      <c r="K1866">
        <f>IF($A1866="","","#"&amp;TRIM(SUBSTITUTE(SUBSTITUTE(SUBSTITUTE(SUBSTITUTE(SUBSTITUTE(SUBSTITUTE($A1866,"-",""),"(",""),")",""),".",""),"+","")," ","")))</f>
      </c>
    </row>
    <row r="1867" spans="1:11" x14ac:dyDescent="0.3">
      <c r="A1867" s="28"/>
      <c r="B1867" s="29"/>
      <c r="C1867" s="30"/>
      <c r="D1867" s="31"/>
      <c r="E1867" s="33">
        <f>IF(OR($D1867="",$K1867=""),"",IF(COUNTIFS(Payments!$G$5:$G$2500,$K1867,Payments!$C$5:$C$2500,"&lt;&gt;")=0,"",_xlfn.MAXIFS(Payments!$C$5:$C$2500,Payments!$G$5:$G$2500,$K1867)))</f>
      </c>
      <c r="F1867" s="34">
        <f>IF(OR($D1867="",$K1867=""),"",SUMIF(Payments!$G$5:$G$2500,$K1867,Payments!$D$5:$D$2500))</f>
      </c>
      <c r="G1867" s="36">
        <f>IF($D1867="","",ROUND($D1867-IF($F1867="",0,$F1867),2))</f>
      </c>
      <c r="H1867" s="35">
        <f>IF(OR($D1867="",$K1867=""),"",COUNTIF(Payments!$G$5:$G$2500,$K1867))</f>
      </c>
      <c r="I1867" s="37">
        <f>IF($D1867="","",IF(OR($F1867="",$F1867=0),"Pending",IF(ROUND($F1867-$D1867,2)&gt;0,"Overpaid",IF(ROUND($F1867-$D1867,2)=0,"Paid","Partial"))))</f>
      </c>
      <c r="J1867" s="29"/>
      <c r="K1867">
        <f>IF($A1867="","","#"&amp;TRIM(SUBSTITUTE(SUBSTITUTE(SUBSTITUTE(SUBSTITUTE(SUBSTITUTE(SUBSTITUTE($A1867,"-",""),"(",""),")",""),".",""),"+","")," ","")))</f>
      </c>
    </row>
    <row r="1868" spans="1:11" x14ac:dyDescent="0.3">
      <c r="A1868" s="28"/>
      <c r="B1868" s="29"/>
      <c r="C1868" s="30"/>
      <c r="D1868" s="31"/>
      <c r="E1868" s="33">
        <f>IF(OR($D1868="",$K1868=""),"",IF(COUNTIFS(Payments!$G$5:$G$2500,$K1868,Payments!$C$5:$C$2500,"&lt;&gt;")=0,"",_xlfn.MAXIFS(Payments!$C$5:$C$2500,Payments!$G$5:$G$2500,$K1868)))</f>
      </c>
      <c r="F1868" s="34">
        <f>IF(OR($D1868="",$K1868=""),"",SUMIF(Payments!$G$5:$G$2500,$K1868,Payments!$D$5:$D$2500))</f>
      </c>
      <c r="G1868" s="36">
        <f>IF($D1868="","",ROUND($D1868-IF($F1868="",0,$F1868),2))</f>
      </c>
      <c r="H1868" s="35">
        <f>IF(OR($D1868="",$K1868=""),"",COUNTIF(Payments!$G$5:$G$2500,$K1868))</f>
      </c>
      <c r="I1868" s="37">
        <f>IF($D1868="","",IF(OR($F1868="",$F1868=0),"Pending",IF(ROUND($F1868-$D1868,2)&gt;0,"Overpaid",IF(ROUND($F1868-$D1868,2)=0,"Paid","Partial"))))</f>
      </c>
      <c r="J1868" s="29"/>
      <c r="K1868">
        <f>IF($A1868="","","#"&amp;TRIM(SUBSTITUTE(SUBSTITUTE(SUBSTITUTE(SUBSTITUTE(SUBSTITUTE(SUBSTITUTE($A1868,"-",""),"(",""),")",""),".",""),"+","")," ","")))</f>
      </c>
    </row>
    <row r="1869" spans="1:11" x14ac:dyDescent="0.3">
      <c r="A1869" s="28"/>
      <c r="B1869" s="29"/>
      <c r="C1869" s="30"/>
      <c r="D1869" s="31"/>
      <c r="E1869" s="33">
        <f>IF(OR($D1869="",$K1869=""),"",IF(COUNTIFS(Payments!$G$5:$G$2500,$K1869,Payments!$C$5:$C$2500,"&lt;&gt;")=0,"",_xlfn.MAXIFS(Payments!$C$5:$C$2500,Payments!$G$5:$G$2500,$K1869)))</f>
      </c>
      <c r="F1869" s="34">
        <f>IF(OR($D1869="",$K1869=""),"",SUMIF(Payments!$G$5:$G$2500,$K1869,Payments!$D$5:$D$2500))</f>
      </c>
      <c r="G1869" s="36">
        <f>IF($D1869="","",ROUND($D1869-IF($F1869="",0,$F1869),2))</f>
      </c>
      <c r="H1869" s="35">
        <f>IF(OR($D1869="",$K1869=""),"",COUNTIF(Payments!$G$5:$G$2500,$K1869))</f>
      </c>
      <c r="I1869" s="37">
        <f>IF($D1869="","",IF(OR($F1869="",$F1869=0),"Pending",IF(ROUND($F1869-$D1869,2)&gt;0,"Overpaid",IF(ROUND($F1869-$D1869,2)=0,"Paid","Partial"))))</f>
      </c>
      <c r="J1869" s="29"/>
      <c r="K1869">
        <f>IF($A1869="","","#"&amp;TRIM(SUBSTITUTE(SUBSTITUTE(SUBSTITUTE(SUBSTITUTE(SUBSTITUTE(SUBSTITUTE($A1869,"-",""),"(",""),")",""),".",""),"+","")," ","")))</f>
      </c>
    </row>
    <row r="1870" spans="1:11" x14ac:dyDescent="0.3">
      <c r="A1870" s="28"/>
      <c r="B1870" s="29"/>
      <c r="C1870" s="30"/>
      <c r="D1870" s="31"/>
      <c r="E1870" s="33">
        <f>IF(OR($D1870="",$K1870=""),"",IF(COUNTIFS(Payments!$G$5:$G$2500,$K1870,Payments!$C$5:$C$2500,"&lt;&gt;")=0,"",_xlfn.MAXIFS(Payments!$C$5:$C$2500,Payments!$G$5:$G$2500,$K1870)))</f>
      </c>
      <c r="F1870" s="34">
        <f>IF(OR($D1870="",$K1870=""),"",SUMIF(Payments!$G$5:$G$2500,$K1870,Payments!$D$5:$D$2500))</f>
      </c>
      <c r="G1870" s="36">
        <f>IF($D1870="","",ROUND($D1870-IF($F1870="",0,$F1870),2))</f>
      </c>
      <c r="H1870" s="35">
        <f>IF(OR($D1870="",$K1870=""),"",COUNTIF(Payments!$G$5:$G$2500,$K1870))</f>
      </c>
      <c r="I1870" s="37">
        <f>IF($D1870="","",IF(OR($F1870="",$F1870=0),"Pending",IF(ROUND($F1870-$D1870,2)&gt;0,"Overpaid",IF(ROUND($F1870-$D1870,2)=0,"Paid","Partial"))))</f>
      </c>
      <c r="J1870" s="29"/>
      <c r="K1870">
        <f>IF($A1870="","","#"&amp;TRIM(SUBSTITUTE(SUBSTITUTE(SUBSTITUTE(SUBSTITUTE(SUBSTITUTE(SUBSTITUTE($A1870,"-",""),"(",""),")",""),".",""),"+","")," ","")))</f>
      </c>
    </row>
    <row r="1871" spans="1:11" x14ac:dyDescent="0.3">
      <c r="A1871" s="28"/>
      <c r="B1871" s="29"/>
      <c r="C1871" s="30"/>
      <c r="D1871" s="31"/>
      <c r="E1871" s="33">
        <f>IF(OR($D1871="",$K1871=""),"",IF(COUNTIFS(Payments!$G$5:$G$2500,$K1871,Payments!$C$5:$C$2500,"&lt;&gt;")=0,"",_xlfn.MAXIFS(Payments!$C$5:$C$2500,Payments!$G$5:$G$2500,$K1871)))</f>
      </c>
      <c r="F1871" s="34">
        <f>IF(OR($D1871="",$K1871=""),"",SUMIF(Payments!$G$5:$G$2500,$K1871,Payments!$D$5:$D$2500))</f>
      </c>
      <c r="G1871" s="36">
        <f>IF($D1871="","",ROUND($D1871-IF($F1871="",0,$F1871),2))</f>
      </c>
      <c r="H1871" s="35">
        <f>IF(OR($D1871="",$K1871=""),"",COUNTIF(Payments!$G$5:$G$2500,$K1871))</f>
      </c>
      <c r="I1871" s="37">
        <f>IF($D1871="","",IF(OR($F1871="",$F1871=0),"Pending",IF(ROUND($F1871-$D1871,2)&gt;0,"Overpaid",IF(ROUND($F1871-$D1871,2)=0,"Paid","Partial"))))</f>
      </c>
      <c r="J1871" s="29"/>
      <c r="K1871">
        <f>IF($A1871="","","#"&amp;TRIM(SUBSTITUTE(SUBSTITUTE(SUBSTITUTE(SUBSTITUTE(SUBSTITUTE(SUBSTITUTE($A1871,"-",""),"(",""),")",""),".",""),"+","")," ","")))</f>
      </c>
    </row>
    <row r="1872" spans="1:11" x14ac:dyDescent="0.3">
      <c r="A1872" s="28"/>
      <c r="B1872" s="29"/>
      <c r="C1872" s="30"/>
      <c r="D1872" s="31"/>
      <c r="E1872" s="33">
        <f>IF(OR($D1872="",$K1872=""),"",IF(COUNTIFS(Payments!$G$5:$G$2500,$K1872,Payments!$C$5:$C$2500,"&lt;&gt;")=0,"",_xlfn.MAXIFS(Payments!$C$5:$C$2500,Payments!$G$5:$G$2500,$K1872)))</f>
      </c>
      <c r="F1872" s="34">
        <f>IF(OR($D1872="",$K1872=""),"",SUMIF(Payments!$G$5:$G$2500,$K1872,Payments!$D$5:$D$2500))</f>
      </c>
      <c r="G1872" s="36">
        <f>IF($D1872="","",ROUND($D1872-IF($F1872="",0,$F1872),2))</f>
      </c>
      <c r="H1872" s="35">
        <f>IF(OR($D1872="",$K1872=""),"",COUNTIF(Payments!$G$5:$G$2500,$K1872))</f>
      </c>
      <c r="I1872" s="37">
        <f>IF($D1872="","",IF(OR($F1872="",$F1872=0),"Pending",IF(ROUND($F1872-$D1872,2)&gt;0,"Overpaid",IF(ROUND($F1872-$D1872,2)=0,"Paid","Partial"))))</f>
      </c>
      <c r="J1872" s="29"/>
      <c r="K1872">
        <f>IF($A1872="","","#"&amp;TRIM(SUBSTITUTE(SUBSTITUTE(SUBSTITUTE(SUBSTITUTE(SUBSTITUTE(SUBSTITUTE($A1872,"-",""),"(",""),")",""),".",""),"+","")," ","")))</f>
      </c>
    </row>
    <row r="1873" spans="1:11" x14ac:dyDescent="0.3">
      <c r="A1873" s="28"/>
      <c r="B1873" s="29"/>
      <c r="C1873" s="30"/>
      <c r="D1873" s="31"/>
      <c r="E1873" s="33">
        <f>IF(OR($D1873="",$K1873=""),"",IF(COUNTIFS(Payments!$G$5:$G$2500,$K1873,Payments!$C$5:$C$2500,"&lt;&gt;")=0,"",_xlfn.MAXIFS(Payments!$C$5:$C$2500,Payments!$G$5:$G$2500,$K1873)))</f>
      </c>
      <c r="F1873" s="34">
        <f>IF(OR($D1873="",$K1873=""),"",SUMIF(Payments!$G$5:$G$2500,$K1873,Payments!$D$5:$D$2500))</f>
      </c>
      <c r="G1873" s="36">
        <f>IF($D1873="","",ROUND($D1873-IF($F1873="",0,$F1873),2))</f>
      </c>
      <c r="H1873" s="35">
        <f>IF(OR($D1873="",$K1873=""),"",COUNTIF(Payments!$G$5:$G$2500,$K1873))</f>
      </c>
      <c r="I1873" s="37">
        <f>IF($D1873="","",IF(OR($F1873="",$F1873=0),"Pending",IF(ROUND($F1873-$D1873,2)&gt;0,"Overpaid",IF(ROUND($F1873-$D1873,2)=0,"Paid","Partial"))))</f>
      </c>
      <c r="J1873" s="29"/>
      <c r="K1873">
        <f>IF($A1873="","","#"&amp;TRIM(SUBSTITUTE(SUBSTITUTE(SUBSTITUTE(SUBSTITUTE(SUBSTITUTE(SUBSTITUTE($A1873,"-",""),"(",""),")",""),".",""),"+","")," ","")))</f>
      </c>
    </row>
    <row r="1874" spans="1:11" x14ac:dyDescent="0.3">
      <c r="A1874" s="28"/>
      <c r="B1874" s="29"/>
      <c r="C1874" s="30"/>
      <c r="D1874" s="31"/>
      <c r="E1874" s="33">
        <f>IF(OR($D1874="",$K1874=""),"",IF(COUNTIFS(Payments!$G$5:$G$2500,$K1874,Payments!$C$5:$C$2500,"&lt;&gt;")=0,"",_xlfn.MAXIFS(Payments!$C$5:$C$2500,Payments!$G$5:$G$2500,$K1874)))</f>
      </c>
      <c r="F1874" s="34">
        <f>IF(OR($D1874="",$K1874=""),"",SUMIF(Payments!$G$5:$G$2500,$K1874,Payments!$D$5:$D$2500))</f>
      </c>
      <c r="G1874" s="36">
        <f>IF($D1874="","",ROUND($D1874-IF($F1874="",0,$F1874),2))</f>
      </c>
      <c r="H1874" s="35">
        <f>IF(OR($D1874="",$K1874=""),"",COUNTIF(Payments!$G$5:$G$2500,$K1874))</f>
      </c>
      <c r="I1874" s="37">
        <f>IF($D1874="","",IF(OR($F1874="",$F1874=0),"Pending",IF(ROUND($F1874-$D1874,2)&gt;0,"Overpaid",IF(ROUND($F1874-$D1874,2)=0,"Paid","Partial"))))</f>
      </c>
      <c r="J1874" s="29"/>
      <c r="K1874">
        <f>IF($A1874="","","#"&amp;TRIM(SUBSTITUTE(SUBSTITUTE(SUBSTITUTE(SUBSTITUTE(SUBSTITUTE(SUBSTITUTE($A1874,"-",""),"(",""),")",""),".",""),"+","")," ","")))</f>
      </c>
    </row>
    <row r="1875" spans="1:11" x14ac:dyDescent="0.3">
      <c r="A1875" s="28"/>
      <c r="B1875" s="29"/>
      <c r="C1875" s="30"/>
      <c r="D1875" s="31"/>
      <c r="E1875" s="33">
        <f>IF(OR($D1875="",$K1875=""),"",IF(COUNTIFS(Payments!$G$5:$G$2500,$K1875,Payments!$C$5:$C$2500,"&lt;&gt;")=0,"",_xlfn.MAXIFS(Payments!$C$5:$C$2500,Payments!$G$5:$G$2500,$K1875)))</f>
      </c>
      <c r="F1875" s="34">
        <f>IF(OR($D1875="",$K1875=""),"",SUMIF(Payments!$G$5:$G$2500,$K1875,Payments!$D$5:$D$2500))</f>
      </c>
      <c r="G1875" s="36">
        <f>IF($D1875="","",ROUND($D1875-IF($F1875="",0,$F1875),2))</f>
      </c>
      <c r="H1875" s="35">
        <f>IF(OR($D1875="",$K1875=""),"",COUNTIF(Payments!$G$5:$G$2500,$K1875))</f>
      </c>
      <c r="I1875" s="37">
        <f>IF($D1875="","",IF(OR($F1875="",$F1875=0),"Pending",IF(ROUND($F1875-$D1875,2)&gt;0,"Overpaid",IF(ROUND($F1875-$D1875,2)=0,"Paid","Partial"))))</f>
      </c>
      <c r="J1875" s="29"/>
      <c r="K1875">
        <f>IF($A1875="","","#"&amp;TRIM(SUBSTITUTE(SUBSTITUTE(SUBSTITUTE(SUBSTITUTE(SUBSTITUTE(SUBSTITUTE($A1875,"-",""),"(",""),")",""),".",""),"+","")," ","")))</f>
      </c>
    </row>
    <row r="1876" spans="1:11" x14ac:dyDescent="0.3">
      <c r="A1876" s="28"/>
      <c r="B1876" s="29"/>
      <c r="C1876" s="30"/>
      <c r="D1876" s="31"/>
      <c r="E1876" s="33">
        <f>IF(OR($D1876="",$K1876=""),"",IF(COUNTIFS(Payments!$G$5:$G$2500,$K1876,Payments!$C$5:$C$2500,"&lt;&gt;")=0,"",_xlfn.MAXIFS(Payments!$C$5:$C$2500,Payments!$G$5:$G$2500,$K1876)))</f>
      </c>
      <c r="F1876" s="34">
        <f>IF(OR($D1876="",$K1876=""),"",SUMIF(Payments!$G$5:$G$2500,$K1876,Payments!$D$5:$D$2500))</f>
      </c>
      <c r="G1876" s="36">
        <f>IF($D1876="","",ROUND($D1876-IF($F1876="",0,$F1876),2))</f>
      </c>
      <c r="H1876" s="35">
        <f>IF(OR($D1876="",$K1876=""),"",COUNTIF(Payments!$G$5:$G$2500,$K1876))</f>
      </c>
      <c r="I1876" s="37">
        <f>IF($D1876="","",IF(OR($F1876="",$F1876=0),"Pending",IF(ROUND($F1876-$D1876,2)&gt;0,"Overpaid",IF(ROUND($F1876-$D1876,2)=0,"Paid","Partial"))))</f>
      </c>
      <c r="J1876" s="29"/>
      <c r="K1876">
        <f>IF($A1876="","","#"&amp;TRIM(SUBSTITUTE(SUBSTITUTE(SUBSTITUTE(SUBSTITUTE(SUBSTITUTE(SUBSTITUTE($A1876,"-",""),"(",""),")",""),".",""),"+","")," ","")))</f>
      </c>
    </row>
    <row r="1877" spans="1:11" x14ac:dyDescent="0.3">
      <c r="A1877" s="28"/>
      <c r="B1877" s="29"/>
      <c r="C1877" s="30"/>
      <c r="D1877" s="31"/>
      <c r="E1877" s="33">
        <f>IF(OR($D1877="",$K1877=""),"",IF(COUNTIFS(Payments!$G$5:$G$2500,$K1877,Payments!$C$5:$C$2500,"&lt;&gt;")=0,"",_xlfn.MAXIFS(Payments!$C$5:$C$2500,Payments!$G$5:$G$2500,$K1877)))</f>
      </c>
      <c r="F1877" s="34">
        <f>IF(OR($D1877="",$K1877=""),"",SUMIF(Payments!$G$5:$G$2500,$K1877,Payments!$D$5:$D$2500))</f>
      </c>
      <c r="G1877" s="36">
        <f>IF($D1877="","",ROUND($D1877-IF($F1877="",0,$F1877),2))</f>
      </c>
      <c r="H1877" s="35">
        <f>IF(OR($D1877="",$K1877=""),"",COUNTIF(Payments!$G$5:$G$2500,$K1877))</f>
      </c>
      <c r="I1877" s="37">
        <f>IF($D1877="","",IF(OR($F1877="",$F1877=0),"Pending",IF(ROUND($F1877-$D1877,2)&gt;0,"Overpaid",IF(ROUND($F1877-$D1877,2)=0,"Paid","Partial"))))</f>
      </c>
      <c r="J1877" s="29"/>
      <c r="K1877">
        <f>IF($A1877="","","#"&amp;TRIM(SUBSTITUTE(SUBSTITUTE(SUBSTITUTE(SUBSTITUTE(SUBSTITUTE(SUBSTITUTE($A1877,"-",""),"(",""),")",""),".",""),"+","")," ","")))</f>
      </c>
    </row>
    <row r="1878" spans="1:11" x14ac:dyDescent="0.3">
      <c r="A1878" s="28"/>
      <c r="B1878" s="29"/>
      <c r="C1878" s="30"/>
      <c r="D1878" s="31"/>
      <c r="E1878" s="33">
        <f>IF(OR($D1878="",$K1878=""),"",IF(COUNTIFS(Payments!$G$5:$G$2500,$K1878,Payments!$C$5:$C$2500,"&lt;&gt;")=0,"",_xlfn.MAXIFS(Payments!$C$5:$C$2500,Payments!$G$5:$G$2500,$K1878)))</f>
      </c>
      <c r="F1878" s="34">
        <f>IF(OR($D1878="",$K1878=""),"",SUMIF(Payments!$G$5:$G$2500,$K1878,Payments!$D$5:$D$2500))</f>
      </c>
      <c r="G1878" s="36">
        <f>IF($D1878="","",ROUND($D1878-IF($F1878="",0,$F1878),2))</f>
      </c>
      <c r="H1878" s="35">
        <f>IF(OR($D1878="",$K1878=""),"",COUNTIF(Payments!$G$5:$G$2500,$K1878))</f>
      </c>
      <c r="I1878" s="37">
        <f>IF($D1878="","",IF(OR($F1878="",$F1878=0),"Pending",IF(ROUND($F1878-$D1878,2)&gt;0,"Overpaid",IF(ROUND($F1878-$D1878,2)=0,"Paid","Partial"))))</f>
      </c>
      <c r="J1878" s="29"/>
      <c r="K1878">
        <f>IF($A1878="","","#"&amp;TRIM(SUBSTITUTE(SUBSTITUTE(SUBSTITUTE(SUBSTITUTE(SUBSTITUTE(SUBSTITUTE($A1878,"-",""),"(",""),")",""),".",""),"+","")," ","")))</f>
      </c>
    </row>
    <row r="1879" spans="1:11" x14ac:dyDescent="0.3">
      <c r="A1879" s="28"/>
      <c r="B1879" s="29"/>
      <c r="C1879" s="30"/>
      <c r="D1879" s="31"/>
      <c r="E1879" s="33">
        <f>IF(OR($D1879="",$K1879=""),"",IF(COUNTIFS(Payments!$G$5:$G$2500,$K1879,Payments!$C$5:$C$2500,"&lt;&gt;")=0,"",_xlfn.MAXIFS(Payments!$C$5:$C$2500,Payments!$G$5:$G$2500,$K1879)))</f>
      </c>
      <c r="F1879" s="34">
        <f>IF(OR($D1879="",$K1879=""),"",SUMIF(Payments!$G$5:$G$2500,$K1879,Payments!$D$5:$D$2500))</f>
      </c>
      <c r="G1879" s="36">
        <f>IF($D1879="","",ROUND($D1879-IF($F1879="",0,$F1879),2))</f>
      </c>
      <c r="H1879" s="35">
        <f>IF(OR($D1879="",$K1879=""),"",COUNTIF(Payments!$G$5:$G$2500,$K1879))</f>
      </c>
      <c r="I1879" s="37">
        <f>IF($D1879="","",IF(OR($F1879="",$F1879=0),"Pending",IF(ROUND($F1879-$D1879,2)&gt;0,"Overpaid",IF(ROUND($F1879-$D1879,2)=0,"Paid","Partial"))))</f>
      </c>
      <c r="J1879" s="29"/>
      <c r="K1879">
        <f>IF($A1879="","","#"&amp;TRIM(SUBSTITUTE(SUBSTITUTE(SUBSTITUTE(SUBSTITUTE(SUBSTITUTE(SUBSTITUTE($A1879,"-",""),"(",""),")",""),".",""),"+","")," ","")))</f>
      </c>
    </row>
    <row r="1880" spans="1:11" x14ac:dyDescent="0.3">
      <c r="A1880" s="28"/>
      <c r="B1880" s="29"/>
      <c r="C1880" s="30"/>
      <c r="D1880" s="31"/>
      <c r="E1880" s="33">
        <f>IF(OR($D1880="",$K1880=""),"",IF(COUNTIFS(Payments!$G$5:$G$2500,$K1880,Payments!$C$5:$C$2500,"&lt;&gt;")=0,"",_xlfn.MAXIFS(Payments!$C$5:$C$2500,Payments!$G$5:$G$2500,$K1880)))</f>
      </c>
      <c r="F1880" s="34">
        <f>IF(OR($D1880="",$K1880=""),"",SUMIF(Payments!$G$5:$G$2500,$K1880,Payments!$D$5:$D$2500))</f>
      </c>
      <c r="G1880" s="36">
        <f>IF($D1880="","",ROUND($D1880-IF($F1880="",0,$F1880),2))</f>
      </c>
      <c r="H1880" s="35">
        <f>IF(OR($D1880="",$K1880=""),"",COUNTIF(Payments!$G$5:$G$2500,$K1880))</f>
      </c>
      <c r="I1880" s="37">
        <f>IF($D1880="","",IF(OR($F1880="",$F1880=0),"Pending",IF(ROUND($F1880-$D1880,2)&gt;0,"Overpaid",IF(ROUND($F1880-$D1880,2)=0,"Paid","Partial"))))</f>
      </c>
      <c r="J1880" s="29"/>
      <c r="K1880">
        <f>IF($A1880="","","#"&amp;TRIM(SUBSTITUTE(SUBSTITUTE(SUBSTITUTE(SUBSTITUTE(SUBSTITUTE(SUBSTITUTE($A1880,"-",""),"(",""),")",""),".",""),"+","")," ","")))</f>
      </c>
    </row>
    <row r="1881" spans="1:11" x14ac:dyDescent="0.3">
      <c r="A1881" s="28"/>
      <c r="B1881" s="29"/>
      <c r="C1881" s="30"/>
      <c r="D1881" s="31"/>
      <c r="E1881" s="33">
        <f>IF(OR($D1881="",$K1881=""),"",IF(COUNTIFS(Payments!$G$5:$G$2500,$K1881,Payments!$C$5:$C$2500,"&lt;&gt;")=0,"",_xlfn.MAXIFS(Payments!$C$5:$C$2500,Payments!$G$5:$G$2500,$K1881)))</f>
      </c>
      <c r="F1881" s="34">
        <f>IF(OR($D1881="",$K1881=""),"",SUMIF(Payments!$G$5:$G$2500,$K1881,Payments!$D$5:$D$2500))</f>
      </c>
      <c r="G1881" s="36">
        <f>IF($D1881="","",ROUND($D1881-IF($F1881="",0,$F1881),2))</f>
      </c>
      <c r="H1881" s="35">
        <f>IF(OR($D1881="",$K1881=""),"",COUNTIF(Payments!$G$5:$G$2500,$K1881))</f>
      </c>
      <c r="I1881" s="37">
        <f>IF($D1881="","",IF(OR($F1881="",$F1881=0),"Pending",IF(ROUND($F1881-$D1881,2)&gt;0,"Overpaid",IF(ROUND($F1881-$D1881,2)=0,"Paid","Partial"))))</f>
      </c>
      <c r="J1881" s="29"/>
      <c r="K1881">
        <f>IF($A1881="","","#"&amp;TRIM(SUBSTITUTE(SUBSTITUTE(SUBSTITUTE(SUBSTITUTE(SUBSTITUTE(SUBSTITUTE($A1881,"-",""),"(",""),")",""),".",""),"+","")," ","")))</f>
      </c>
    </row>
    <row r="1882" spans="1:11" x14ac:dyDescent="0.3">
      <c r="A1882" s="28"/>
      <c r="B1882" s="29"/>
      <c r="C1882" s="30"/>
      <c r="D1882" s="31"/>
      <c r="E1882" s="33">
        <f>IF(OR($D1882="",$K1882=""),"",IF(COUNTIFS(Payments!$G$5:$G$2500,$K1882,Payments!$C$5:$C$2500,"&lt;&gt;")=0,"",_xlfn.MAXIFS(Payments!$C$5:$C$2500,Payments!$G$5:$G$2500,$K1882)))</f>
      </c>
      <c r="F1882" s="34">
        <f>IF(OR($D1882="",$K1882=""),"",SUMIF(Payments!$G$5:$G$2500,$K1882,Payments!$D$5:$D$2500))</f>
      </c>
      <c r="G1882" s="36">
        <f>IF($D1882="","",ROUND($D1882-IF($F1882="",0,$F1882),2))</f>
      </c>
      <c r="H1882" s="35">
        <f>IF(OR($D1882="",$K1882=""),"",COUNTIF(Payments!$G$5:$G$2500,$K1882))</f>
      </c>
      <c r="I1882" s="37">
        <f>IF($D1882="","",IF(OR($F1882="",$F1882=0),"Pending",IF(ROUND($F1882-$D1882,2)&gt;0,"Overpaid",IF(ROUND($F1882-$D1882,2)=0,"Paid","Partial"))))</f>
      </c>
      <c r="J1882" s="29"/>
      <c r="K1882">
        <f>IF($A1882="","","#"&amp;TRIM(SUBSTITUTE(SUBSTITUTE(SUBSTITUTE(SUBSTITUTE(SUBSTITUTE(SUBSTITUTE($A1882,"-",""),"(",""),")",""),".",""),"+","")," ","")))</f>
      </c>
    </row>
    <row r="1883" spans="1:11" x14ac:dyDescent="0.3">
      <c r="A1883" s="28"/>
      <c r="B1883" s="29"/>
      <c r="C1883" s="30"/>
      <c r="D1883" s="31"/>
      <c r="E1883" s="33">
        <f>IF(OR($D1883="",$K1883=""),"",IF(COUNTIFS(Payments!$G$5:$G$2500,$K1883,Payments!$C$5:$C$2500,"&lt;&gt;")=0,"",_xlfn.MAXIFS(Payments!$C$5:$C$2500,Payments!$G$5:$G$2500,$K1883)))</f>
      </c>
      <c r="F1883" s="34">
        <f>IF(OR($D1883="",$K1883=""),"",SUMIF(Payments!$G$5:$G$2500,$K1883,Payments!$D$5:$D$2500))</f>
      </c>
      <c r="G1883" s="36">
        <f>IF($D1883="","",ROUND($D1883-IF($F1883="",0,$F1883),2))</f>
      </c>
      <c r="H1883" s="35">
        <f>IF(OR($D1883="",$K1883=""),"",COUNTIF(Payments!$G$5:$G$2500,$K1883))</f>
      </c>
      <c r="I1883" s="37">
        <f>IF($D1883="","",IF(OR($F1883="",$F1883=0),"Pending",IF(ROUND($F1883-$D1883,2)&gt;0,"Overpaid",IF(ROUND($F1883-$D1883,2)=0,"Paid","Partial"))))</f>
      </c>
      <c r="J1883" s="29"/>
      <c r="K1883">
        <f>IF($A1883="","","#"&amp;TRIM(SUBSTITUTE(SUBSTITUTE(SUBSTITUTE(SUBSTITUTE(SUBSTITUTE(SUBSTITUTE($A1883,"-",""),"(",""),")",""),".",""),"+","")," ","")))</f>
      </c>
    </row>
    <row r="1884" spans="1:11" x14ac:dyDescent="0.3">
      <c r="A1884" s="28"/>
      <c r="B1884" s="29"/>
      <c r="C1884" s="30"/>
      <c r="D1884" s="31"/>
      <c r="E1884" s="33">
        <f>IF(OR($D1884="",$K1884=""),"",IF(COUNTIFS(Payments!$G$5:$G$2500,$K1884,Payments!$C$5:$C$2500,"&lt;&gt;")=0,"",_xlfn.MAXIFS(Payments!$C$5:$C$2500,Payments!$G$5:$G$2500,$K1884)))</f>
      </c>
      <c r="F1884" s="34">
        <f>IF(OR($D1884="",$K1884=""),"",SUMIF(Payments!$G$5:$G$2500,$K1884,Payments!$D$5:$D$2500))</f>
      </c>
      <c r="G1884" s="36">
        <f>IF($D1884="","",ROUND($D1884-IF($F1884="",0,$F1884),2))</f>
      </c>
      <c r="H1884" s="35">
        <f>IF(OR($D1884="",$K1884=""),"",COUNTIF(Payments!$G$5:$G$2500,$K1884))</f>
      </c>
      <c r="I1884" s="37">
        <f>IF($D1884="","",IF(OR($F1884="",$F1884=0),"Pending",IF(ROUND($F1884-$D1884,2)&gt;0,"Overpaid",IF(ROUND($F1884-$D1884,2)=0,"Paid","Partial"))))</f>
      </c>
      <c r="J1884" s="29"/>
      <c r="K1884">
        <f>IF($A1884="","","#"&amp;TRIM(SUBSTITUTE(SUBSTITUTE(SUBSTITUTE(SUBSTITUTE(SUBSTITUTE(SUBSTITUTE($A1884,"-",""),"(",""),")",""),".",""),"+","")," ","")))</f>
      </c>
    </row>
    <row r="1885" spans="1:11" x14ac:dyDescent="0.3">
      <c r="A1885" s="28"/>
      <c r="B1885" s="29"/>
      <c r="C1885" s="30"/>
      <c r="D1885" s="31"/>
      <c r="E1885" s="33">
        <f>IF(OR($D1885="",$K1885=""),"",IF(COUNTIFS(Payments!$G$5:$G$2500,$K1885,Payments!$C$5:$C$2500,"&lt;&gt;")=0,"",_xlfn.MAXIFS(Payments!$C$5:$C$2500,Payments!$G$5:$G$2500,$K1885)))</f>
      </c>
      <c r="F1885" s="34">
        <f>IF(OR($D1885="",$K1885=""),"",SUMIF(Payments!$G$5:$G$2500,$K1885,Payments!$D$5:$D$2500))</f>
      </c>
      <c r="G1885" s="36">
        <f>IF($D1885="","",ROUND($D1885-IF($F1885="",0,$F1885),2))</f>
      </c>
      <c r="H1885" s="35">
        <f>IF(OR($D1885="",$K1885=""),"",COUNTIF(Payments!$G$5:$G$2500,$K1885))</f>
      </c>
      <c r="I1885" s="37">
        <f>IF($D1885="","",IF(OR($F1885="",$F1885=0),"Pending",IF(ROUND($F1885-$D1885,2)&gt;0,"Overpaid",IF(ROUND($F1885-$D1885,2)=0,"Paid","Partial"))))</f>
      </c>
      <c r="J1885" s="29"/>
      <c r="K1885">
        <f>IF($A1885="","","#"&amp;TRIM(SUBSTITUTE(SUBSTITUTE(SUBSTITUTE(SUBSTITUTE(SUBSTITUTE(SUBSTITUTE($A1885,"-",""),"(",""),")",""),".",""),"+","")," ","")))</f>
      </c>
    </row>
    <row r="1886" spans="1:11" x14ac:dyDescent="0.3">
      <c r="A1886" s="28"/>
      <c r="B1886" s="29"/>
      <c r="C1886" s="30"/>
      <c r="D1886" s="31"/>
      <c r="E1886" s="33">
        <f>IF(OR($D1886="",$K1886=""),"",IF(COUNTIFS(Payments!$G$5:$G$2500,$K1886,Payments!$C$5:$C$2500,"&lt;&gt;")=0,"",_xlfn.MAXIFS(Payments!$C$5:$C$2500,Payments!$G$5:$G$2500,$K1886)))</f>
      </c>
      <c r="F1886" s="34">
        <f>IF(OR($D1886="",$K1886=""),"",SUMIF(Payments!$G$5:$G$2500,$K1886,Payments!$D$5:$D$2500))</f>
      </c>
      <c r="G1886" s="36">
        <f>IF($D1886="","",ROUND($D1886-IF($F1886="",0,$F1886),2))</f>
      </c>
      <c r="H1886" s="35">
        <f>IF(OR($D1886="",$K1886=""),"",COUNTIF(Payments!$G$5:$G$2500,$K1886))</f>
      </c>
      <c r="I1886" s="37">
        <f>IF($D1886="","",IF(OR($F1886="",$F1886=0),"Pending",IF(ROUND($F1886-$D1886,2)&gt;0,"Overpaid",IF(ROUND($F1886-$D1886,2)=0,"Paid","Partial"))))</f>
      </c>
      <c r="J1886" s="29"/>
      <c r="K1886">
        <f>IF($A1886="","","#"&amp;TRIM(SUBSTITUTE(SUBSTITUTE(SUBSTITUTE(SUBSTITUTE(SUBSTITUTE(SUBSTITUTE($A1886,"-",""),"(",""),")",""),".",""),"+","")," ","")))</f>
      </c>
    </row>
    <row r="1887" spans="1:11" x14ac:dyDescent="0.3">
      <c r="A1887" s="28"/>
      <c r="B1887" s="29"/>
      <c r="C1887" s="30"/>
      <c r="D1887" s="31"/>
      <c r="E1887" s="33">
        <f>IF(OR($D1887="",$K1887=""),"",IF(COUNTIFS(Payments!$G$5:$G$2500,$K1887,Payments!$C$5:$C$2500,"&lt;&gt;")=0,"",_xlfn.MAXIFS(Payments!$C$5:$C$2500,Payments!$G$5:$G$2500,$K1887)))</f>
      </c>
      <c r="F1887" s="34">
        <f>IF(OR($D1887="",$K1887=""),"",SUMIF(Payments!$G$5:$G$2500,$K1887,Payments!$D$5:$D$2500))</f>
      </c>
      <c r="G1887" s="36">
        <f>IF($D1887="","",ROUND($D1887-IF($F1887="",0,$F1887),2))</f>
      </c>
      <c r="H1887" s="35">
        <f>IF(OR($D1887="",$K1887=""),"",COUNTIF(Payments!$G$5:$G$2500,$K1887))</f>
      </c>
      <c r="I1887" s="37">
        <f>IF($D1887="","",IF(OR($F1887="",$F1887=0),"Pending",IF(ROUND($F1887-$D1887,2)&gt;0,"Overpaid",IF(ROUND($F1887-$D1887,2)=0,"Paid","Partial"))))</f>
      </c>
      <c r="J1887" s="29"/>
      <c r="K1887">
        <f>IF($A1887="","","#"&amp;TRIM(SUBSTITUTE(SUBSTITUTE(SUBSTITUTE(SUBSTITUTE(SUBSTITUTE(SUBSTITUTE($A1887,"-",""),"(",""),")",""),".",""),"+","")," ","")))</f>
      </c>
    </row>
    <row r="1888" spans="1:11" x14ac:dyDescent="0.3">
      <c r="A1888" s="28"/>
      <c r="B1888" s="29"/>
      <c r="C1888" s="30"/>
      <c r="D1888" s="31"/>
      <c r="E1888" s="33">
        <f>IF(OR($D1888="",$K1888=""),"",IF(COUNTIFS(Payments!$G$5:$G$2500,$K1888,Payments!$C$5:$C$2500,"&lt;&gt;")=0,"",_xlfn.MAXIFS(Payments!$C$5:$C$2500,Payments!$G$5:$G$2500,$K1888)))</f>
      </c>
      <c r="F1888" s="34">
        <f>IF(OR($D1888="",$K1888=""),"",SUMIF(Payments!$G$5:$G$2500,$K1888,Payments!$D$5:$D$2500))</f>
      </c>
      <c r="G1888" s="36">
        <f>IF($D1888="","",ROUND($D1888-IF($F1888="",0,$F1888),2))</f>
      </c>
      <c r="H1888" s="35">
        <f>IF(OR($D1888="",$K1888=""),"",COUNTIF(Payments!$G$5:$G$2500,$K1888))</f>
      </c>
      <c r="I1888" s="37">
        <f>IF($D1888="","",IF(OR($F1888="",$F1888=0),"Pending",IF(ROUND($F1888-$D1888,2)&gt;0,"Overpaid",IF(ROUND($F1888-$D1888,2)=0,"Paid","Partial"))))</f>
      </c>
      <c r="J1888" s="29"/>
      <c r="K1888">
        <f>IF($A1888="","","#"&amp;TRIM(SUBSTITUTE(SUBSTITUTE(SUBSTITUTE(SUBSTITUTE(SUBSTITUTE(SUBSTITUTE($A1888,"-",""),"(",""),")",""),".",""),"+","")," ","")))</f>
      </c>
    </row>
    <row r="1889" spans="1:11" x14ac:dyDescent="0.3">
      <c r="A1889" s="28"/>
      <c r="B1889" s="29"/>
      <c r="C1889" s="30"/>
      <c r="D1889" s="31"/>
      <c r="E1889" s="33">
        <f>IF(OR($D1889="",$K1889=""),"",IF(COUNTIFS(Payments!$G$5:$G$2500,$K1889,Payments!$C$5:$C$2500,"&lt;&gt;")=0,"",_xlfn.MAXIFS(Payments!$C$5:$C$2500,Payments!$G$5:$G$2500,$K1889)))</f>
      </c>
      <c r="F1889" s="34">
        <f>IF(OR($D1889="",$K1889=""),"",SUMIF(Payments!$G$5:$G$2500,$K1889,Payments!$D$5:$D$2500))</f>
      </c>
      <c r="G1889" s="36">
        <f>IF($D1889="","",ROUND($D1889-IF($F1889="",0,$F1889),2))</f>
      </c>
      <c r="H1889" s="35">
        <f>IF(OR($D1889="",$K1889=""),"",COUNTIF(Payments!$G$5:$G$2500,$K1889))</f>
      </c>
      <c r="I1889" s="37">
        <f>IF($D1889="","",IF(OR($F1889="",$F1889=0),"Pending",IF(ROUND($F1889-$D1889,2)&gt;0,"Overpaid",IF(ROUND($F1889-$D1889,2)=0,"Paid","Partial"))))</f>
      </c>
      <c r="J1889" s="29"/>
      <c r="K1889">
        <f>IF($A1889="","","#"&amp;TRIM(SUBSTITUTE(SUBSTITUTE(SUBSTITUTE(SUBSTITUTE(SUBSTITUTE(SUBSTITUTE($A1889,"-",""),"(",""),")",""),".",""),"+","")," ","")))</f>
      </c>
    </row>
    <row r="1890" spans="1:11" x14ac:dyDescent="0.3">
      <c r="A1890" s="28"/>
      <c r="B1890" s="29"/>
      <c r="C1890" s="30"/>
      <c r="D1890" s="31"/>
      <c r="E1890" s="33">
        <f>IF(OR($D1890="",$K1890=""),"",IF(COUNTIFS(Payments!$G$5:$G$2500,$K1890,Payments!$C$5:$C$2500,"&lt;&gt;")=0,"",_xlfn.MAXIFS(Payments!$C$5:$C$2500,Payments!$G$5:$G$2500,$K1890)))</f>
      </c>
      <c r="F1890" s="34">
        <f>IF(OR($D1890="",$K1890=""),"",SUMIF(Payments!$G$5:$G$2500,$K1890,Payments!$D$5:$D$2500))</f>
      </c>
      <c r="G1890" s="36">
        <f>IF($D1890="","",ROUND($D1890-IF($F1890="",0,$F1890),2))</f>
      </c>
      <c r="H1890" s="35">
        <f>IF(OR($D1890="",$K1890=""),"",COUNTIF(Payments!$G$5:$G$2500,$K1890))</f>
      </c>
      <c r="I1890" s="37">
        <f>IF($D1890="","",IF(OR($F1890="",$F1890=0),"Pending",IF(ROUND($F1890-$D1890,2)&gt;0,"Overpaid",IF(ROUND($F1890-$D1890,2)=0,"Paid","Partial"))))</f>
      </c>
      <c r="J1890" s="29"/>
      <c r="K1890">
        <f>IF($A1890="","","#"&amp;TRIM(SUBSTITUTE(SUBSTITUTE(SUBSTITUTE(SUBSTITUTE(SUBSTITUTE(SUBSTITUTE($A1890,"-",""),"(",""),")",""),".",""),"+","")," ","")))</f>
      </c>
    </row>
    <row r="1891" spans="1:11" x14ac:dyDescent="0.3">
      <c r="A1891" s="28"/>
      <c r="B1891" s="29"/>
      <c r="C1891" s="30"/>
      <c r="D1891" s="31"/>
      <c r="E1891" s="33">
        <f>IF(OR($D1891="",$K1891=""),"",IF(COUNTIFS(Payments!$G$5:$G$2500,$K1891,Payments!$C$5:$C$2500,"&lt;&gt;")=0,"",_xlfn.MAXIFS(Payments!$C$5:$C$2500,Payments!$G$5:$G$2500,$K1891)))</f>
      </c>
      <c r="F1891" s="34">
        <f>IF(OR($D1891="",$K1891=""),"",SUMIF(Payments!$G$5:$G$2500,$K1891,Payments!$D$5:$D$2500))</f>
      </c>
      <c r="G1891" s="36">
        <f>IF($D1891="","",ROUND($D1891-IF($F1891="",0,$F1891),2))</f>
      </c>
      <c r="H1891" s="35">
        <f>IF(OR($D1891="",$K1891=""),"",COUNTIF(Payments!$G$5:$G$2500,$K1891))</f>
      </c>
      <c r="I1891" s="37">
        <f>IF($D1891="","",IF(OR($F1891="",$F1891=0),"Pending",IF(ROUND($F1891-$D1891,2)&gt;0,"Overpaid",IF(ROUND($F1891-$D1891,2)=0,"Paid","Partial"))))</f>
      </c>
      <c r="J1891" s="29"/>
      <c r="K1891">
        <f>IF($A1891="","","#"&amp;TRIM(SUBSTITUTE(SUBSTITUTE(SUBSTITUTE(SUBSTITUTE(SUBSTITUTE(SUBSTITUTE($A1891,"-",""),"(",""),")",""),".",""),"+","")," ","")))</f>
      </c>
    </row>
    <row r="1892" spans="1:11" x14ac:dyDescent="0.3">
      <c r="A1892" s="28"/>
      <c r="B1892" s="29"/>
      <c r="C1892" s="30"/>
      <c r="D1892" s="31"/>
      <c r="E1892" s="33">
        <f>IF(OR($D1892="",$K1892=""),"",IF(COUNTIFS(Payments!$G$5:$G$2500,$K1892,Payments!$C$5:$C$2500,"&lt;&gt;")=0,"",_xlfn.MAXIFS(Payments!$C$5:$C$2500,Payments!$G$5:$G$2500,$K1892)))</f>
      </c>
      <c r="F1892" s="34">
        <f>IF(OR($D1892="",$K1892=""),"",SUMIF(Payments!$G$5:$G$2500,$K1892,Payments!$D$5:$D$2500))</f>
      </c>
      <c r="G1892" s="36">
        <f>IF($D1892="","",ROUND($D1892-IF($F1892="",0,$F1892),2))</f>
      </c>
      <c r="H1892" s="35">
        <f>IF(OR($D1892="",$K1892=""),"",COUNTIF(Payments!$G$5:$G$2500,$K1892))</f>
      </c>
      <c r="I1892" s="37">
        <f>IF($D1892="","",IF(OR($F1892="",$F1892=0),"Pending",IF(ROUND($F1892-$D1892,2)&gt;0,"Overpaid",IF(ROUND($F1892-$D1892,2)=0,"Paid","Partial"))))</f>
      </c>
      <c r="J1892" s="29"/>
      <c r="K1892">
        <f>IF($A1892="","","#"&amp;TRIM(SUBSTITUTE(SUBSTITUTE(SUBSTITUTE(SUBSTITUTE(SUBSTITUTE(SUBSTITUTE($A1892,"-",""),"(",""),")",""),".",""),"+","")," ","")))</f>
      </c>
    </row>
    <row r="1893" spans="1:11" x14ac:dyDescent="0.3">
      <c r="A1893" s="28"/>
      <c r="B1893" s="29"/>
      <c r="C1893" s="30"/>
      <c r="D1893" s="31"/>
      <c r="E1893" s="33">
        <f>IF(OR($D1893="",$K1893=""),"",IF(COUNTIFS(Payments!$G$5:$G$2500,$K1893,Payments!$C$5:$C$2500,"&lt;&gt;")=0,"",_xlfn.MAXIFS(Payments!$C$5:$C$2500,Payments!$G$5:$G$2500,$K1893)))</f>
      </c>
      <c r="F1893" s="34">
        <f>IF(OR($D1893="",$K1893=""),"",SUMIF(Payments!$G$5:$G$2500,$K1893,Payments!$D$5:$D$2500))</f>
      </c>
      <c r="G1893" s="36">
        <f>IF($D1893="","",ROUND($D1893-IF($F1893="",0,$F1893),2))</f>
      </c>
      <c r="H1893" s="35">
        <f>IF(OR($D1893="",$K1893=""),"",COUNTIF(Payments!$G$5:$G$2500,$K1893))</f>
      </c>
      <c r="I1893" s="37">
        <f>IF($D1893="","",IF(OR($F1893="",$F1893=0),"Pending",IF(ROUND($F1893-$D1893,2)&gt;0,"Overpaid",IF(ROUND($F1893-$D1893,2)=0,"Paid","Partial"))))</f>
      </c>
      <c r="J1893" s="29"/>
      <c r="K1893">
        <f>IF($A1893="","","#"&amp;TRIM(SUBSTITUTE(SUBSTITUTE(SUBSTITUTE(SUBSTITUTE(SUBSTITUTE(SUBSTITUTE($A1893,"-",""),"(",""),")",""),".",""),"+","")," ","")))</f>
      </c>
    </row>
    <row r="1894" spans="1:11" x14ac:dyDescent="0.3">
      <c r="A1894" s="28"/>
      <c r="B1894" s="29"/>
      <c r="C1894" s="30"/>
      <c r="D1894" s="31"/>
      <c r="E1894" s="33">
        <f>IF(OR($D1894="",$K1894=""),"",IF(COUNTIFS(Payments!$G$5:$G$2500,$K1894,Payments!$C$5:$C$2500,"&lt;&gt;")=0,"",_xlfn.MAXIFS(Payments!$C$5:$C$2500,Payments!$G$5:$G$2500,$K1894)))</f>
      </c>
      <c r="F1894" s="34">
        <f>IF(OR($D1894="",$K1894=""),"",SUMIF(Payments!$G$5:$G$2500,$K1894,Payments!$D$5:$D$2500))</f>
      </c>
      <c r="G1894" s="36">
        <f>IF($D1894="","",ROUND($D1894-IF($F1894="",0,$F1894),2))</f>
      </c>
      <c r="H1894" s="35">
        <f>IF(OR($D1894="",$K1894=""),"",COUNTIF(Payments!$G$5:$G$2500,$K1894))</f>
      </c>
      <c r="I1894" s="37">
        <f>IF($D1894="","",IF(OR($F1894="",$F1894=0),"Pending",IF(ROUND($F1894-$D1894,2)&gt;0,"Overpaid",IF(ROUND($F1894-$D1894,2)=0,"Paid","Partial"))))</f>
      </c>
      <c r="J1894" s="29"/>
      <c r="K1894">
        <f>IF($A1894="","","#"&amp;TRIM(SUBSTITUTE(SUBSTITUTE(SUBSTITUTE(SUBSTITUTE(SUBSTITUTE(SUBSTITUTE($A1894,"-",""),"(",""),")",""),".",""),"+","")," ","")))</f>
      </c>
    </row>
    <row r="1895" spans="1:11" x14ac:dyDescent="0.3">
      <c r="A1895" s="28"/>
      <c r="B1895" s="29"/>
      <c r="C1895" s="30"/>
      <c r="D1895" s="31"/>
      <c r="E1895" s="33">
        <f>IF(OR($D1895="",$K1895=""),"",IF(COUNTIFS(Payments!$G$5:$G$2500,$K1895,Payments!$C$5:$C$2500,"&lt;&gt;")=0,"",_xlfn.MAXIFS(Payments!$C$5:$C$2500,Payments!$G$5:$G$2500,$K1895)))</f>
      </c>
      <c r="F1895" s="34">
        <f>IF(OR($D1895="",$K1895=""),"",SUMIF(Payments!$G$5:$G$2500,$K1895,Payments!$D$5:$D$2500))</f>
      </c>
      <c r="G1895" s="36">
        <f>IF($D1895="","",ROUND($D1895-IF($F1895="",0,$F1895),2))</f>
      </c>
      <c r="H1895" s="35">
        <f>IF(OR($D1895="",$K1895=""),"",COUNTIF(Payments!$G$5:$G$2500,$K1895))</f>
      </c>
      <c r="I1895" s="37">
        <f>IF($D1895="","",IF(OR($F1895="",$F1895=0),"Pending",IF(ROUND($F1895-$D1895,2)&gt;0,"Overpaid",IF(ROUND($F1895-$D1895,2)=0,"Paid","Partial"))))</f>
      </c>
      <c r="J1895" s="29"/>
      <c r="K1895">
        <f>IF($A1895="","","#"&amp;TRIM(SUBSTITUTE(SUBSTITUTE(SUBSTITUTE(SUBSTITUTE(SUBSTITUTE(SUBSTITUTE($A1895,"-",""),"(",""),")",""),".",""),"+","")," ","")))</f>
      </c>
    </row>
    <row r="1896" spans="1:11" x14ac:dyDescent="0.3">
      <c r="A1896" s="28"/>
      <c r="B1896" s="29"/>
      <c r="C1896" s="30"/>
      <c r="D1896" s="31"/>
      <c r="E1896" s="33">
        <f>IF(OR($D1896="",$K1896=""),"",IF(COUNTIFS(Payments!$G$5:$G$2500,$K1896,Payments!$C$5:$C$2500,"&lt;&gt;")=0,"",_xlfn.MAXIFS(Payments!$C$5:$C$2500,Payments!$G$5:$G$2500,$K1896)))</f>
      </c>
      <c r="F1896" s="34">
        <f>IF(OR($D1896="",$K1896=""),"",SUMIF(Payments!$G$5:$G$2500,$K1896,Payments!$D$5:$D$2500))</f>
      </c>
      <c r="G1896" s="36">
        <f>IF($D1896="","",ROUND($D1896-IF($F1896="",0,$F1896),2))</f>
      </c>
      <c r="H1896" s="35">
        <f>IF(OR($D1896="",$K1896=""),"",COUNTIF(Payments!$G$5:$G$2500,$K1896))</f>
      </c>
      <c r="I1896" s="37">
        <f>IF($D1896="","",IF(OR($F1896="",$F1896=0),"Pending",IF(ROUND($F1896-$D1896,2)&gt;0,"Overpaid",IF(ROUND($F1896-$D1896,2)=0,"Paid","Partial"))))</f>
      </c>
      <c r="J1896" s="29"/>
      <c r="K1896">
        <f>IF($A1896="","","#"&amp;TRIM(SUBSTITUTE(SUBSTITUTE(SUBSTITUTE(SUBSTITUTE(SUBSTITUTE(SUBSTITUTE($A1896,"-",""),"(",""),")",""),".",""),"+","")," ","")))</f>
      </c>
    </row>
    <row r="1897" spans="1:11" x14ac:dyDescent="0.3">
      <c r="A1897" s="28"/>
      <c r="B1897" s="29"/>
      <c r="C1897" s="30"/>
      <c r="D1897" s="31"/>
      <c r="E1897" s="33">
        <f>IF(OR($D1897="",$K1897=""),"",IF(COUNTIFS(Payments!$G$5:$G$2500,$K1897,Payments!$C$5:$C$2500,"&lt;&gt;")=0,"",_xlfn.MAXIFS(Payments!$C$5:$C$2500,Payments!$G$5:$G$2500,$K1897)))</f>
      </c>
      <c r="F1897" s="34">
        <f>IF(OR($D1897="",$K1897=""),"",SUMIF(Payments!$G$5:$G$2500,$K1897,Payments!$D$5:$D$2500))</f>
      </c>
      <c r="G1897" s="36">
        <f>IF($D1897="","",ROUND($D1897-IF($F1897="",0,$F1897),2))</f>
      </c>
      <c r="H1897" s="35">
        <f>IF(OR($D1897="",$K1897=""),"",COUNTIF(Payments!$G$5:$G$2500,$K1897))</f>
      </c>
      <c r="I1897" s="37">
        <f>IF($D1897="","",IF(OR($F1897="",$F1897=0),"Pending",IF(ROUND($F1897-$D1897,2)&gt;0,"Overpaid",IF(ROUND($F1897-$D1897,2)=0,"Paid","Partial"))))</f>
      </c>
      <c r="J1897" s="29"/>
      <c r="K1897">
        <f>IF($A1897="","","#"&amp;TRIM(SUBSTITUTE(SUBSTITUTE(SUBSTITUTE(SUBSTITUTE(SUBSTITUTE(SUBSTITUTE($A1897,"-",""),"(",""),")",""),".",""),"+","")," ","")))</f>
      </c>
    </row>
    <row r="1898" spans="1:11" x14ac:dyDescent="0.3">
      <c r="A1898" s="28"/>
      <c r="B1898" s="29"/>
      <c r="C1898" s="30"/>
      <c r="D1898" s="31"/>
      <c r="E1898" s="33">
        <f>IF(OR($D1898="",$K1898=""),"",IF(COUNTIFS(Payments!$G$5:$G$2500,$K1898,Payments!$C$5:$C$2500,"&lt;&gt;")=0,"",_xlfn.MAXIFS(Payments!$C$5:$C$2500,Payments!$G$5:$G$2500,$K1898)))</f>
      </c>
      <c r="F1898" s="34">
        <f>IF(OR($D1898="",$K1898=""),"",SUMIF(Payments!$G$5:$G$2500,$K1898,Payments!$D$5:$D$2500))</f>
      </c>
      <c r="G1898" s="36">
        <f>IF($D1898="","",ROUND($D1898-IF($F1898="",0,$F1898),2))</f>
      </c>
      <c r="H1898" s="35">
        <f>IF(OR($D1898="",$K1898=""),"",COUNTIF(Payments!$G$5:$G$2500,$K1898))</f>
      </c>
      <c r="I1898" s="37">
        <f>IF($D1898="","",IF(OR($F1898="",$F1898=0),"Pending",IF(ROUND($F1898-$D1898,2)&gt;0,"Overpaid",IF(ROUND($F1898-$D1898,2)=0,"Paid","Partial"))))</f>
      </c>
      <c r="J1898" s="29"/>
      <c r="K1898">
        <f>IF($A1898="","","#"&amp;TRIM(SUBSTITUTE(SUBSTITUTE(SUBSTITUTE(SUBSTITUTE(SUBSTITUTE(SUBSTITUTE($A1898,"-",""),"(",""),")",""),".",""),"+","")," ","")))</f>
      </c>
    </row>
    <row r="1899" spans="1:11" x14ac:dyDescent="0.3">
      <c r="A1899" s="28"/>
      <c r="B1899" s="29"/>
      <c r="C1899" s="30"/>
      <c r="D1899" s="31"/>
      <c r="E1899" s="33">
        <f>IF(OR($D1899="",$K1899=""),"",IF(COUNTIFS(Payments!$G$5:$G$2500,$K1899,Payments!$C$5:$C$2500,"&lt;&gt;")=0,"",_xlfn.MAXIFS(Payments!$C$5:$C$2500,Payments!$G$5:$G$2500,$K1899)))</f>
      </c>
      <c r="F1899" s="34">
        <f>IF(OR($D1899="",$K1899=""),"",SUMIF(Payments!$G$5:$G$2500,$K1899,Payments!$D$5:$D$2500))</f>
      </c>
      <c r="G1899" s="36">
        <f>IF($D1899="","",ROUND($D1899-IF($F1899="",0,$F1899),2))</f>
      </c>
      <c r="H1899" s="35">
        <f>IF(OR($D1899="",$K1899=""),"",COUNTIF(Payments!$G$5:$G$2500,$K1899))</f>
      </c>
      <c r="I1899" s="37">
        <f>IF($D1899="","",IF(OR($F1899="",$F1899=0),"Pending",IF(ROUND($F1899-$D1899,2)&gt;0,"Overpaid",IF(ROUND($F1899-$D1899,2)=0,"Paid","Partial"))))</f>
      </c>
      <c r="J1899" s="29"/>
      <c r="K1899">
        <f>IF($A1899="","","#"&amp;TRIM(SUBSTITUTE(SUBSTITUTE(SUBSTITUTE(SUBSTITUTE(SUBSTITUTE(SUBSTITUTE($A1899,"-",""),"(",""),")",""),".",""),"+","")," ","")))</f>
      </c>
    </row>
    <row r="1900" spans="1:11" x14ac:dyDescent="0.3">
      <c r="A1900" s="28"/>
      <c r="B1900" s="29"/>
      <c r="C1900" s="30"/>
      <c r="D1900" s="31"/>
      <c r="E1900" s="33">
        <f>IF(OR($D1900="",$K1900=""),"",IF(COUNTIFS(Payments!$G$5:$G$2500,$K1900,Payments!$C$5:$C$2500,"&lt;&gt;")=0,"",_xlfn.MAXIFS(Payments!$C$5:$C$2500,Payments!$G$5:$G$2500,$K1900)))</f>
      </c>
      <c r="F1900" s="34">
        <f>IF(OR($D1900="",$K1900=""),"",SUMIF(Payments!$G$5:$G$2500,$K1900,Payments!$D$5:$D$2500))</f>
      </c>
      <c r="G1900" s="36">
        <f>IF($D1900="","",ROUND($D1900-IF($F1900="",0,$F1900),2))</f>
      </c>
      <c r="H1900" s="35">
        <f>IF(OR($D1900="",$K1900=""),"",COUNTIF(Payments!$G$5:$G$2500,$K1900))</f>
      </c>
      <c r="I1900" s="37">
        <f>IF($D1900="","",IF(OR($F1900="",$F1900=0),"Pending",IF(ROUND($F1900-$D1900,2)&gt;0,"Overpaid",IF(ROUND($F1900-$D1900,2)=0,"Paid","Partial"))))</f>
      </c>
      <c r="J1900" s="29"/>
      <c r="K1900">
        <f>IF($A1900="","","#"&amp;TRIM(SUBSTITUTE(SUBSTITUTE(SUBSTITUTE(SUBSTITUTE(SUBSTITUTE(SUBSTITUTE($A1900,"-",""),"(",""),")",""),".",""),"+","")," ","")))</f>
      </c>
    </row>
    <row r="1901" spans="1:11" x14ac:dyDescent="0.3">
      <c r="A1901" s="28"/>
      <c r="B1901" s="29"/>
      <c r="C1901" s="30"/>
      <c r="D1901" s="31"/>
      <c r="E1901" s="33">
        <f>IF(OR($D1901="",$K1901=""),"",IF(COUNTIFS(Payments!$G$5:$G$2500,$K1901,Payments!$C$5:$C$2500,"&lt;&gt;")=0,"",_xlfn.MAXIFS(Payments!$C$5:$C$2500,Payments!$G$5:$G$2500,$K1901)))</f>
      </c>
      <c r="F1901" s="34">
        <f>IF(OR($D1901="",$K1901=""),"",SUMIF(Payments!$G$5:$G$2500,$K1901,Payments!$D$5:$D$2500))</f>
      </c>
      <c r="G1901" s="36">
        <f>IF($D1901="","",ROUND($D1901-IF($F1901="",0,$F1901),2))</f>
      </c>
      <c r="H1901" s="35">
        <f>IF(OR($D1901="",$K1901=""),"",COUNTIF(Payments!$G$5:$G$2500,$K1901))</f>
      </c>
      <c r="I1901" s="37">
        <f>IF($D1901="","",IF(OR($F1901="",$F1901=0),"Pending",IF(ROUND($F1901-$D1901,2)&gt;0,"Overpaid",IF(ROUND($F1901-$D1901,2)=0,"Paid","Partial"))))</f>
      </c>
      <c r="J1901" s="29"/>
      <c r="K1901">
        <f>IF($A1901="","","#"&amp;TRIM(SUBSTITUTE(SUBSTITUTE(SUBSTITUTE(SUBSTITUTE(SUBSTITUTE(SUBSTITUTE($A1901,"-",""),"(",""),")",""),".",""),"+","")," ","")))</f>
      </c>
    </row>
    <row r="1902" spans="1:11" x14ac:dyDescent="0.3">
      <c r="A1902" s="28"/>
      <c r="B1902" s="29"/>
      <c r="C1902" s="30"/>
      <c r="D1902" s="31"/>
      <c r="E1902" s="33">
        <f>IF(OR($D1902="",$K1902=""),"",IF(COUNTIFS(Payments!$G$5:$G$2500,$K1902,Payments!$C$5:$C$2500,"&lt;&gt;")=0,"",_xlfn.MAXIFS(Payments!$C$5:$C$2500,Payments!$G$5:$G$2500,$K1902)))</f>
      </c>
      <c r="F1902" s="34">
        <f>IF(OR($D1902="",$K1902=""),"",SUMIF(Payments!$G$5:$G$2500,$K1902,Payments!$D$5:$D$2500))</f>
      </c>
      <c r="G1902" s="36">
        <f>IF($D1902="","",ROUND($D1902-IF($F1902="",0,$F1902),2))</f>
      </c>
      <c r="H1902" s="35">
        <f>IF(OR($D1902="",$K1902=""),"",COUNTIF(Payments!$G$5:$G$2500,$K1902))</f>
      </c>
      <c r="I1902" s="37">
        <f>IF($D1902="","",IF(OR($F1902="",$F1902=0),"Pending",IF(ROUND($F1902-$D1902,2)&gt;0,"Overpaid",IF(ROUND($F1902-$D1902,2)=0,"Paid","Partial"))))</f>
      </c>
      <c r="J1902" s="29"/>
      <c r="K1902">
        <f>IF($A1902="","","#"&amp;TRIM(SUBSTITUTE(SUBSTITUTE(SUBSTITUTE(SUBSTITUTE(SUBSTITUTE(SUBSTITUTE($A1902,"-",""),"(",""),")",""),".",""),"+","")," ","")))</f>
      </c>
    </row>
    <row r="1903" spans="1:11" x14ac:dyDescent="0.3">
      <c r="A1903" s="28"/>
      <c r="B1903" s="29"/>
      <c r="C1903" s="30"/>
      <c r="D1903" s="31"/>
      <c r="E1903" s="33">
        <f>IF(OR($D1903="",$K1903=""),"",IF(COUNTIFS(Payments!$G$5:$G$2500,$K1903,Payments!$C$5:$C$2500,"&lt;&gt;")=0,"",_xlfn.MAXIFS(Payments!$C$5:$C$2500,Payments!$G$5:$G$2500,$K1903)))</f>
      </c>
      <c r="F1903" s="34">
        <f>IF(OR($D1903="",$K1903=""),"",SUMIF(Payments!$G$5:$G$2500,$K1903,Payments!$D$5:$D$2500))</f>
      </c>
      <c r="G1903" s="36">
        <f>IF($D1903="","",ROUND($D1903-IF($F1903="",0,$F1903),2))</f>
      </c>
      <c r="H1903" s="35">
        <f>IF(OR($D1903="",$K1903=""),"",COUNTIF(Payments!$G$5:$G$2500,$K1903))</f>
      </c>
      <c r="I1903" s="37">
        <f>IF($D1903="","",IF(OR($F1903="",$F1903=0),"Pending",IF(ROUND($F1903-$D1903,2)&gt;0,"Overpaid",IF(ROUND($F1903-$D1903,2)=0,"Paid","Partial"))))</f>
      </c>
      <c r="J1903" s="29"/>
      <c r="K1903">
        <f>IF($A1903="","","#"&amp;TRIM(SUBSTITUTE(SUBSTITUTE(SUBSTITUTE(SUBSTITUTE(SUBSTITUTE(SUBSTITUTE($A1903,"-",""),"(",""),")",""),".",""),"+","")," ","")))</f>
      </c>
    </row>
    <row r="1904" spans="1:11" x14ac:dyDescent="0.3">
      <c r="A1904" s="28"/>
      <c r="B1904" s="29"/>
      <c r="C1904" s="30"/>
      <c r="D1904" s="31"/>
      <c r="E1904" s="33">
        <f>IF(OR($D1904="",$K1904=""),"",IF(COUNTIFS(Payments!$G$5:$G$2500,$K1904,Payments!$C$5:$C$2500,"&lt;&gt;")=0,"",_xlfn.MAXIFS(Payments!$C$5:$C$2500,Payments!$G$5:$G$2500,$K1904)))</f>
      </c>
      <c r="F1904" s="34">
        <f>IF(OR($D1904="",$K1904=""),"",SUMIF(Payments!$G$5:$G$2500,$K1904,Payments!$D$5:$D$2500))</f>
      </c>
      <c r="G1904" s="36">
        <f>IF($D1904="","",ROUND($D1904-IF($F1904="",0,$F1904),2))</f>
      </c>
      <c r="H1904" s="35">
        <f>IF(OR($D1904="",$K1904=""),"",COUNTIF(Payments!$G$5:$G$2500,$K1904))</f>
      </c>
      <c r="I1904" s="37">
        <f>IF($D1904="","",IF(OR($F1904="",$F1904=0),"Pending",IF(ROUND($F1904-$D1904,2)&gt;0,"Overpaid",IF(ROUND($F1904-$D1904,2)=0,"Paid","Partial"))))</f>
      </c>
      <c r="J1904" s="29"/>
      <c r="K1904">
        <f>IF($A1904="","","#"&amp;TRIM(SUBSTITUTE(SUBSTITUTE(SUBSTITUTE(SUBSTITUTE(SUBSTITUTE(SUBSTITUTE($A1904,"-",""),"(",""),")",""),".",""),"+","")," ","")))</f>
      </c>
    </row>
    <row r="1905" spans="1:11" x14ac:dyDescent="0.3">
      <c r="A1905" s="28"/>
      <c r="B1905" s="29"/>
      <c r="C1905" s="30"/>
      <c r="D1905" s="31"/>
      <c r="E1905" s="33">
        <f>IF(OR($D1905="",$K1905=""),"",IF(COUNTIFS(Payments!$G$5:$G$2500,$K1905,Payments!$C$5:$C$2500,"&lt;&gt;")=0,"",_xlfn.MAXIFS(Payments!$C$5:$C$2500,Payments!$G$5:$G$2500,$K1905)))</f>
      </c>
      <c r="F1905" s="34">
        <f>IF(OR($D1905="",$K1905=""),"",SUMIF(Payments!$G$5:$G$2500,$K1905,Payments!$D$5:$D$2500))</f>
      </c>
      <c r="G1905" s="36">
        <f>IF($D1905="","",ROUND($D1905-IF($F1905="",0,$F1905),2))</f>
      </c>
      <c r="H1905" s="35">
        <f>IF(OR($D1905="",$K1905=""),"",COUNTIF(Payments!$G$5:$G$2500,$K1905))</f>
      </c>
      <c r="I1905" s="37">
        <f>IF($D1905="","",IF(OR($F1905="",$F1905=0),"Pending",IF(ROUND($F1905-$D1905,2)&gt;0,"Overpaid",IF(ROUND($F1905-$D1905,2)=0,"Paid","Partial"))))</f>
      </c>
      <c r="J1905" s="29"/>
      <c r="K1905">
        <f>IF($A1905="","","#"&amp;TRIM(SUBSTITUTE(SUBSTITUTE(SUBSTITUTE(SUBSTITUTE(SUBSTITUTE(SUBSTITUTE($A1905,"-",""),"(",""),")",""),".",""),"+","")," ","")))</f>
      </c>
    </row>
    <row r="1906" spans="1:11" x14ac:dyDescent="0.3">
      <c r="A1906" s="28"/>
      <c r="B1906" s="29"/>
      <c r="C1906" s="30"/>
      <c r="D1906" s="31"/>
      <c r="E1906" s="33">
        <f>IF(OR($D1906="",$K1906=""),"",IF(COUNTIFS(Payments!$G$5:$G$2500,$K1906,Payments!$C$5:$C$2500,"&lt;&gt;")=0,"",_xlfn.MAXIFS(Payments!$C$5:$C$2500,Payments!$G$5:$G$2500,$K1906)))</f>
      </c>
      <c r="F1906" s="34">
        <f>IF(OR($D1906="",$K1906=""),"",SUMIF(Payments!$G$5:$G$2500,$K1906,Payments!$D$5:$D$2500))</f>
      </c>
      <c r="G1906" s="36">
        <f>IF($D1906="","",ROUND($D1906-IF($F1906="",0,$F1906),2))</f>
      </c>
      <c r="H1906" s="35">
        <f>IF(OR($D1906="",$K1906=""),"",COUNTIF(Payments!$G$5:$G$2500,$K1906))</f>
      </c>
      <c r="I1906" s="37">
        <f>IF($D1906="","",IF(OR($F1906="",$F1906=0),"Pending",IF(ROUND($F1906-$D1906,2)&gt;0,"Overpaid",IF(ROUND($F1906-$D1906,2)=0,"Paid","Partial"))))</f>
      </c>
      <c r="J1906" s="29"/>
      <c r="K1906">
        <f>IF($A1906="","","#"&amp;TRIM(SUBSTITUTE(SUBSTITUTE(SUBSTITUTE(SUBSTITUTE(SUBSTITUTE(SUBSTITUTE($A1906,"-",""),"(",""),")",""),".",""),"+","")," ","")))</f>
      </c>
    </row>
    <row r="1907" spans="1:11" x14ac:dyDescent="0.3">
      <c r="A1907" s="28"/>
      <c r="B1907" s="29"/>
      <c r="C1907" s="30"/>
      <c r="D1907" s="31"/>
      <c r="E1907" s="33">
        <f>IF(OR($D1907="",$K1907=""),"",IF(COUNTIFS(Payments!$G$5:$G$2500,$K1907,Payments!$C$5:$C$2500,"&lt;&gt;")=0,"",_xlfn.MAXIFS(Payments!$C$5:$C$2500,Payments!$G$5:$G$2500,$K1907)))</f>
      </c>
      <c r="F1907" s="34">
        <f>IF(OR($D1907="",$K1907=""),"",SUMIF(Payments!$G$5:$G$2500,$K1907,Payments!$D$5:$D$2500))</f>
      </c>
      <c r="G1907" s="36">
        <f>IF($D1907="","",ROUND($D1907-IF($F1907="",0,$F1907),2))</f>
      </c>
      <c r="H1907" s="35">
        <f>IF(OR($D1907="",$K1907=""),"",COUNTIF(Payments!$G$5:$G$2500,$K1907))</f>
      </c>
      <c r="I1907" s="37">
        <f>IF($D1907="","",IF(OR($F1907="",$F1907=0),"Pending",IF(ROUND($F1907-$D1907,2)&gt;0,"Overpaid",IF(ROUND($F1907-$D1907,2)=0,"Paid","Partial"))))</f>
      </c>
      <c r="J1907" s="29"/>
      <c r="K1907">
        <f>IF($A1907="","","#"&amp;TRIM(SUBSTITUTE(SUBSTITUTE(SUBSTITUTE(SUBSTITUTE(SUBSTITUTE(SUBSTITUTE($A1907,"-",""),"(",""),")",""),".",""),"+","")," ","")))</f>
      </c>
    </row>
    <row r="1908" spans="1:11" x14ac:dyDescent="0.3">
      <c r="A1908" s="28"/>
      <c r="B1908" s="29"/>
      <c r="C1908" s="30"/>
      <c r="D1908" s="31"/>
      <c r="E1908" s="33">
        <f>IF(OR($D1908="",$K1908=""),"",IF(COUNTIFS(Payments!$G$5:$G$2500,$K1908,Payments!$C$5:$C$2500,"&lt;&gt;")=0,"",_xlfn.MAXIFS(Payments!$C$5:$C$2500,Payments!$G$5:$G$2500,$K1908)))</f>
      </c>
      <c r="F1908" s="34">
        <f>IF(OR($D1908="",$K1908=""),"",SUMIF(Payments!$G$5:$G$2500,$K1908,Payments!$D$5:$D$2500))</f>
      </c>
      <c r="G1908" s="36">
        <f>IF($D1908="","",ROUND($D1908-IF($F1908="",0,$F1908),2))</f>
      </c>
      <c r="H1908" s="35">
        <f>IF(OR($D1908="",$K1908=""),"",COUNTIF(Payments!$G$5:$G$2500,$K1908))</f>
      </c>
      <c r="I1908" s="37">
        <f>IF($D1908="","",IF(OR($F1908="",$F1908=0),"Pending",IF(ROUND($F1908-$D1908,2)&gt;0,"Overpaid",IF(ROUND($F1908-$D1908,2)=0,"Paid","Partial"))))</f>
      </c>
      <c r="J1908" s="29"/>
      <c r="K1908">
        <f>IF($A1908="","","#"&amp;TRIM(SUBSTITUTE(SUBSTITUTE(SUBSTITUTE(SUBSTITUTE(SUBSTITUTE(SUBSTITUTE($A1908,"-",""),"(",""),")",""),".",""),"+","")," ","")))</f>
      </c>
    </row>
    <row r="1909" spans="1:11" x14ac:dyDescent="0.3">
      <c r="A1909" s="28"/>
      <c r="B1909" s="29"/>
      <c r="C1909" s="30"/>
      <c r="D1909" s="31"/>
      <c r="E1909" s="33">
        <f>IF(OR($D1909="",$K1909=""),"",IF(COUNTIFS(Payments!$G$5:$G$2500,$K1909,Payments!$C$5:$C$2500,"&lt;&gt;")=0,"",_xlfn.MAXIFS(Payments!$C$5:$C$2500,Payments!$G$5:$G$2500,$K1909)))</f>
      </c>
      <c r="F1909" s="34">
        <f>IF(OR($D1909="",$K1909=""),"",SUMIF(Payments!$G$5:$G$2500,$K1909,Payments!$D$5:$D$2500))</f>
      </c>
      <c r="G1909" s="36">
        <f>IF($D1909="","",ROUND($D1909-IF($F1909="",0,$F1909),2))</f>
      </c>
      <c r="H1909" s="35">
        <f>IF(OR($D1909="",$K1909=""),"",COUNTIF(Payments!$G$5:$G$2500,$K1909))</f>
      </c>
      <c r="I1909" s="37">
        <f>IF($D1909="","",IF(OR($F1909="",$F1909=0),"Pending",IF(ROUND($F1909-$D1909,2)&gt;0,"Overpaid",IF(ROUND($F1909-$D1909,2)=0,"Paid","Partial"))))</f>
      </c>
      <c r="J1909" s="29"/>
      <c r="K1909">
        <f>IF($A1909="","","#"&amp;TRIM(SUBSTITUTE(SUBSTITUTE(SUBSTITUTE(SUBSTITUTE(SUBSTITUTE(SUBSTITUTE($A1909,"-",""),"(",""),")",""),".",""),"+","")," ","")))</f>
      </c>
    </row>
    <row r="1910" spans="1:11" x14ac:dyDescent="0.3">
      <c r="A1910" s="28"/>
      <c r="B1910" s="29"/>
      <c r="C1910" s="30"/>
      <c r="D1910" s="31"/>
      <c r="E1910" s="33">
        <f>IF(OR($D1910="",$K1910=""),"",IF(COUNTIFS(Payments!$G$5:$G$2500,$K1910,Payments!$C$5:$C$2500,"&lt;&gt;")=0,"",_xlfn.MAXIFS(Payments!$C$5:$C$2500,Payments!$G$5:$G$2500,$K1910)))</f>
      </c>
      <c r="F1910" s="34">
        <f>IF(OR($D1910="",$K1910=""),"",SUMIF(Payments!$G$5:$G$2500,$K1910,Payments!$D$5:$D$2500))</f>
      </c>
      <c r="G1910" s="36">
        <f>IF($D1910="","",ROUND($D1910-IF($F1910="",0,$F1910),2))</f>
      </c>
      <c r="H1910" s="35">
        <f>IF(OR($D1910="",$K1910=""),"",COUNTIF(Payments!$G$5:$G$2500,$K1910))</f>
      </c>
      <c r="I1910" s="37">
        <f>IF($D1910="","",IF(OR($F1910="",$F1910=0),"Pending",IF(ROUND($F1910-$D1910,2)&gt;0,"Overpaid",IF(ROUND($F1910-$D1910,2)=0,"Paid","Partial"))))</f>
      </c>
      <c r="J1910" s="29"/>
      <c r="K1910">
        <f>IF($A1910="","","#"&amp;TRIM(SUBSTITUTE(SUBSTITUTE(SUBSTITUTE(SUBSTITUTE(SUBSTITUTE(SUBSTITUTE($A1910,"-",""),"(",""),")",""),".",""),"+","")," ","")))</f>
      </c>
    </row>
    <row r="1911" spans="1:11" x14ac:dyDescent="0.3">
      <c r="A1911" s="28"/>
      <c r="B1911" s="29"/>
      <c r="C1911" s="30"/>
      <c r="D1911" s="31"/>
      <c r="E1911" s="33">
        <f>IF(OR($D1911="",$K1911=""),"",IF(COUNTIFS(Payments!$G$5:$G$2500,$K1911,Payments!$C$5:$C$2500,"&lt;&gt;")=0,"",_xlfn.MAXIFS(Payments!$C$5:$C$2500,Payments!$G$5:$G$2500,$K1911)))</f>
      </c>
      <c r="F1911" s="34">
        <f>IF(OR($D1911="",$K1911=""),"",SUMIF(Payments!$G$5:$G$2500,$K1911,Payments!$D$5:$D$2500))</f>
      </c>
      <c r="G1911" s="36">
        <f>IF($D1911="","",ROUND($D1911-IF($F1911="",0,$F1911),2))</f>
      </c>
      <c r="H1911" s="35">
        <f>IF(OR($D1911="",$K1911=""),"",COUNTIF(Payments!$G$5:$G$2500,$K1911))</f>
      </c>
      <c r="I1911" s="37">
        <f>IF($D1911="","",IF(OR($F1911="",$F1911=0),"Pending",IF(ROUND($F1911-$D1911,2)&gt;0,"Overpaid",IF(ROUND($F1911-$D1911,2)=0,"Paid","Partial"))))</f>
      </c>
      <c r="J1911" s="29"/>
      <c r="K1911">
        <f>IF($A1911="","","#"&amp;TRIM(SUBSTITUTE(SUBSTITUTE(SUBSTITUTE(SUBSTITUTE(SUBSTITUTE(SUBSTITUTE($A1911,"-",""),"(",""),")",""),".",""),"+","")," ","")))</f>
      </c>
    </row>
    <row r="1912" spans="1:11" x14ac:dyDescent="0.3">
      <c r="A1912" s="28"/>
      <c r="B1912" s="29"/>
      <c r="C1912" s="30"/>
      <c r="D1912" s="31"/>
      <c r="E1912" s="33">
        <f>IF(OR($D1912="",$K1912=""),"",IF(COUNTIFS(Payments!$G$5:$G$2500,$K1912,Payments!$C$5:$C$2500,"&lt;&gt;")=0,"",_xlfn.MAXIFS(Payments!$C$5:$C$2500,Payments!$G$5:$G$2500,$K1912)))</f>
      </c>
      <c r="F1912" s="34">
        <f>IF(OR($D1912="",$K1912=""),"",SUMIF(Payments!$G$5:$G$2500,$K1912,Payments!$D$5:$D$2500))</f>
      </c>
      <c r="G1912" s="36">
        <f>IF($D1912="","",ROUND($D1912-IF($F1912="",0,$F1912),2))</f>
      </c>
      <c r="H1912" s="35">
        <f>IF(OR($D1912="",$K1912=""),"",COUNTIF(Payments!$G$5:$G$2500,$K1912))</f>
      </c>
      <c r="I1912" s="37">
        <f>IF($D1912="","",IF(OR($F1912="",$F1912=0),"Pending",IF(ROUND($F1912-$D1912,2)&gt;0,"Overpaid",IF(ROUND($F1912-$D1912,2)=0,"Paid","Partial"))))</f>
      </c>
      <c r="J1912" s="29"/>
      <c r="K1912">
        <f>IF($A1912="","","#"&amp;TRIM(SUBSTITUTE(SUBSTITUTE(SUBSTITUTE(SUBSTITUTE(SUBSTITUTE(SUBSTITUTE($A1912,"-",""),"(",""),")",""),".",""),"+","")," ","")))</f>
      </c>
    </row>
    <row r="1913" spans="1:11" x14ac:dyDescent="0.3">
      <c r="A1913" s="28"/>
      <c r="B1913" s="29"/>
      <c r="C1913" s="30"/>
      <c r="D1913" s="31"/>
      <c r="E1913" s="33">
        <f>IF(OR($D1913="",$K1913=""),"",IF(COUNTIFS(Payments!$G$5:$G$2500,$K1913,Payments!$C$5:$C$2500,"&lt;&gt;")=0,"",_xlfn.MAXIFS(Payments!$C$5:$C$2500,Payments!$G$5:$G$2500,$K1913)))</f>
      </c>
      <c r="F1913" s="34">
        <f>IF(OR($D1913="",$K1913=""),"",SUMIF(Payments!$G$5:$G$2500,$K1913,Payments!$D$5:$D$2500))</f>
      </c>
      <c r="G1913" s="36">
        <f>IF($D1913="","",ROUND($D1913-IF($F1913="",0,$F1913),2))</f>
      </c>
      <c r="H1913" s="35">
        <f>IF(OR($D1913="",$K1913=""),"",COUNTIF(Payments!$G$5:$G$2500,$K1913))</f>
      </c>
      <c r="I1913" s="37">
        <f>IF($D1913="","",IF(OR($F1913="",$F1913=0),"Pending",IF(ROUND($F1913-$D1913,2)&gt;0,"Overpaid",IF(ROUND($F1913-$D1913,2)=0,"Paid","Partial"))))</f>
      </c>
      <c r="J1913" s="29"/>
      <c r="K1913">
        <f>IF($A1913="","","#"&amp;TRIM(SUBSTITUTE(SUBSTITUTE(SUBSTITUTE(SUBSTITUTE(SUBSTITUTE(SUBSTITUTE($A1913,"-",""),"(",""),")",""),".",""),"+","")," ","")))</f>
      </c>
    </row>
    <row r="1914" spans="1:11" x14ac:dyDescent="0.3">
      <c r="A1914" s="28"/>
      <c r="B1914" s="29"/>
      <c r="C1914" s="30"/>
      <c r="D1914" s="31"/>
      <c r="E1914" s="33">
        <f>IF(OR($D1914="",$K1914=""),"",IF(COUNTIFS(Payments!$G$5:$G$2500,$K1914,Payments!$C$5:$C$2500,"&lt;&gt;")=0,"",_xlfn.MAXIFS(Payments!$C$5:$C$2500,Payments!$G$5:$G$2500,$K1914)))</f>
      </c>
      <c r="F1914" s="34">
        <f>IF(OR($D1914="",$K1914=""),"",SUMIF(Payments!$G$5:$G$2500,$K1914,Payments!$D$5:$D$2500))</f>
      </c>
      <c r="G1914" s="36">
        <f>IF($D1914="","",ROUND($D1914-IF($F1914="",0,$F1914),2))</f>
      </c>
      <c r="H1914" s="35">
        <f>IF(OR($D1914="",$K1914=""),"",COUNTIF(Payments!$G$5:$G$2500,$K1914))</f>
      </c>
      <c r="I1914" s="37">
        <f>IF($D1914="","",IF(OR($F1914="",$F1914=0),"Pending",IF(ROUND($F1914-$D1914,2)&gt;0,"Overpaid",IF(ROUND($F1914-$D1914,2)=0,"Paid","Partial"))))</f>
      </c>
      <c r="J1914" s="29"/>
      <c r="K1914">
        <f>IF($A1914="","","#"&amp;TRIM(SUBSTITUTE(SUBSTITUTE(SUBSTITUTE(SUBSTITUTE(SUBSTITUTE(SUBSTITUTE($A1914,"-",""),"(",""),")",""),".",""),"+","")," ","")))</f>
      </c>
    </row>
    <row r="1915" spans="1:11" x14ac:dyDescent="0.3">
      <c r="A1915" s="28"/>
      <c r="B1915" s="29"/>
      <c r="C1915" s="30"/>
      <c r="D1915" s="31"/>
      <c r="E1915" s="33">
        <f>IF(OR($D1915="",$K1915=""),"",IF(COUNTIFS(Payments!$G$5:$G$2500,$K1915,Payments!$C$5:$C$2500,"&lt;&gt;")=0,"",_xlfn.MAXIFS(Payments!$C$5:$C$2500,Payments!$G$5:$G$2500,$K1915)))</f>
      </c>
      <c r="F1915" s="34">
        <f>IF(OR($D1915="",$K1915=""),"",SUMIF(Payments!$G$5:$G$2500,$K1915,Payments!$D$5:$D$2500))</f>
      </c>
      <c r="G1915" s="36">
        <f>IF($D1915="","",ROUND($D1915-IF($F1915="",0,$F1915),2))</f>
      </c>
      <c r="H1915" s="35">
        <f>IF(OR($D1915="",$K1915=""),"",COUNTIF(Payments!$G$5:$G$2500,$K1915))</f>
      </c>
      <c r="I1915" s="37">
        <f>IF($D1915="","",IF(OR($F1915="",$F1915=0),"Pending",IF(ROUND($F1915-$D1915,2)&gt;0,"Overpaid",IF(ROUND($F1915-$D1915,2)=0,"Paid","Partial"))))</f>
      </c>
      <c r="J1915" s="29"/>
      <c r="K1915">
        <f>IF($A1915="","","#"&amp;TRIM(SUBSTITUTE(SUBSTITUTE(SUBSTITUTE(SUBSTITUTE(SUBSTITUTE(SUBSTITUTE($A1915,"-",""),"(",""),")",""),".",""),"+","")," ","")))</f>
      </c>
    </row>
    <row r="1916" spans="1:11" x14ac:dyDescent="0.3">
      <c r="A1916" s="28"/>
      <c r="B1916" s="29"/>
      <c r="C1916" s="30"/>
      <c r="D1916" s="31"/>
      <c r="E1916" s="33">
        <f>IF(OR($D1916="",$K1916=""),"",IF(COUNTIFS(Payments!$G$5:$G$2500,$K1916,Payments!$C$5:$C$2500,"&lt;&gt;")=0,"",_xlfn.MAXIFS(Payments!$C$5:$C$2500,Payments!$G$5:$G$2500,$K1916)))</f>
      </c>
      <c r="F1916" s="34">
        <f>IF(OR($D1916="",$K1916=""),"",SUMIF(Payments!$G$5:$G$2500,$K1916,Payments!$D$5:$D$2500))</f>
      </c>
      <c r="G1916" s="36">
        <f>IF($D1916="","",ROUND($D1916-IF($F1916="",0,$F1916),2))</f>
      </c>
      <c r="H1916" s="35">
        <f>IF(OR($D1916="",$K1916=""),"",COUNTIF(Payments!$G$5:$G$2500,$K1916))</f>
      </c>
      <c r="I1916" s="37">
        <f>IF($D1916="","",IF(OR($F1916="",$F1916=0),"Pending",IF(ROUND($F1916-$D1916,2)&gt;0,"Overpaid",IF(ROUND($F1916-$D1916,2)=0,"Paid","Partial"))))</f>
      </c>
      <c r="J1916" s="29"/>
      <c r="K1916">
        <f>IF($A1916="","","#"&amp;TRIM(SUBSTITUTE(SUBSTITUTE(SUBSTITUTE(SUBSTITUTE(SUBSTITUTE(SUBSTITUTE($A1916,"-",""),"(",""),")",""),".",""),"+","")," ","")))</f>
      </c>
    </row>
    <row r="1917" spans="1:11" x14ac:dyDescent="0.3">
      <c r="A1917" s="28"/>
      <c r="B1917" s="29"/>
      <c r="C1917" s="30"/>
      <c r="D1917" s="31"/>
      <c r="E1917" s="33">
        <f>IF(OR($D1917="",$K1917=""),"",IF(COUNTIFS(Payments!$G$5:$G$2500,$K1917,Payments!$C$5:$C$2500,"&lt;&gt;")=0,"",_xlfn.MAXIFS(Payments!$C$5:$C$2500,Payments!$G$5:$G$2500,$K1917)))</f>
      </c>
      <c r="F1917" s="34">
        <f>IF(OR($D1917="",$K1917=""),"",SUMIF(Payments!$G$5:$G$2500,$K1917,Payments!$D$5:$D$2500))</f>
      </c>
      <c r="G1917" s="36">
        <f>IF($D1917="","",ROUND($D1917-IF($F1917="",0,$F1917),2))</f>
      </c>
      <c r="H1917" s="35">
        <f>IF(OR($D1917="",$K1917=""),"",COUNTIF(Payments!$G$5:$G$2500,$K1917))</f>
      </c>
      <c r="I1917" s="37">
        <f>IF($D1917="","",IF(OR($F1917="",$F1917=0),"Pending",IF(ROUND($F1917-$D1917,2)&gt;0,"Overpaid",IF(ROUND($F1917-$D1917,2)=0,"Paid","Partial"))))</f>
      </c>
      <c r="J1917" s="29"/>
      <c r="K1917">
        <f>IF($A1917="","","#"&amp;TRIM(SUBSTITUTE(SUBSTITUTE(SUBSTITUTE(SUBSTITUTE(SUBSTITUTE(SUBSTITUTE($A1917,"-",""),"(",""),")",""),".",""),"+","")," ","")))</f>
      </c>
    </row>
    <row r="1918" spans="1:11" x14ac:dyDescent="0.3">
      <c r="A1918" s="28"/>
      <c r="B1918" s="29"/>
      <c r="C1918" s="30"/>
      <c r="D1918" s="31"/>
      <c r="E1918" s="33">
        <f>IF(OR($D1918="",$K1918=""),"",IF(COUNTIFS(Payments!$G$5:$G$2500,$K1918,Payments!$C$5:$C$2500,"&lt;&gt;")=0,"",_xlfn.MAXIFS(Payments!$C$5:$C$2500,Payments!$G$5:$G$2500,$K1918)))</f>
      </c>
      <c r="F1918" s="34">
        <f>IF(OR($D1918="",$K1918=""),"",SUMIF(Payments!$G$5:$G$2500,$K1918,Payments!$D$5:$D$2500))</f>
      </c>
      <c r="G1918" s="36">
        <f>IF($D1918="","",ROUND($D1918-IF($F1918="",0,$F1918),2))</f>
      </c>
      <c r="H1918" s="35">
        <f>IF(OR($D1918="",$K1918=""),"",COUNTIF(Payments!$G$5:$G$2500,$K1918))</f>
      </c>
      <c r="I1918" s="37">
        <f>IF($D1918="","",IF(OR($F1918="",$F1918=0),"Pending",IF(ROUND($F1918-$D1918,2)&gt;0,"Overpaid",IF(ROUND($F1918-$D1918,2)=0,"Paid","Partial"))))</f>
      </c>
      <c r="J1918" s="29"/>
      <c r="K1918">
        <f>IF($A1918="","","#"&amp;TRIM(SUBSTITUTE(SUBSTITUTE(SUBSTITUTE(SUBSTITUTE(SUBSTITUTE(SUBSTITUTE($A1918,"-",""),"(",""),")",""),".",""),"+","")," ","")))</f>
      </c>
    </row>
    <row r="1919" spans="1:11" x14ac:dyDescent="0.3">
      <c r="A1919" s="28"/>
      <c r="B1919" s="29"/>
      <c r="C1919" s="30"/>
      <c r="D1919" s="31"/>
      <c r="E1919" s="33">
        <f>IF(OR($D1919="",$K1919=""),"",IF(COUNTIFS(Payments!$G$5:$G$2500,$K1919,Payments!$C$5:$C$2500,"&lt;&gt;")=0,"",_xlfn.MAXIFS(Payments!$C$5:$C$2500,Payments!$G$5:$G$2500,$K1919)))</f>
      </c>
      <c r="F1919" s="34">
        <f>IF(OR($D1919="",$K1919=""),"",SUMIF(Payments!$G$5:$G$2500,$K1919,Payments!$D$5:$D$2500))</f>
      </c>
      <c r="G1919" s="36">
        <f>IF($D1919="","",ROUND($D1919-IF($F1919="",0,$F1919),2))</f>
      </c>
      <c r="H1919" s="35">
        <f>IF(OR($D1919="",$K1919=""),"",COUNTIF(Payments!$G$5:$G$2500,$K1919))</f>
      </c>
      <c r="I1919" s="37">
        <f>IF($D1919="","",IF(OR($F1919="",$F1919=0),"Pending",IF(ROUND($F1919-$D1919,2)&gt;0,"Overpaid",IF(ROUND($F1919-$D1919,2)=0,"Paid","Partial"))))</f>
      </c>
      <c r="J1919" s="29"/>
      <c r="K1919">
        <f>IF($A1919="","","#"&amp;TRIM(SUBSTITUTE(SUBSTITUTE(SUBSTITUTE(SUBSTITUTE(SUBSTITUTE(SUBSTITUTE($A1919,"-",""),"(",""),")",""),".",""),"+","")," ","")))</f>
      </c>
    </row>
    <row r="1920" spans="1:11" x14ac:dyDescent="0.3">
      <c r="A1920" s="28"/>
      <c r="B1920" s="29"/>
      <c r="C1920" s="30"/>
      <c r="D1920" s="31"/>
      <c r="E1920" s="33">
        <f>IF(OR($D1920="",$K1920=""),"",IF(COUNTIFS(Payments!$G$5:$G$2500,$K1920,Payments!$C$5:$C$2500,"&lt;&gt;")=0,"",_xlfn.MAXIFS(Payments!$C$5:$C$2500,Payments!$G$5:$G$2500,$K1920)))</f>
      </c>
      <c r="F1920" s="34">
        <f>IF(OR($D1920="",$K1920=""),"",SUMIF(Payments!$G$5:$G$2500,$K1920,Payments!$D$5:$D$2500))</f>
      </c>
      <c r="G1920" s="36">
        <f>IF($D1920="","",ROUND($D1920-IF($F1920="",0,$F1920),2))</f>
      </c>
      <c r="H1920" s="35">
        <f>IF(OR($D1920="",$K1920=""),"",COUNTIF(Payments!$G$5:$G$2500,$K1920))</f>
      </c>
      <c r="I1920" s="37">
        <f>IF($D1920="","",IF(OR($F1920="",$F1920=0),"Pending",IF(ROUND($F1920-$D1920,2)&gt;0,"Overpaid",IF(ROUND($F1920-$D1920,2)=0,"Paid","Partial"))))</f>
      </c>
      <c r="J1920" s="29"/>
      <c r="K1920">
        <f>IF($A1920="","","#"&amp;TRIM(SUBSTITUTE(SUBSTITUTE(SUBSTITUTE(SUBSTITUTE(SUBSTITUTE(SUBSTITUTE($A1920,"-",""),"(",""),")",""),".",""),"+","")," ","")))</f>
      </c>
    </row>
    <row r="1921" spans="1:11" x14ac:dyDescent="0.3">
      <c r="A1921" s="28"/>
      <c r="B1921" s="29"/>
      <c r="C1921" s="30"/>
      <c r="D1921" s="31"/>
      <c r="E1921" s="33">
        <f>IF(OR($D1921="",$K1921=""),"",IF(COUNTIFS(Payments!$G$5:$G$2500,$K1921,Payments!$C$5:$C$2500,"&lt;&gt;")=0,"",_xlfn.MAXIFS(Payments!$C$5:$C$2500,Payments!$G$5:$G$2500,$K1921)))</f>
      </c>
      <c r="F1921" s="34">
        <f>IF(OR($D1921="",$K1921=""),"",SUMIF(Payments!$G$5:$G$2500,$K1921,Payments!$D$5:$D$2500))</f>
      </c>
      <c r="G1921" s="36">
        <f>IF($D1921="","",ROUND($D1921-IF($F1921="",0,$F1921),2))</f>
      </c>
      <c r="H1921" s="35">
        <f>IF(OR($D1921="",$K1921=""),"",COUNTIF(Payments!$G$5:$G$2500,$K1921))</f>
      </c>
      <c r="I1921" s="37">
        <f>IF($D1921="","",IF(OR($F1921="",$F1921=0),"Pending",IF(ROUND($F1921-$D1921,2)&gt;0,"Overpaid",IF(ROUND($F1921-$D1921,2)=0,"Paid","Partial"))))</f>
      </c>
      <c r="J1921" s="29"/>
      <c r="K1921">
        <f>IF($A1921="","","#"&amp;TRIM(SUBSTITUTE(SUBSTITUTE(SUBSTITUTE(SUBSTITUTE(SUBSTITUTE(SUBSTITUTE($A1921,"-",""),"(",""),")",""),".",""),"+","")," ","")))</f>
      </c>
    </row>
    <row r="1922" spans="1:11" x14ac:dyDescent="0.3">
      <c r="A1922" s="28"/>
      <c r="B1922" s="29"/>
      <c r="C1922" s="30"/>
      <c r="D1922" s="31"/>
      <c r="E1922" s="33">
        <f>IF(OR($D1922="",$K1922=""),"",IF(COUNTIFS(Payments!$G$5:$G$2500,$K1922,Payments!$C$5:$C$2500,"&lt;&gt;")=0,"",_xlfn.MAXIFS(Payments!$C$5:$C$2500,Payments!$G$5:$G$2500,$K1922)))</f>
      </c>
      <c r="F1922" s="34">
        <f>IF(OR($D1922="",$K1922=""),"",SUMIF(Payments!$G$5:$G$2500,$K1922,Payments!$D$5:$D$2500))</f>
      </c>
      <c r="G1922" s="36">
        <f>IF($D1922="","",ROUND($D1922-IF($F1922="",0,$F1922),2))</f>
      </c>
      <c r="H1922" s="35">
        <f>IF(OR($D1922="",$K1922=""),"",COUNTIF(Payments!$G$5:$G$2500,$K1922))</f>
      </c>
      <c r="I1922" s="37">
        <f>IF($D1922="","",IF(OR($F1922="",$F1922=0),"Pending",IF(ROUND($F1922-$D1922,2)&gt;0,"Overpaid",IF(ROUND($F1922-$D1922,2)=0,"Paid","Partial"))))</f>
      </c>
      <c r="J1922" s="29"/>
      <c r="K1922">
        <f>IF($A1922="","","#"&amp;TRIM(SUBSTITUTE(SUBSTITUTE(SUBSTITUTE(SUBSTITUTE(SUBSTITUTE(SUBSTITUTE($A1922,"-",""),"(",""),")",""),".",""),"+","")," ","")))</f>
      </c>
    </row>
    <row r="1923" spans="1:11" x14ac:dyDescent="0.3">
      <c r="A1923" s="28"/>
      <c r="B1923" s="29"/>
      <c r="C1923" s="30"/>
      <c r="D1923" s="31"/>
      <c r="E1923" s="33">
        <f>IF(OR($D1923="",$K1923=""),"",IF(COUNTIFS(Payments!$G$5:$G$2500,$K1923,Payments!$C$5:$C$2500,"&lt;&gt;")=0,"",_xlfn.MAXIFS(Payments!$C$5:$C$2500,Payments!$G$5:$G$2500,$K1923)))</f>
      </c>
      <c r="F1923" s="34">
        <f>IF(OR($D1923="",$K1923=""),"",SUMIF(Payments!$G$5:$G$2500,$K1923,Payments!$D$5:$D$2500))</f>
      </c>
      <c r="G1923" s="36">
        <f>IF($D1923="","",ROUND($D1923-IF($F1923="",0,$F1923),2))</f>
      </c>
      <c r="H1923" s="35">
        <f>IF(OR($D1923="",$K1923=""),"",COUNTIF(Payments!$G$5:$G$2500,$K1923))</f>
      </c>
      <c r="I1923" s="37">
        <f>IF($D1923="","",IF(OR($F1923="",$F1923=0),"Pending",IF(ROUND($F1923-$D1923,2)&gt;0,"Overpaid",IF(ROUND($F1923-$D1923,2)=0,"Paid","Partial"))))</f>
      </c>
      <c r="J1923" s="29"/>
      <c r="K1923">
        <f>IF($A1923="","","#"&amp;TRIM(SUBSTITUTE(SUBSTITUTE(SUBSTITUTE(SUBSTITUTE(SUBSTITUTE(SUBSTITUTE($A1923,"-",""),"(",""),")",""),".",""),"+","")," ","")))</f>
      </c>
    </row>
    <row r="1924" spans="1:11" x14ac:dyDescent="0.3">
      <c r="A1924" s="28"/>
      <c r="B1924" s="29"/>
      <c r="C1924" s="30"/>
      <c r="D1924" s="31"/>
      <c r="E1924" s="33">
        <f>IF(OR($D1924="",$K1924=""),"",IF(COUNTIFS(Payments!$G$5:$G$2500,$K1924,Payments!$C$5:$C$2500,"&lt;&gt;")=0,"",_xlfn.MAXIFS(Payments!$C$5:$C$2500,Payments!$G$5:$G$2500,$K1924)))</f>
      </c>
      <c r="F1924" s="34">
        <f>IF(OR($D1924="",$K1924=""),"",SUMIF(Payments!$G$5:$G$2500,$K1924,Payments!$D$5:$D$2500))</f>
      </c>
      <c r="G1924" s="36">
        <f>IF($D1924="","",ROUND($D1924-IF($F1924="",0,$F1924),2))</f>
      </c>
      <c r="H1924" s="35">
        <f>IF(OR($D1924="",$K1924=""),"",COUNTIF(Payments!$G$5:$G$2500,$K1924))</f>
      </c>
      <c r="I1924" s="37">
        <f>IF($D1924="","",IF(OR($F1924="",$F1924=0),"Pending",IF(ROUND($F1924-$D1924,2)&gt;0,"Overpaid",IF(ROUND($F1924-$D1924,2)=0,"Paid","Partial"))))</f>
      </c>
      <c r="J1924" s="29"/>
      <c r="K1924">
        <f>IF($A1924="","","#"&amp;TRIM(SUBSTITUTE(SUBSTITUTE(SUBSTITUTE(SUBSTITUTE(SUBSTITUTE(SUBSTITUTE($A1924,"-",""),"(",""),")",""),".",""),"+","")," ","")))</f>
      </c>
    </row>
    <row r="1925" spans="1:11" x14ac:dyDescent="0.3">
      <c r="A1925" s="28"/>
      <c r="B1925" s="29"/>
      <c r="C1925" s="30"/>
      <c r="D1925" s="31"/>
      <c r="E1925" s="33">
        <f>IF(OR($D1925="",$K1925=""),"",IF(COUNTIFS(Payments!$G$5:$G$2500,$K1925,Payments!$C$5:$C$2500,"&lt;&gt;")=0,"",_xlfn.MAXIFS(Payments!$C$5:$C$2500,Payments!$G$5:$G$2500,$K1925)))</f>
      </c>
      <c r="F1925" s="34">
        <f>IF(OR($D1925="",$K1925=""),"",SUMIF(Payments!$G$5:$G$2500,$K1925,Payments!$D$5:$D$2500))</f>
      </c>
      <c r="G1925" s="36">
        <f>IF($D1925="","",ROUND($D1925-IF($F1925="",0,$F1925),2))</f>
      </c>
      <c r="H1925" s="35">
        <f>IF(OR($D1925="",$K1925=""),"",COUNTIF(Payments!$G$5:$G$2500,$K1925))</f>
      </c>
      <c r="I1925" s="37">
        <f>IF($D1925="","",IF(OR($F1925="",$F1925=0),"Pending",IF(ROUND($F1925-$D1925,2)&gt;0,"Overpaid",IF(ROUND($F1925-$D1925,2)=0,"Paid","Partial"))))</f>
      </c>
      <c r="J1925" s="29"/>
      <c r="K1925">
        <f>IF($A1925="","","#"&amp;TRIM(SUBSTITUTE(SUBSTITUTE(SUBSTITUTE(SUBSTITUTE(SUBSTITUTE(SUBSTITUTE($A1925,"-",""),"(",""),")",""),".",""),"+","")," ","")))</f>
      </c>
    </row>
    <row r="1926" spans="1:11" x14ac:dyDescent="0.3">
      <c r="A1926" s="28"/>
      <c r="B1926" s="29"/>
      <c r="C1926" s="30"/>
      <c r="D1926" s="31"/>
      <c r="E1926" s="33">
        <f>IF(OR($D1926="",$K1926=""),"",IF(COUNTIFS(Payments!$G$5:$G$2500,$K1926,Payments!$C$5:$C$2500,"&lt;&gt;")=0,"",_xlfn.MAXIFS(Payments!$C$5:$C$2500,Payments!$G$5:$G$2500,$K1926)))</f>
      </c>
      <c r="F1926" s="34">
        <f>IF(OR($D1926="",$K1926=""),"",SUMIF(Payments!$G$5:$G$2500,$K1926,Payments!$D$5:$D$2500))</f>
      </c>
      <c r="G1926" s="36">
        <f>IF($D1926="","",ROUND($D1926-IF($F1926="",0,$F1926),2))</f>
      </c>
      <c r="H1926" s="35">
        <f>IF(OR($D1926="",$K1926=""),"",COUNTIF(Payments!$G$5:$G$2500,$K1926))</f>
      </c>
      <c r="I1926" s="37">
        <f>IF($D1926="","",IF(OR($F1926="",$F1926=0),"Pending",IF(ROUND($F1926-$D1926,2)&gt;0,"Overpaid",IF(ROUND($F1926-$D1926,2)=0,"Paid","Partial"))))</f>
      </c>
      <c r="J1926" s="29"/>
      <c r="K1926">
        <f>IF($A1926="","","#"&amp;TRIM(SUBSTITUTE(SUBSTITUTE(SUBSTITUTE(SUBSTITUTE(SUBSTITUTE(SUBSTITUTE($A1926,"-",""),"(",""),")",""),".",""),"+","")," ","")))</f>
      </c>
    </row>
    <row r="1927" spans="1:11" x14ac:dyDescent="0.3">
      <c r="A1927" s="28"/>
      <c r="B1927" s="29"/>
      <c r="C1927" s="30"/>
      <c r="D1927" s="31"/>
      <c r="E1927" s="33">
        <f>IF(OR($D1927="",$K1927=""),"",IF(COUNTIFS(Payments!$G$5:$G$2500,$K1927,Payments!$C$5:$C$2500,"&lt;&gt;")=0,"",_xlfn.MAXIFS(Payments!$C$5:$C$2500,Payments!$G$5:$G$2500,$K1927)))</f>
      </c>
      <c r="F1927" s="34">
        <f>IF(OR($D1927="",$K1927=""),"",SUMIF(Payments!$G$5:$G$2500,$K1927,Payments!$D$5:$D$2500))</f>
      </c>
      <c r="G1927" s="36">
        <f>IF($D1927="","",ROUND($D1927-IF($F1927="",0,$F1927),2))</f>
      </c>
      <c r="H1927" s="35">
        <f>IF(OR($D1927="",$K1927=""),"",COUNTIF(Payments!$G$5:$G$2500,$K1927))</f>
      </c>
      <c r="I1927" s="37">
        <f>IF($D1927="","",IF(OR($F1927="",$F1927=0),"Pending",IF(ROUND($F1927-$D1927,2)&gt;0,"Overpaid",IF(ROUND($F1927-$D1927,2)=0,"Paid","Partial"))))</f>
      </c>
      <c r="J1927" s="29"/>
      <c r="K1927">
        <f>IF($A1927="","","#"&amp;TRIM(SUBSTITUTE(SUBSTITUTE(SUBSTITUTE(SUBSTITUTE(SUBSTITUTE(SUBSTITUTE($A1927,"-",""),"(",""),")",""),".",""),"+","")," ","")))</f>
      </c>
    </row>
    <row r="1928" spans="1:11" x14ac:dyDescent="0.3">
      <c r="A1928" s="28"/>
      <c r="B1928" s="29"/>
      <c r="C1928" s="30"/>
      <c r="D1928" s="31"/>
      <c r="E1928" s="33">
        <f>IF(OR($D1928="",$K1928=""),"",IF(COUNTIFS(Payments!$G$5:$G$2500,$K1928,Payments!$C$5:$C$2500,"&lt;&gt;")=0,"",_xlfn.MAXIFS(Payments!$C$5:$C$2500,Payments!$G$5:$G$2500,$K1928)))</f>
      </c>
      <c r="F1928" s="34">
        <f>IF(OR($D1928="",$K1928=""),"",SUMIF(Payments!$G$5:$G$2500,$K1928,Payments!$D$5:$D$2500))</f>
      </c>
      <c r="G1928" s="36">
        <f>IF($D1928="","",ROUND($D1928-IF($F1928="",0,$F1928),2))</f>
      </c>
      <c r="H1928" s="35">
        <f>IF(OR($D1928="",$K1928=""),"",COUNTIF(Payments!$G$5:$G$2500,$K1928))</f>
      </c>
      <c r="I1928" s="37">
        <f>IF($D1928="","",IF(OR($F1928="",$F1928=0),"Pending",IF(ROUND($F1928-$D1928,2)&gt;0,"Overpaid",IF(ROUND($F1928-$D1928,2)=0,"Paid","Partial"))))</f>
      </c>
      <c r="J1928" s="29"/>
      <c r="K1928">
        <f>IF($A1928="","","#"&amp;TRIM(SUBSTITUTE(SUBSTITUTE(SUBSTITUTE(SUBSTITUTE(SUBSTITUTE(SUBSTITUTE($A1928,"-",""),"(",""),")",""),".",""),"+","")," ","")))</f>
      </c>
    </row>
    <row r="1929" spans="1:11" x14ac:dyDescent="0.3">
      <c r="A1929" s="28"/>
      <c r="B1929" s="29"/>
      <c r="C1929" s="30"/>
      <c r="D1929" s="31"/>
      <c r="E1929" s="33">
        <f>IF(OR($D1929="",$K1929=""),"",IF(COUNTIFS(Payments!$G$5:$G$2500,$K1929,Payments!$C$5:$C$2500,"&lt;&gt;")=0,"",_xlfn.MAXIFS(Payments!$C$5:$C$2500,Payments!$G$5:$G$2500,$K1929)))</f>
      </c>
      <c r="F1929" s="34">
        <f>IF(OR($D1929="",$K1929=""),"",SUMIF(Payments!$G$5:$G$2500,$K1929,Payments!$D$5:$D$2500))</f>
      </c>
      <c r="G1929" s="36">
        <f>IF($D1929="","",ROUND($D1929-IF($F1929="",0,$F1929),2))</f>
      </c>
      <c r="H1929" s="35">
        <f>IF(OR($D1929="",$K1929=""),"",COUNTIF(Payments!$G$5:$G$2500,$K1929))</f>
      </c>
      <c r="I1929" s="37">
        <f>IF($D1929="","",IF(OR($F1929="",$F1929=0),"Pending",IF(ROUND($F1929-$D1929,2)&gt;0,"Overpaid",IF(ROUND($F1929-$D1929,2)=0,"Paid","Partial"))))</f>
      </c>
      <c r="J1929" s="29"/>
      <c r="K1929">
        <f>IF($A1929="","","#"&amp;TRIM(SUBSTITUTE(SUBSTITUTE(SUBSTITUTE(SUBSTITUTE(SUBSTITUTE(SUBSTITUTE($A1929,"-",""),"(",""),")",""),".",""),"+","")," ","")))</f>
      </c>
    </row>
    <row r="1930" spans="1:11" x14ac:dyDescent="0.3">
      <c r="A1930" s="28"/>
      <c r="B1930" s="29"/>
      <c r="C1930" s="30"/>
      <c r="D1930" s="31"/>
      <c r="E1930" s="33">
        <f>IF(OR($D1930="",$K1930=""),"",IF(COUNTIFS(Payments!$G$5:$G$2500,$K1930,Payments!$C$5:$C$2500,"&lt;&gt;")=0,"",_xlfn.MAXIFS(Payments!$C$5:$C$2500,Payments!$G$5:$G$2500,$K1930)))</f>
      </c>
      <c r="F1930" s="34">
        <f>IF(OR($D1930="",$K1930=""),"",SUMIF(Payments!$G$5:$G$2500,$K1930,Payments!$D$5:$D$2500))</f>
      </c>
      <c r="G1930" s="36">
        <f>IF($D1930="","",ROUND($D1930-IF($F1930="",0,$F1930),2))</f>
      </c>
      <c r="H1930" s="35">
        <f>IF(OR($D1930="",$K1930=""),"",COUNTIF(Payments!$G$5:$G$2500,$K1930))</f>
      </c>
      <c r="I1930" s="37">
        <f>IF($D1930="","",IF(OR($F1930="",$F1930=0),"Pending",IF(ROUND($F1930-$D1930,2)&gt;0,"Overpaid",IF(ROUND($F1930-$D1930,2)=0,"Paid","Partial"))))</f>
      </c>
      <c r="J1930" s="29"/>
      <c r="K1930">
        <f>IF($A1930="","","#"&amp;TRIM(SUBSTITUTE(SUBSTITUTE(SUBSTITUTE(SUBSTITUTE(SUBSTITUTE(SUBSTITUTE($A1930,"-",""),"(",""),")",""),".",""),"+","")," ","")))</f>
      </c>
    </row>
    <row r="1931" spans="1:11" x14ac:dyDescent="0.3">
      <c r="A1931" s="28"/>
      <c r="B1931" s="29"/>
      <c r="C1931" s="30"/>
      <c r="D1931" s="31"/>
      <c r="E1931" s="33">
        <f>IF(OR($D1931="",$K1931=""),"",IF(COUNTIFS(Payments!$G$5:$G$2500,$K1931,Payments!$C$5:$C$2500,"&lt;&gt;")=0,"",_xlfn.MAXIFS(Payments!$C$5:$C$2500,Payments!$G$5:$G$2500,$K1931)))</f>
      </c>
      <c r="F1931" s="34">
        <f>IF(OR($D1931="",$K1931=""),"",SUMIF(Payments!$G$5:$G$2500,$K1931,Payments!$D$5:$D$2500))</f>
      </c>
      <c r="G1931" s="36">
        <f>IF($D1931="","",ROUND($D1931-IF($F1931="",0,$F1931),2))</f>
      </c>
      <c r="H1931" s="35">
        <f>IF(OR($D1931="",$K1931=""),"",COUNTIF(Payments!$G$5:$G$2500,$K1931))</f>
      </c>
      <c r="I1931" s="37">
        <f>IF($D1931="","",IF(OR($F1931="",$F1931=0),"Pending",IF(ROUND($F1931-$D1931,2)&gt;0,"Overpaid",IF(ROUND($F1931-$D1931,2)=0,"Paid","Partial"))))</f>
      </c>
      <c r="J1931" s="29"/>
      <c r="K1931">
        <f>IF($A1931="","","#"&amp;TRIM(SUBSTITUTE(SUBSTITUTE(SUBSTITUTE(SUBSTITUTE(SUBSTITUTE(SUBSTITUTE($A1931,"-",""),"(",""),")",""),".",""),"+","")," ","")))</f>
      </c>
    </row>
    <row r="1932" spans="1:11" x14ac:dyDescent="0.3">
      <c r="A1932" s="28"/>
      <c r="B1932" s="29"/>
      <c r="C1932" s="30"/>
      <c r="D1932" s="31"/>
      <c r="E1932" s="33">
        <f>IF(OR($D1932="",$K1932=""),"",IF(COUNTIFS(Payments!$G$5:$G$2500,$K1932,Payments!$C$5:$C$2500,"&lt;&gt;")=0,"",_xlfn.MAXIFS(Payments!$C$5:$C$2500,Payments!$G$5:$G$2500,$K1932)))</f>
      </c>
      <c r="F1932" s="34">
        <f>IF(OR($D1932="",$K1932=""),"",SUMIF(Payments!$G$5:$G$2500,$K1932,Payments!$D$5:$D$2500))</f>
      </c>
      <c r="G1932" s="36">
        <f>IF($D1932="","",ROUND($D1932-IF($F1932="",0,$F1932),2))</f>
      </c>
      <c r="H1932" s="35">
        <f>IF(OR($D1932="",$K1932=""),"",COUNTIF(Payments!$G$5:$G$2500,$K1932))</f>
      </c>
      <c r="I1932" s="37">
        <f>IF($D1932="","",IF(OR($F1932="",$F1932=0),"Pending",IF(ROUND($F1932-$D1932,2)&gt;0,"Overpaid",IF(ROUND($F1932-$D1932,2)=0,"Paid","Partial"))))</f>
      </c>
      <c r="J1932" s="29"/>
      <c r="K1932">
        <f>IF($A1932="","","#"&amp;TRIM(SUBSTITUTE(SUBSTITUTE(SUBSTITUTE(SUBSTITUTE(SUBSTITUTE(SUBSTITUTE($A1932,"-",""),"(",""),")",""),".",""),"+","")," ","")))</f>
      </c>
    </row>
    <row r="1933" spans="1:11" x14ac:dyDescent="0.3">
      <c r="A1933" s="28"/>
      <c r="B1933" s="29"/>
      <c r="C1933" s="30"/>
      <c r="D1933" s="31"/>
      <c r="E1933" s="33">
        <f>IF(OR($D1933="",$K1933=""),"",IF(COUNTIFS(Payments!$G$5:$G$2500,$K1933,Payments!$C$5:$C$2500,"&lt;&gt;")=0,"",_xlfn.MAXIFS(Payments!$C$5:$C$2500,Payments!$G$5:$G$2500,$K1933)))</f>
      </c>
      <c r="F1933" s="34">
        <f>IF(OR($D1933="",$K1933=""),"",SUMIF(Payments!$G$5:$G$2500,$K1933,Payments!$D$5:$D$2500))</f>
      </c>
      <c r="G1933" s="36">
        <f>IF($D1933="","",ROUND($D1933-IF($F1933="",0,$F1933),2))</f>
      </c>
      <c r="H1933" s="35">
        <f>IF(OR($D1933="",$K1933=""),"",COUNTIF(Payments!$G$5:$G$2500,$K1933))</f>
      </c>
      <c r="I1933" s="37">
        <f>IF($D1933="","",IF(OR($F1933="",$F1933=0),"Pending",IF(ROUND($F1933-$D1933,2)&gt;0,"Overpaid",IF(ROUND($F1933-$D1933,2)=0,"Paid","Partial"))))</f>
      </c>
      <c r="J1933" s="29"/>
      <c r="K1933">
        <f>IF($A1933="","","#"&amp;TRIM(SUBSTITUTE(SUBSTITUTE(SUBSTITUTE(SUBSTITUTE(SUBSTITUTE(SUBSTITUTE($A1933,"-",""),"(",""),")",""),".",""),"+","")," ","")))</f>
      </c>
    </row>
    <row r="1934" spans="1:11" x14ac:dyDescent="0.3">
      <c r="A1934" s="28"/>
      <c r="B1934" s="29"/>
      <c r="C1934" s="30"/>
      <c r="D1934" s="31"/>
      <c r="E1934" s="33">
        <f>IF(OR($D1934="",$K1934=""),"",IF(COUNTIFS(Payments!$G$5:$G$2500,$K1934,Payments!$C$5:$C$2500,"&lt;&gt;")=0,"",_xlfn.MAXIFS(Payments!$C$5:$C$2500,Payments!$G$5:$G$2500,$K1934)))</f>
      </c>
      <c r="F1934" s="34">
        <f>IF(OR($D1934="",$K1934=""),"",SUMIF(Payments!$G$5:$G$2500,$K1934,Payments!$D$5:$D$2500))</f>
      </c>
      <c r="G1934" s="36">
        <f>IF($D1934="","",ROUND($D1934-IF($F1934="",0,$F1934),2))</f>
      </c>
      <c r="H1934" s="35">
        <f>IF(OR($D1934="",$K1934=""),"",COUNTIF(Payments!$G$5:$G$2500,$K1934))</f>
      </c>
      <c r="I1934" s="37">
        <f>IF($D1934="","",IF(OR($F1934="",$F1934=0),"Pending",IF(ROUND($F1934-$D1934,2)&gt;0,"Overpaid",IF(ROUND($F1934-$D1934,2)=0,"Paid","Partial"))))</f>
      </c>
      <c r="J1934" s="29"/>
      <c r="K1934">
        <f>IF($A1934="","","#"&amp;TRIM(SUBSTITUTE(SUBSTITUTE(SUBSTITUTE(SUBSTITUTE(SUBSTITUTE(SUBSTITUTE($A1934,"-",""),"(",""),")",""),".",""),"+","")," ","")))</f>
      </c>
    </row>
    <row r="1935" spans="1:11" x14ac:dyDescent="0.3">
      <c r="A1935" s="28"/>
      <c r="B1935" s="29"/>
      <c r="C1935" s="30"/>
      <c r="D1935" s="31"/>
      <c r="E1935" s="33">
        <f>IF(OR($D1935="",$K1935=""),"",IF(COUNTIFS(Payments!$G$5:$G$2500,$K1935,Payments!$C$5:$C$2500,"&lt;&gt;")=0,"",_xlfn.MAXIFS(Payments!$C$5:$C$2500,Payments!$G$5:$G$2500,$K1935)))</f>
      </c>
      <c r="F1935" s="34">
        <f>IF(OR($D1935="",$K1935=""),"",SUMIF(Payments!$G$5:$G$2500,$K1935,Payments!$D$5:$D$2500))</f>
      </c>
      <c r="G1935" s="36">
        <f>IF($D1935="","",ROUND($D1935-IF($F1935="",0,$F1935),2))</f>
      </c>
      <c r="H1935" s="35">
        <f>IF(OR($D1935="",$K1935=""),"",COUNTIF(Payments!$G$5:$G$2500,$K1935))</f>
      </c>
      <c r="I1935" s="37">
        <f>IF($D1935="","",IF(OR($F1935="",$F1935=0),"Pending",IF(ROUND($F1935-$D1935,2)&gt;0,"Overpaid",IF(ROUND($F1935-$D1935,2)=0,"Paid","Partial"))))</f>
      </c>
      <c r="J1935" s="29"/>
      <c r="K1935">
        <f>IF($A1935="","","#"&amp;TRIM(SUBSTITUTE(SUBSTITUTE(SUBSTITUTE(SUBSTITUTE(SUBSTITUTE(SUBSTITUTE($A1935,"-",""),"(",""),")",""),".",""),"+","")," ","")))</f>
      </c>
    </row>
    <row r="1936" spans="1:11" x14ac:dyDescent="0.3">
      <c r="A1936" s="28"/>
      <c r="B1936" s="29"/>
      <c r="C1936" s="30"/>
      <c r="D1936" s="31"/>
      <c r="E1936" s="33">
        <f>IF(OR($D1936="",$K1936=""),"",IF(COUNTIFS(Payments!$G$5:$G$2500,$K1936,Payments!$C$5:$C$2500,"&lt;&gt;")=0,"",_xlfn.MAXIFS(Payments!$C$5:$C$2500,Payments!$G$5:$G$2500,$K1936)))</f>
      </c>
      <c r="F1936" s="34">
        <f>IF(OR($D1936="",$K1936=""),"",SUMIF(Payments!$G$5:$G$2500,$K1936,Payments!$D$5:$D$2500))</f>
      </c>
      <c r="G1936" s="36">
        <f>IF($D1936="","",ROUND($D1936-IF($F1936="",0,$F1936),2))</f>
      </c>
      <c r="H1936" s="35">
        <f>IF(OR($D1936="",$K1936=""),"",COUNTIF(Payments!$G$5:$G$2500,$K1936))</f>
      </c>
      <c r="I1936" s="37">
        <f>IF($D1936="","",IF(OR($F1936="",$F1936=0),"Pending",IF(ROUND($F1936-$D1936,2)&gt;0,"Overpaid",IF(ROUND($F1936-$D1936,2)=0,"Paid","Partial"))))</f>
      </c>
      <c r="J1936" s="29"/>
      <c r="K1936">
        <f>IF($A1936="","","#"&amp;TRIM(SUBSTITUTE(SUBSTITUTE(SUBSTITUTE(SUBSTITUTE(SUBSTITUTE(SUBSTITUTE($A1936,"-",""),"(",""),")",""),".",""),"+","")," ","")))</f>
      </c>
    </row>
    <row r="1937" spans="1:11" x14ac:dyDescent="0.3">
      <c r="A1937" s="28"/>
      <c r="B1937" s="29"/>
      <c r="C1937" s="30"/>
      <c r="D1937" s="31"/>
      <c r="E1937" s="33">
        <f>IF(OR($D1937="",$K1937=""),"",IF(COUNTIFS(Payments!$G$5:$G$2500,$K1937,Payments!$C$5:$C$2500,"&lt;&gt;")=0,"",_xlfn.MAXIFS(Payments!$C$5:$C$2500,Payments!$G$5:$G$2500,$K1937)))</f>
      </c>
      <c r="F1937" s="34">
        <f>IF(OR($D1937="",$K1937=""),"",SUMIF(Payments!$G$5:$G$2500,$K1937,Payments!$D$5:$D$2500))</f>
      </c>
      <c r="G1937" s="36">
        <f>IF($D1937="","",ROUND($D1937-IF($F1937="",0,$F1937),2))</f>
      </c>
      <c r="H1937" s="35">
        <f>IF(OR($D1937="",$K1937=""),"",COUNTIF(Payments!$G$5:$G$2500,$K1937))</f>
      </c>
      <c r="I1937" s="37">
        <f>IF($D1937="","",IF(OR($F1937="",$F1937=0),"Pending",IF(ROUND($F1937-$D1937,2)&gt;0,"Overpaid",IF(ROUND($F1937-$D1937,2)=0,"Paid","Partial"))))</f>
      </c>
      <c r="J1937" s="29"/>
      <c r="K1937">
        <f>IF($A1937="","","#"&amp;TRIM(SUBSTITUTE(SUBSTITUTE(SUBSTITUTE(SUBSTITUTE(SUBSTITUTE(SUBSTITUTE($A1937,"-",""),"(",""),")",""),".",""),"+","")," ","")))</f>
      </c>
    </row>
    <row r="1938" spans="1:11" x14ac:dyDescent="0.3">
      <c r="A1938" s="28"/>
      <c r="B1938" s="29"/>
      <c r="C1938" s="30"/>
      <c r="D1938" s="31"/>
      <c r="E1938" s="33">
        <f>IF(OR($D1938="",$K1938=""),"",IF(COUNTIFS(Payments!$G$5:$G$2500,$K1938,Payments!$C$5:$C$2500,"&lt;&gt;")=0,"",_xlfn.MAXIFS(Payments!$C$5:$C$2500,Payments!$G$5:$G$2500,$K1938)))</f>
      </c>
      <c r="F1938" s="34">
        <f>IF(OR($D1938="",$K1938=""),"",SUMIF(Payments!$G$5:$G$2500,$K1938,Payments!$D$5:$D$2500))</f>
      </c>
      <c r="G1938" s="36">
        <f>IF($D1938="","",ROUND($D1938-IF($F1938="",0,$F1938),2))</f>
      </c>
      <c r="H1938" s="35">
        <f>IF(OR($D1938="",$K1938=""),"",COUNTIF(Payments!$G$5:$G$2500,$K1938))</f>
      </c>
      <c r="I1938" s="37">
        <f>IF($D1938="","",IF(OR($F1938="",$F1938=0),"Pending",IF(ROUND($F1938-$D1938,2)&gt;0,"Overpaid",IF(ROUND($F1938-$D1938,2)=0,"Paid","Partial"))))</f>
      </c>
      <c r="J1938" s="29"/>
      <c r="K1938">
        <f>IF($A1938="","","#"&amp;TRIM(SUBSTITUTE(SUBSTITUTE(SUBSTITUTE(SUBSTITUTE(SUBSTITUTE(SUBSTITUTE($A1938,"-",""),"(",""),")",""),".",""),"+","")," ","")))</f>
      </c>
    </row>
    <row r="1939" spans="1:11" x14ac:dyDescent="0.3">
      <c r="A1939" s="28"/>
      <c r="B1939" s="29"/>
      <c r="C1939" s="30"/>
      <c r="D1939" s="31"/>
      <c r="E1939" s="33">
        <f>IF(OR($D1939="",$K1939=""),"",IF(COUNTIFS(Payments!$G$5:$G$2500,$K1939,Payments!$C$5:$C$2500,"&lt;&gt;")=0,"",_xlfn.MAXIFS(Payments!$C$5:$C$2500,Payments!$G$5:$G$2500,$K1939)))</f>
      </c>
      <c r="F1939" s="34">
        <f>IF(OR($D1939="",$K1939=""),"",SUMIF(Payments!$G$5:$G$2500,$K1939,Payments!$D$5:$D$2500))</f>
      </c>
      <c r="G1939" s="36">
        <f>IF($D1939="","",ROUND($D1939-IF($F1939="",0,$F1939),2))</f>
      </c>
      <c r="H1939" s="35">
        <f>IF(OR($D1939="",$K1939=""),"",COUNTIF(Payments!$G$5:$G$2500,$K1939))</f>
      </c>
      <c r="I1939" s="37">
        <f>IF($D1939="","",IF(OR($F1939="",$F1939=0),"Pending",IF(ROUND($F1939-$D1939,2)&gt;0,"Overpaid",IF(ROUND($F1939-$D1939,2)=0,"Paid","Partial"))))</f>
      </c>
      <c r="J1939" s="29"/>
      <c r="K1939">
        <f>IF($A1939="","","#"&amp;TRIM(SUBSTITUTE(SUBSTITUTE(SUBSTITUTE(SUBSTITUTE(SUBSTITUTE(SUBSTITUTE($A1939,"-",""),"(",""),")",""),".",""),"+","")," ","")))</f>
      </c>
    </row>
    <row r="1940" spans="1:11" x14ac:dyDescent="0.3">
      <c r="A1940" s="28"/>
      <c r="B1940" s="29"/>
      <c r="C1940" s="30"/>
      <c r="D1940" s="31"/>
      <c r="E1940" s="33">
        <f>IF(OR($D1940="",$K1940=""),"",IF(COUNTIFS(Payments!$G$5:$G$2500,$K1940,Payments!$C$5:$C$2500,"&lt;&gt;")=0,"",_xlfn.MAXIFS(Payments!$C$5:$C$2500,Payments!$G$5:$G$2500,$K1940)))</f>
      </c>
      <c r="F1940" s="34">
        <f>IF(OR($D1940="",$K1940=""),"",SUMIF(Payments!$G$5:$G$2500,$K1940,Payments!$D$5:$D$2500))</f>
      </c>
      <c r="G1940" s="36">
        <f>IF($D1940="","",ROUND($D1940-IF($F1940="",0,$F1940),2))</f>
      </c>
      <c r="H1940" s="35">
        <f>IF(OR($D1940="",$K1940=""),"",COUNTIF(Payments!$G$5:$G$2500,$K1940))</f>
      </c>
      <c r="I1940" s="37">
        <f>IF($D1940="","",IF(OR($F1940="",$F1940=0),"Pending",IF(ROUND($F1940-$D1940,2)&gt;0,"Overpaid",IF(ROUND($F1940-$D1940,2)=0,"Paid","Partial"))))</f>
      </c>
      <c r="J1940" s="29"/>
      <c r="K1940">
        <f>IF($A1940="","","#"&amp;TRIM(SUBSTITUTE(SUBSTITUTE(SUBSTITUTE(SUBSTITUTE(SUBSTITUTE(SUBSTITUTE($A1940,"-",""),"(",""),")",""),".",""),"+","")," ","")))</f>
      </c>
    </row>
    <row r="1941" spans="1:11" x14ac:dyDescent="0.3">
      <c r="A1941" s="28"/>
      <c r="B1941" s="29"/>
      <c r="C1941" s="30"/>
      <c r="D1941" s="31"/>
      <c r="E1941" s="33">
        <f>IF(OR($D1941="",$K1941=""),"",IF(COUNTIFS(Payments!$G$5:$G$2500,$K1941,Payments!$C$5:$C$2500,"&lt;&gt;")=0,"",_xlfn.MAXIFS(Payments!$C$5:$C$2500,Payments!$G$5:$G$2500,$K1941)))</f>
      </c>
      <c r="F1941" s="34">
        <f>IF(OR($D1941="",$K1941=""),"",SUMIF(Payments!$G$5:$G$2500,$K1941,Payments!$D$5:$D$2500))</f>
      </c>
      <c r="G1941" s="36">
        <f>IF($D1941="","",ROUND($D1941-IF($F1941="",0,$F1941),2))</f>
      </c>
      <c r="H1941" s="35">
        <f>IF(OR($D1941="",$K1941=""),"",COUNTIF(Payments!$G$5:$G$2500,$K1941))</f>
      </c>
      <c r="I1941" s="37">
        <f>IF($D1941="","",IF(OR($F1941="",$F1941=0),"Pending",IF(ROUND($F1941-$D1941,2)&gt;0,"Overpaid",IF(ROUND($F1941-$D1941,2)=0,"Paid","Partial"))))</f>
      </c>
      <c r="J1941" s="29"/>
      <c r="K1941">
        <f>IF($A1941="","","#"&amp;TRIM(SUBSTITUTE(SUBSTITUTE(SUBSTITUTE(SUBSTITUTE(SUBSTITUTE(SUBSTITUTE($A1941,"-",""),"(",""),")",""),".",""),"+","")," ","")))</f>
      </c>
    </row>
    <row r="1942" spans="1:11" x14ac:dyDescent="0.3">
      <c r="A1942" s="28"/>
      <c r="B1942" s="29"/>
      <c r="C1942" s="30"/>
      <c r="D1942" s="31"/>
      <c r="E1942" s="33">
        <f>IF(OR($D1942="",$K1942=""),"",IF(COUNTIFS(Payments!$G$5:$G$2500,$K1942,Payments!$C$5:$C$2500,"&lt;&gt;")=0,"",_xlfn.MAXIFS(Payments!$C$5:$C$2500,Payments!$G$5:$G$2500,$K1942)))</f>
      </c>
      <c r="F1942" s="34">
        <f>IF(OR($D1942="",$K1942=""),"",SUMIF(Payments!$G$5:$G$2500,$K1942,Payments!$D$5:$D$2500))</f>
      </c>
      <c r="G1942" s="36">
        <f>IF($D1942="","",ROUND($D1942-IF($F1942="",0,$F1942),2))</f>
      </c>
      <c r="H1942" s="35">
        <f>IF(OR($D1942="",$K1942=""),"",COUNTIF(Payments!$G$5:$G$2500,$K1942))</f>
      </c>
      <c r="I1942" s="37">
        <f>IF($D1942="","",IF(OR($F1942="",$F1942=0),"Pending",IF(ROUND($F1942-$D1942,2)&gt;0,"Overpaid",IF(ROUND($F1942-$D1942,2)=0,"Paid","Partial"))))</f>
      </c>
      <c r="J1942" s="29"/>
      <c r="K1942">
        <f>IF($A1942="","","#"&amp;TRIM(SUBSTITUTE(SUBSTITUTE(SUBSTITUTE(SUBSTITUTE(SUBSTITUTE(SUBSTITUTE($A1942,"-",""),"(",""),")",""),".",""),"+","")," ","")))</f>
      </c>
    </row>
    <row r="1943" spans="1:11" x14ac:dyDescent="0.3">
      <c r="A1943" s="28"/>
      <c r="B1943" s="29"/>
      <c r="C1943" s="30"/>
      <c r="D1943" s="31"/>
      <c r="E1943" s="33">
        <f>IF(OR($D1943="",$K1943=""),"",IF(COUNTIFS(Payments!$G$5:$G$2500,$K1943,Payments!$C$5:$C$2500,"&lt;&gt;")=0,"",_xlfn.MAXIFS(Payments!$C$5:$C$2500,Payments!$G$5:$G$2500,$K1943)))</f>
      </c>
      <c r="F1943" s="34">
        <f>IF(OR($D1943="",$K1943=""),"",SUMIF(Payments!$G$5:$G$2500,$K1943,Payments!$D$5:$D$2500))</f>
      </c>
      <c r="G1943" s="36">
        <f>IF($D1943="","",ROUND($D1943-IF($F1943="",0,$F1943),2))</f>
      </c>
      <c r="H1943" s="35">
        <f>IF(OR($D1943="",$K1943=""),"",COUNTIF(Payments!$G$5:$G$2500,$K1943))</f>
      </c>
      <c r="I1943" s="37">
        <f>IF($D1943="","",IF(OR($F1943="",$F1943=0),"Pending",IF(ROUND($F1943-$D1943,2)&gt;0,"Overpaid",IF(ROUND($F1943-$D1943,2)=0,"Paid","Partial"))))</f>
      </c>
      <c r="J1943" s="29"/>
      <c r="K1943">
        <f>IF($A1943="","","#"&amp;TRIM(SUBSTITUTE(SUBSTITUTE(SUBSTITUTE(SUBSTITUTE(SUBSTITUTE(SUBSTITUTE($A1943,"-",""),"(",""),")",""),".",""),"+","")," ","")))</f>
      </c>
    </row>
    <row r="1944" spans="1:11" x14ac:dyDescent="0.3">
      <c r="A1944" s="28"/>
      <c r="B1944" s="29"/>
      <c r="C1944" s="30"/>
      <c r="D1944" s="31"/>
      <c r="E1944" s="33">
        <f>IF(OR($D1944="",$K1944=""),"",IF(COUNTIFS(Payments!$G$5:$G$2500,$K1944,Payments!$C$5:$C$2500,"&lt;&gt;")=0,"",_xlfn.MAXIFS(Payments!$C$5:$C$2500,Payments!$G$5:$G$2500,$K1944)))</f>
      </c>
      <c r="F1944" s="34">
        <f>IF(OR($D1944="",$K1944=""),"",SUMIF(Payments!$G$5:$G$2500,$K1944,Payments!$D$5:$D$2500))</f>
      </c>
      <c r="G1944" s="36">
        <f>IF($D1944="","",ROUND($D1944-IF($F1944="",0,$F1944),2))</f>
      </c>
      <c r="H1944" s="35">
        <f>IF(OR($D1944="",$K1944=""),"",COUNTIF(Payments!$G$5:$G$2500,$K1944))</f>
      </c>
      <c r="I1944" s="37">
        <f>IF($D1944="","",IF(OR($F1944="",$F1944=0),"Pending",IF(ROUND($F1944-$D1944,2)&gt;0,"Overpaid",IF(ROUND($F1944-$D1944,2)=0,"Paid","Partial"))))</f>
      </c>
      <c r="J1944" s="29"/>
      <c r="K1944">
        <f>IF($A1944="","","#"&amp;TRIM(SUBSTITUTE(SUBSTITUTE(SUBSTITUTE(SUBSTITUTE(SUBSTITUTE(SUBSTITUTE($A1944,"-",""),"(",""),")",""),".",""),"+","")," ","")))</f>
      </c>
    </row>
    <row r="1945" spans="1:11" x14ac:dyDescent="0.3">
      <c r="A1945" s="28"/>
      <c r="B1945" s="29"/>
      <c r="C1945" s="30"/>
      <c r="D1945" s="31"/>
      <c r="E1945" s="33">
        <f>IF(OR($D1945="",$K1945=""),"",IF(COUNTIFS(Payments!$G$5:$G$2500,$K1945,Payments!$C$5:$C$2500,"&lt;&gt;")=0,"",_xlfn.MAXIFS(Payments!$C$5:$C$2500,Payments!$G$5:$G$2500,$K1945)))</f>
      </c>
      <c r="F1945" s="34">
        <f>IF(OR($D1945="",$K1945=""),"",SUMIF(Payments!$G$5:$G$2500,$K1945,Payments!$D$5:$D$2500))</f>
      </c>
      <c r="G1945" s="36">
        <f>IF($D1945="","",ROUND($D1945-IF($F1945="",0,$F1945),2))</f>
      </c>
      <c r="H1945" s="35">
        <f>IF(OR($D1945="",$K1945=""),"",COUNTIF(Payments!$G$5:$G$2500,$K1945))</f>
      </c>
      <c r="I1945" s="37">
        <f>IF($D1945="","",IF(OR($F1945="",$F1945=0),"Pending",IF(ROUND($F1945-$D1945,2)&gt;0,"Overpaid",IF(ROUND($F1945-$D1945,2)=0,"Paid","Partial"))))</f>
      </c>
      <c r="J1945" s="29"/>
      <c r="K1945">
        <f>IF($A1945="","","#"&amp;TRIM(SUBSTITUTE(SUBSTITUTE(SUBSTITUTE(SUBSTITUTE(SUBSTITUTE(SUBSTITUTE($A1945,"-",""),"(",""),")",""),".",""),"+","")," ","")))</f>
      </c>
    </row>
    <row r="1946" spans="1:11" x14ac:dyDescent="0.3">
      <c r="A1946" s="28"/>
      <c r="B1946" s="29"/>
      <c r="C1946" s="30"/>
      <c r="D1946" s="31"/>
      <c r="E1946" s="33">
        <f>IF(OR($D1946="",$K1946=""),"",IF(COUNTIFS(Payments!$G$5:$G$2500,$K1946,Payments!$C$5:$C$2500,"&lt;&gt;")=0,"",_xlfn.MAXIFS(Payments!$C$5:$C$2500,Payments!$G$5:$G$2500,$K1946)))</f>
      </c>
      <c r="F1946" s="34">
        <f>IF(OR($D1946="",$K1946=""),"",SUMIF(Payments!$G$5:$G$2500,$K1946,Payments!$D$5:$D$2500))</f>
      </c>
      <c r="G1946" s="36">
        <f>IF($D1946="","",ROUND($D1946-IF($F1946="",0,$F1946),2))</f>
      </c>
      <c r="H1946" s="35">
        <f>IF(OR($D1946="",$K1946=""),"",COUNTIF(Payments!$G$5:$G$2500,$K1946))</f>
      </c>
      <c r="I1946" s="37">
        <f>IF($D1946="","",IF(OR($F1946="",$F1946=0),"Pending",IF(ROUND($F1946-$D1946,2)&gt;0,"Overpaid",IF(ROUND($F1946-$D1946,2)=0,"Paid","Partial"))))</f>
      </c>
      <c r="J1946" s="29"/>
      <c r="K1946">
        <f>IF($A1946="","","#"&amp;TRIM(SUBSTITUTE(SUBSTITUTE(SUBSTITUTE(SUBSTITUTE(SUBSTITUTE(SUBSTITUTE($A1946,"-",""),"(",""),")",""),".",""),"+","")," ","")))</f>
      </c>
    </row>
    <row r="1947" spans="1:11" x14ac:dyDescent="0.3">
      <c r="A1947" s="28"/>
      <c r="B1947" s="29"/>
      <c r="C1947" s="30"/>
      <c r="D1947" s="31"/>
      <c r="E1947" s="33">
        <f>IF(OR($D1947="",$K1947=""),"",IF(COUNTIFS(Payments!$G$5:$G$2500,$K1947,Payments!$C$5:$C$2500,"&lt;&gt;")=0,"",_xlfn.MAXIFS(Payments!$C$5:$C$2500,Payments!$G$5:$G$2500,$K1947)))</f>
      </c>
      <c r="F1947" s="34">
        <f>IF(OR($D1947="",$K1947=""),"",SUMIF(Payments!$G$5:$G$2500,$K1947,Payments!$D$5:$D$2500))</f>
      </c>
      <c r="G1947" s="36">
        <f>IF($D1947="","",ROUND($D1947-IF($F1947="",0,$F1947),2))</f>
      </c>
      <c r="H1947" s="35">
        <f>IF(OR($D1947="",$K1947=""),"",COUNTIF(Payments!$G$5:$G$2500,$K1947))</f>
      </c>
      <c r="I1947" s="37">
        <f>IF($D1947="","",IF(OR($F1947="",$F1947=0),"Pending",IF(ROUND($F1947-$D1947,2)&gt;0,"Overpaid",IF(ROUND($F1947-$D1947,2)=0,"Paid","Partial"))))</f>
      </c>
      <c r="J1947" s="29"/>
      <c r="K1947">
        <f>IF($A1947="","","#"&amp;TRIM(SUBSTITUTE(SUBSTITUTE(SUBSTITUTE(SUBSTITUTE(SUBSTITUTE(SUBSTITUTE($A1947,"-",""),"(",""),")",""),".",""),"+","")," ","")))</f>
      </c>
    </row>
    <row r="1948" spans="1:11" x14ac:dyDescent="0.3">
      <c r="A1948" s="28"/>
      <c r="B1948" s="29"/>
      <c r="C1948" s="30"/>
      <c r="D1948" s="31"/>
      <c r="E1948" s="33">
        <f>IF(OR($D1948="",$K1948=""),"",IF(COUNTIFS(Payments!$G$5:$G$2500,$K1948,Payments!$C$5:$C$2500,"&lt;&gt;")=0,"",_xlfn.MAXIFS(Payments!$C$5:$C$2500,Payments!$G$5:$G$2500,$K1948)))</f>
      </c>
      <c r="F1948" s="34">
        <f>IF(OR($D1948="",$K1948=""),"",SUMIF(Payments!$G$5:$G$2500,$K1948,Payments!$D$5:$D$2500))</f>
      </c>
      <c r="G1948" s="36">
        <f>IF($D1948="","",ROUND($D1948-IF($F1948="",0,$F1948),2))</f>
      </c>
      <c r="H1948" s="35">
        <f>IF(OR($D1948="",$K1948=""),"",COUNTIF(Payments!$G$5:$G$2500,$K1948))</f>
      </c>
      <c r="I1948" s="37">
        <f>IF($D1948="","",IF(OR($F1948="",$F1948=0),"Pending",IF(ROUND($F1948-$D1948,2)&gt;0,"Overpaid",IF(ROUND($F1948-$D1948,2)=0,"Paid","Partial"))))</f>
      </c>
      <c r="J1948" s="29"/>
      <c r="K1948">
        <f>IF($A1948="","","#"&amp;TRIM(SUBSTITUTE(SUBSTITUTE(SUBSTITUTE(SUBSTITUTE(SUBSTITUTE(SUBSTITUTE($A1948,"-",""),"(",""),")",""),".",""),"+","")," ","")))</f>
      </c>
    </row>
    <row r="1949" spans="1:11" x14ac:dyDescent="0.3">
      <c r="A1949" s="28"/>
      <c r="B1949" s="29"/>
      <c r="C1949" s="30"/>
      <c r="D1949" s="31"/>
      <c r="E1949" s="33">
        <f>IF(OR($D1949="",$K1949=""),"",IF(COUNTIFS(Payments!$G$5:$G$2500,$K1949,Payments!$C$5:$C$2500,"&lt;&gt;")=0,"",_xlfn.MAXIFS(Payments!$C$5:$C$2500,Payments!$G$5:$G$2500,$K1949)))</f>
      </c>
      <c r="F1949" s="34">
        <f>IF(OR($D1949="",$K1949=""),"",SUMIF(Payments!$G$5:$G$2500,$K1949,Payments!$D$5:$D$2500))</f>
      </c>
      <c r="G1949" s="36">
        <f>IF($D1949="","",ROUND($D1949-IF($F1949="",0,$F1949),2))</f>
      </c>
      <c r="H1949" s="35">
        <f>IF(OR($D1949="",$K1949=""),"",COUNTIF(Payments!$G$5:$G$2500,$K1949))</f>
      </c>
      <c r="I1949" s="37">
        <f>IF($D1949="","",IF(OR($F1949="",$F1949=0),"Pending",IF(ROUND($F1949-$D1949,2)&gt;0,"Overpaid",IF(ROUND($F1949-$D1949,2)=0,"Paid","Partial"))))</f>
      </c>
      <c r="J1949" s="29"/>
      <c r="K1949">
        <f>IF($A1949="","","#"&amp;TRIM(SUBSTITUTE(SUBSTITUTE(SUBSTITUTE(SUBSTITUTE(SUBSTITUTE(SUBSTITUTE($A1949,"-",""),"(",""),")",""),".",""),"+","")," ","")))</f>
      </c>
    </row>
    <row r="1950" spans="1:11" x14ac:dyDescent="0.3">
      <c r="A1950" s="28"/>
      <c r="B1950" s="29"/>
      <c r="C1950" s="30"/>
      <c r="D1950" s="31"/>
      <c r="E1950" s="33">
        <f>IF(OR($D1950="",$K1950=""),"",IF(COUNTIFS(Payments!$G$5:$G$2500,$K1950,Payments!$C$5:$C$2500,"&lt;&gt;")=0,"",_xlfn.MAXIFS(Payments!$C$5:$C$2500,Payments!$G$5:$G$2500,$K1950)))</f>
      </c>
      <c r="F1950" s="34">
        <f>IF(OR($D1950="",$K1950=""),"",SUMIF(Payments!$G$5:$G$2500,$K1950,Payments!$D$5:$D$2500))</f>
      </c>
      <c r="G1950" s="36">
        <f>IF($D1950="","",ROUND($D1950-IF($F1950="",0,$F1950),2))</f>
      </c>
      <c r="H1950" s="35">
        <f>IF(OR($D1950="",$K1950=""),"",COUNTIF(Payments!$G$5:$G$2500,$K1950))</f>
      </c>
      <c r="I1950" s="37">
        <f>IF($D1950="","",IF(OR($F1950="",$F1950=0),"Pending",IF(ROUND($F1950-$D1950,2)&gt;0,"Overpaid",IF(ROUND($F1950-$D1950,2)=0,"Paid","Partial"))))</f>
      </c>
      <c r="J1950" s="29"/>
      <c r="K1950">
        <f>IF($A1950="","","#"&amp;TRIM(SUBSTITUTE(SUBSTITUTE(SUBSTITUTE(SUBSTITUTE(SUBSTITUTE(SUBSTITUTE($A1950,"-",""),"(",""),")",""),".",""),"+","")," ","")))</f>
      </c>
    </row>
    <row r="1951" spans="1:11" x14ac:dyDescent="0.3">
      <c r="A1951" s="28"/>
      <c r="B1951" s="29"/>
      <c r="C1951" s="30"/>
      <c r="D1951" s="31"/>
      <c r="E1951" s="33">
        <f>IF(OR($D1951="",$K1951=""),"",IF(COUNTIFS(Payments!$G$5:$G$2500,$K1951,Payments!$C$5:$C$2500,"&lt;&gt;")=0,"",_xlfn.MAXIFS(Payments!$C$5:$C$2500,Payments!$G$5:$G$2500,$K1951)))</f>
      </c>
      <c r="F1951" s="34">
        <f>IF(OR($D1951="",$K1951=""),"",SUMIF(Payments!$G$5:$G$2500,$K1951,Payments!$D$5:$D$2500))</f>
      </c>
      <c r="G1951" s="36">
        <f>IF($D1951="","",ROUND($D1951-IF($F1951="",0,$F1951),2))</f>
      </c>
      <c r="H1951" s="35">
        <f>IF(OR($D1951="",$K1951=""),"",COUNTIF(Payments!$G$5:$G$2500,$K1951))</f>
      </c>
      <c r="I1951" s="37">
        <f>IF($D1951="","",IF(OR($F1951="",$F1951=0),"Pending",IF(ROUND($F1951-$D1951,2)&gt;0,"Overpaid",IF(ROUND($F1951-$D1951,2)=0,"Paid","Partial"))))</f>
      </c>
      <c r="J1951" s="29"/>
      <c r="K1951">
        <f>IF($A1951="","","#"&amp;TRIM(SUBSTITUTE(SUBSTITUTE(SUBSTITUTE(SUBSTITUTE(SUBSTITUTE(SUBSTITUTE($A1951,"-",""),"(",""),")",""),".",""),"+","")," ","")))</f>
      </c>
    </row>
    <row r="1952" spans="1:11" x14ac:dyDescent="0.3">
      <c r="A1952" s="28"/>
      <c r="B1952" s="29"/>
      <c r="C1952" s="30"/>
      <c r="D1952" s="31"/>
      <c r="E1952" s="33">
        <f>IF(OR($D1952="",$K1952=""),"",IF(COUNTIFS(Payments!$G$5:$G$2500,$K1952,Payments!$C$5:$C$2500,"&lt;&gt;")=0,"",_xlfn.MAXIFS(Payments!$C$5:$C$2500,Payments!$G$5:$G$2500,$K1952)))</f>
      </c>
      <c r="F1952" s="34">
        <f>IF(OR($D1952="",$K1952=""),"",SUMIF(Payments!$G$5:$G$2500,$K1952,Payments!$D$5:$D$2500))</f>
      </c>
      <c r="G1952" s="36">
        <f>IF($D1952="","",ROUND($D1952-IF($F1952="",0,$F1952),2))</f>
      </c>
      <c r="H1952" s="35">
        <f>IF(OR($D1952="",$K1952=""),"",COUNTIF(Payments!$G$5:$G$2500,$K1952))</f>
      </c>
      <c r="I1952" s="37">
        <f>IF($D1952="","",IF(OR($F1952="",$F1952=0),"Pending",IF(ROUND($F1952-$D1952,2)&gt;0,"Overpaid",IF(ROUND($F1952-$D1952,2)=0,"Paid","Partial"))))</f>
      </c>
      <c r="J1952" s="29"/>
      <c r="K1952">
        <f>IF($A1952="","","#"&amp;TRIM(SUBSTITUTE(SUBSTITUTE(SUBSTITUTE(SUBSTITUTE(SUBSTITUTE(SUBSTITUTE($A1952,"-",""),"(",""),")",""),".",""),"+","")," ","")))</f>
      </c>
    </row>
    <row r="1953" spans="1:11" x14ac:dyDescent="0.3">
      <c r="A1953" s="28"/>
      <c r="B1953" s="29"/>
      <c r="C1953" s="30"/>
      <c r="D1953" s="31"/>
      <c r="E1953" s="33">
        <f>IF(OR($D1953="",$K1953=""),"",IF(COUNTIFS(Payments!$G$5:$G$2500,$K1953,Payments!$C$5:$C$2500,"&lt;&gt;")=0,"",_xlfn.MAXIFS(Payments!$C$5:$C$2500,Payments!$G$5:$G$2500,$K1953)))</f>
      </c>
      <c r="F1953" s="34">
        <f>IF(OR($D1953="",$K1953=""),"",SUMIF(Payments!$G$5:$G$2500,$K1953,Payments!$D$5:$D$2500))</f>
      </c>
      <c r="G1953" s="36">
        <f>IF($D1953="","",ROUND($D1953-IF($F1953="",0,$F1953),2))</f>
      </c>
      <c r="H1953" s="35">
        <f>IF(OR($D1953="",$K1953=""),"",COUNTIF(Payments!$G$5:$G$2500,$K1953))</f>
      </c>
      <c r="I1953" s="37">
        <f>IF($D1953="","",IF(OR($F1953="",$F1953=0),"Pending",IF(ROUND($F1953-$D1953,2)&gt;0,"Overpaid",IF(ROUND($F1953-$D1953,2)=0,"Paid","Partial"))))</f>
      </c>
      <c r="J1953" s="29"/>
      <c r="K1953">
        <f>IF($A1953="","","#"&amp;TRIM(SUBSTITUTE(SUBSTITUTE(SUBSTITUTE(SUBSTITUTE(SUBSTITUTE(SUBSTITUTE($A1953,"-",""),"(",""),")",""),".",""),"+","")," ","")))</f>
      </c>
    </row>
    <row r="1954" spans="1:11" x14ac:dyDescent="0.3">
      <c r="A1954" s="28"/>
      <c r="B1954" s="29"/>
      <c r="C1954" s="30"/>
      <c r="D1954" s="31"/>
      <c r="E1954" s="33">
        <f>IF(OR($D1954="",$K1954=""),"",IF(COUNTIFS(Payments!$G$5:$G$2500,$K1954,Payments!$C$5:$C$2500,"&lt;&gt;")=0,"",_xlfn.MAXIFS(Payments!$C$5:$C$2500,Payments!$G$5:$G$2500,$K1954)))</f>
      </c>
      <c r="F1954" s="34">
        <f>IF(OR($D1954="",$K1954=""),"",SUMIF(Payments!$G$5:$G$2500,$K1954,Payments!$D$5:$D$2500))</f>
      </c>
      <c r="G1954" s="36">
        <f>IF($D1954="","",ROUND($D1954-IF($F1954="",0,$F1954),2))</f>
      </c>
      <c r="H1954" s="35">
        <f>IF(OR($D1954="",$K1954=""),"",COUNTIF(Payments!$G$5:$G$2500,$K1954))</f>
      </c>
      <c r="I1954" s="37">
        <f>IF($D1954="","",IF(OR($F1954="",$F1954=0),"Pending",IF(ROUND($F1954-$D1954,2)&gt;0,"Overpaid",IF(ROUND($F1954-$D1954,2)=0,"Paid","Partial"))))</f>
      </c>
      <c r="J1954" s="29"/>
      <c r="K1954">
        <f>IF($A1954="","","#"&amp;TRIM(SUBSTITUTE(SUBSTITUTE(SUBSTITUTE(SUBSTITUTE(SUBSTITUTE(SUBSTITUTE($A1954,"-",""),"(",""),")",""),".",""),"+","")," ","")))</f>
      </c>
    </row>
    <row r="1955" spans="1:11" x14ac:dyDescent="0.3">
      <c r="A1955" s="28"/>
      <c r="B1955" s="29"/>
      <c r="C1955" s="30"/>
      <c r="D1955" s="31"/>
      <c r="E1955" s="33">
        <f>IF(OR($D1955="",$K1955=""),"",IF(COUNTIFS(Payments!$G$5:$G$2500,$K1955,Payments!$C$5:$C$2500,"&lt;&gt;")=0,"",_xlfn.MAXIFS(Payments!$C$5:$C$2500,Payments!$G$5:$G$2500,$K1955)))</f>
      </c>
      <c r="F1955" s="34">
        <f>IF(OR($D1955="",$K1955=""),"",SUMIF(Payments!$G$5:$G$2500,$K1955,Payments!$D$5:$D$2500))</f>
      </c>
      <c r="G1955" s="36">
        <f>IF($D1955="","",ROUND($D1955-IF($F1955="",0,$F1955),2))</f>
      </c>
      <c r="H1955" s="35">
        <f>IF(OR($D1955="",$K1955=""),"",COUNTIF(Payments!$G$5:$G$2500,$K1955))</f>
      </c>
      <c r="I1955" s="37">
        <f>IF($D1955="","",IF(OR($F1955="",$F1955=0),"Pending",IF(ROUND($F1955-$D1955,2)&gt;0,"Overpaid",IF(ROUND($F1955-$D1955,2)=0,"Paid","Partial"))))</f>
      </c>
      <c r="J1955" s="29"/>
      <c r="K1955">
        <f>IF($A1955="","","#"&amp;TRIM(SUBSTITUTE(SUBSTITUTE(SUBSTITUTE(SUBSTITUTE(SUBSTITUTE(SUBSTITUTE($A1955,"-",""),"(",""),")",""),".",""),"+","")," ","")))</f>
      </c>
    </row>
    <row r="1956" spans="1:11" x14ac:dyDescent="0.3">
      <c r="A1956" s="28"/>
      <c r="B1956" s="29"/>
      <c r="C1956" s="30"/>
      <c r="D1956" s="31"/>
      <c r="E1956" s="33">
        <f>IF(OR($D1956="",$K1956=""),"",IF(COUNTIFS(Payments!$G$5:$G$2500,$K1956,Payments!$C$5:$C$2500,"&lt;&gt;")=0,"",_xlfn.MAXIFS(Payments!$C$5:$C$2500,Payments!$G$5:$G$2500,$K1956)))</f>
      </c>
      <c r="F1956" s="34">
        <f>IF(OR($D1956="",$K1956=""),"",SUMIF(Payments!$G$5:$G$2500,$K1956,Payments!$D$5:$D$2500))</f>
      </c>
      <c r="G1956" s="36">
        <f>IF($D1956="","",ROUND($D1956-IF($F1956="",0,$F1956),2))</f>
      </c>
      <c r="H1956" s="35">
        <f>IF(OR($D1956="",$K1956=""),"",COUNTIF(Payments!$G$5:$G$2500,$K1956))</f>
      </c>
      <c r="I1956" s="37">
        <f>IF($D1956="","",IF(OR($F1956="",$F1956=0),"Pending",IF(ROUND($F1956-$D1956,2)&gt;0,"Overpaid",IF(ROUND($F1956-$D1956,2)=0,"Paid","Partial"))))</f>
      </c>
      <c r="J1956" s="29"/>
      <c r="K1956">
        <f>IF($A1956="","","#"&amp;TRIM(SUBSTITUTE(SUBSTITUTE(SUBSTITUTE(SUBSTITUTE(SUBSTITUTE(SUBSTITUTE($A1956,"-",""),"(",""),")",""),".",""),"+","")," ","")))</f>
      </c>
    </row>
    <row r="1957" spans="1:11" x14ac:dyDescent="0.3">
      <c r="A1957" s="28"/>
      <c r="B1957" s="29"/>
      <c r="C1957" s="30"/>
      <c r="D1957" s="31"/>
      <c r="E1957" s="33">
        <f>IF(OR($D1957="",$K1957=""),"",IF(COUNTIFS(Payments!$G$5:$G$2500,$K1957,Payments!$C$5:$C$2500,"&lt;&gt;")=0,"",_xlfn.MAXIFS(Payments!$C$5:$C$2500,Payments!$G$5:$G$2500,$K1957)))</f>
      </c>
      <c r="F1957" s="34">
        <f>IF(OR($D1957="",$K1957=""),"",SUMIF(Payments!$G$5:$G$2500,$K1957,Payments!$D$5:$D$2500))</f>
      </c>
      <c r="G1957" s="36">
        <f>IF($D1957="","",ROUND($D1957-IF($F1957="",0,$F1957),2))</f>
      </c>
      <c r="H1957" s="35">
        <f>IF(OR($D1957="",$K1957=""),"",COUNTIF(Payments!$G$5:$G$2500,$K1957))</f>
      </c>
      <c r="I1957" s="37">
        <f>IF($D1957="","",IF(OR($F1957="",$F1957=0),"Pending",IF(ROUND($F1957-$D1957,2)&gt;0,"Overpaid",IF(ROUND($F1957-$D1957,2)=0,"Paid","Partial"))))</f>
      </c>
      <c r="J1957" s="29"/>
      <c r="K1957">
        <f>IF($A1957="","","#"&amp;TRIM(SUBSTITUTE(SUBSTITUTE(SUBSTITUTE(SUBSTITUTE(SUBSTITUTE(SUBSTITUTE($A1957,"-",""),"(",""),")",""),".",""),"+","")," ","")))</f>
      </c>
    </row>
    <row r="1958" spans="1:11" x14ac:dyDescent="0.3">
      <c r="A1958" s="28"/>
      <c r="B1958" s="29"/>
      <c r="C1958" s="30"/>
      <c r="D1958" s="31"/>
      <c r="E1958" s="33">
        <f>IF(OR($D1958="",$K1958=""),"",IF(COUNTIFS(Payments!$G$5:$G$2500,$K1958,Payments!$C$5:$C$2500,"&lt;&gt;")=0,"",_xlfn.MAXIFS(Payments!$C$5:$C$2500,Payments!$G$5:$G$2500,$K1958)))</f>
      </c>
      <c r="F1958" s="34">
        <f>IF(OR($D1958="",$K1958=""),"",SUMIF(Payments!$G$5:$G$2500,$K1958,Payments!$D$5:$D$2500))</f>
      </c>
      <c r="G1958" s="36">
        <f>IF($D1958="","",ROUND($D1958-IF($F1958="",0,$F1958),2))</f>
      </c>
      <c r="H1958" s="35">
        <f>IF(OR($D1958="",$K1958=""),"",COUNTIF(Payments!$G$5:$G$2500,$K1958))</f>
      </c>
      <c r="I1958" s="37">
        <f>IF($D1958="","",IF(OR($F1958="",$F1958=0),"Pending",IF(ROUND($F1958-$D1958,2)&gt;0,"Overpaid",IF(ROUND($F1958-$D1958,2)=0,"Paid","Partial"))))</f>
      </c>
      <c r="J1958" s="29"/>
      <c r="K1958">
        <f>IF($A1958="","","#"&amp;TRIM(SUBSTITUTE(SUBSTITUTE(SUBSTITUTE(SUBSTITUTE(SUBSTITUTE(SUBSTITUTE($A1958,"-",""),"(",""),")",""),".",""),"+","")," ","")))</f>
      </c>
    </row>
    <row r="1959" spans="1:11" x14ac:dyDescent="0.3">
      <c r="A1959" s="28"/>
      <c r="B1959" s="29"/>
      <c r="C1959" s="30"/>
      <c r="D1959" s="31"/>
      <c r="E1959" s="33">
        <f>IF(OR($D1959="",$K1959=""),"",IF(COUNTIFS(Payments!$G$5:$G$2500,$K1959,Payments!$C$5:$C$2500,"&lt;&gt;")=0,"",_xlfn.MAXIFS(Payments!$C$5:$C$2500,Payments!$G$5:$G$2500,$K1959)))</f>
      </c>
      <c r="F1959" s="34">
        <f>IF(OR($D1959="",$K1959=""),"",SUMIF(Payments!$G$5:$G$2500,$K1959,Payments!$D$5:$D$2500))</f>
      </c>
      <c r="G1959" s="36">
        <f>IF($D1959="","",ROUND($D1959-IF($F1959="",0,$F1959),2))</f>
      </c>
      <c r="H1959" s="35">
        <f>IF(OR($D1959="",$K1959=""),"",COUNTIF(Payments!$G$5:$G$2500,$K1959))</f>
      </c>
      <c r="I1959" s="37">
        <f>IF($D1959="","",IF(OR($F1959="",$F1959=0),"Pending",IF(ROUND($F1959-$D1959,2)&gt;0,"Overpaid",IF(ROUND($F1959-$D1959,2)=0,"Paid","Partial"))))</f>
      </c>
      <c r="J1959" s="29"/>
      <c r="K1959">
        <f>IF($A1959="","","#"&amp;TRIM(SUBSTITUTE(SUBSTITUTE(SUBSTITUTE(SUBSTITUTE(SUBSTITUTE(SUBSTITUTE($A1959,"-",""),"(",""),")",""),".",""),"+","")," ","")))</f>
      </c>
    </row>
    <row r="1960" spans="1:11" x14ac:dyDescent="0.3">
      <c r="A1960" s="28"/>
      <c r="B1960" s="29"/>
      <c r="C1960" s="30"/>
      <c r="D1960" s="31"/>
      <c r="E1960" s="33">
        <f>IF(OR($D1960="",$K1960=""),"",IF(COUNTIFS(Payments!$G$5:$G$2500,$K1960,Payments!$C$5:$C$2500,"&lt;&gt;")=0,"",_xlfn.MAXIFS(Payments!$C$5:$C$2500,Payments!$G$5:$G$2500,$K1960)))</f>
      </c>
      <c r="F1960" s="34">
        <f>IF(OR($D1960="",$K1960=""),"",SUMIF(Payments!$G$5:$G$2500,$K1960,Payments!$D$5:$D$2500))</f>
      </c>
      <c r="G1960" s="36">
        <f>IF($D1960="","",ROUND($D1960-IF($F1960="",0,$F1960),2))</f>
      </c>
      <c r="H1960" s="35">
        <f>IF(OR($D1960="",$K1960=""),"",COUNTIF(Payments!$G$5:$G$2500,$K1960))</f>
      </c>
      <c r="I1960" s="37">
        <f>IF($D1960="","",IF(OR($F1960="",$F1960=0),"Pending",IF(ROUND($F1960-$D1960,2)&gt;0,"Overpaid",IF(ROUND($F1960-$D1960,2)=0,"Paid","Partial"))))</f>
      </c>
      <c r="J1960" s="29"/>
      <c r="K1960">
        <f>IF($A1960="","","#"&amp;TRIM(SUBSTITUTE(SUBSTITUTE(SUBSTITUTE(SUBSTITUTE(SUBSTITUTE(SUBSTITUTE($A1960,"-",""),"(",""),")",""),".",""),"+","")," ","")))</f>
      </c>
    </row>
    <row r="1961" spans="1:11" x14ac:dyDescent="0.3">
      <c r="A1961" s="28"/>
      <c r="B1961" s="29"/>
      <c r="C1961" s="30"/>
      <c r="D1961" s="31"/>
      <c r="E1961" s="33">
        <f>IF(OR($D1961="",$K1961=""),"",IF(COUNTIFS(Payments!$G$5:$G$2500,$K1961,Payments!$C$5:$C$2500,"&lt;&gt;")=0,"",_xlfn.MAXIFS(Payments!$C$5:$C$2500,Payments!$G$5:$G$2500,$K1961)))</f>
      </c>
      <c r="F1961" s="34">
        <f>IF(OR($D1961="",$K1961=""),"",SUMIF(Payments!$G$5:$G$2500,$K1961,Payments!$D$5:$D$2500))</f>
      </c>
      <c r="G1961" s="36">
        <f>IF($D1961="","",ROUND($D1961-IF($F1961="",0,$F1961),2))</f>
      </c>
      <c r="H1961" s="35">
        <f>IF(OR($D1961="",$K1961=""),"",COUNTIF(Payments!$G$5:$G$2500,$K1961))</f>
      </c>
      <c r="I1961" s="37">
        <f>IF($D1961="","",IF(OR($F1961="",$F1961=0),"Pending",IF(ROUND($F1961-$D1961,2)&gt;0,"Overpaid",IF(ROUND($F1961-$D1961,2)=0,"Paid","Partial"))))</f>
      </c>
      <c r="J1961" s="29"/>
      <c r="K1961">
        <f>IF($A1961="","","#"&amp;TRIM(SUBSTITUTE(SUBSTITUTE(SUBSTITUTE(SUBSTITUTE(SUBSTITUTE(SUBSTITUTE($A1961,"-",""),"(",""),")",""),".",""),"+","")," ","")))</f>
      </c>
    </row>
    <row r="1962" spans="1:11" x14ac:dyDescent="0.3">
      <c r="A1962" s="28"/>
      <c r="B1962" s="29"/>
      <c r="C1962" s="30"/>
      <c r="D1962" s="31"/>
      <c r="E1962" s="33">
        <f>IF(OR($D1962="",$K1962=""),"",IF(COUNTIFS(Payments!$G$5:$G$2500,$K1962,Payments!$C$5:$C$2500,"&lt;&gt;")=0,"",_xlfn.MAXIFS(Payments!$C$5:$C$2500,Payments!$G$5:$G$2500,$K1962)))</f>
      </c>
      <c r="F1962" s="34">
        <f>IF(OR($D1962="",$K1962=""),"",SUMIF(Payments!$G$5:$G$2500,$K1962,Payments!$D$5:$D$2500))</f>
      </c>
      <c r="G1962" s="36">
        <f>IF($D1962="","",ROUND($D1962-IF($F1962="",0,$F1962),2))</f>
      </c>
      <c r="H1962" s="35">
        <f>IF(OR($D1962="",$K1962=""),"",COUNTIF(Payments!$G$5:$G$2500,$K1962))</f>
      </c>
      <c r="I1962" s="37">
        <f>IF($D1962="","",IF(OR($F1962="",$F1962=0),"Pending",IF(ROUND($F1962-$D1962,2)&gt;0,"Overpaid",IF(ROUND($F1962-$D1962,2)=0,"Paid","Partial"))))</f>
      </c>
      <c r="J1962" s="29"/>
      <c r="K1962">
        <f>IF($A1962="","","#"&amp;TRIM(SUBSTITUTE(SUBSTITUTE(SUBSTITUTE(SUBSTITUTE(SUBSTITUTE(SUBSTITUTE($A1962,"-",""),"(",""),")",""),".",""),"+","")," ","")))</f>
      </c>
    </row>
    <row r="1963" spans="1:11" x14ac:dyDescent="0.3">
      <c r="A1963" s="28"/>
      <c r="B1963" s="29"/>
      <c r="C1963" s="30"/>
      <c r="D1963" s="31"/>
      <c r="E1963" s="33">
        <f>IF(OR($D1963="",$K1963=""),"",IF(COUNTIFS(Payments!$G$5:$G$2500,$K1963,Payments!$C$5:$C$2500,"&lt;&gt;")=0,"",_xlfn.MAXIFS(Payments!$C$5:$C$2500,Payments!$G$5:$G$2500,$K1963)))</f>
      </c>
      <c r="F1963" s="34">
        <f>IF(OR($D1963="",$K1963=""),"",SUMIF(Payments!$G$5:$G$2500,$K1963,Payments!$D$5:$D$2500))</f>
      </c>
      <c r="G1963" s="36">
        <f>IF($D1963="","",ROUND($D1963-IF($F1963="",0,$F1963),2))</f>
      </c>
      <c r="H1963" s="35">
        <f>IF(OR($D1963="",$K1963=""),"",COUNTIF(Payments!$G$5:$G$2500,$K1963))</f>
      </c>
      <c r="I1963" s="37">
        <f>IF($D1963="","",IF(OR($F1963="",$F1963=0),"Pending",IF(ROUND($F1963-$D1963,2)&gt;0,"Overpaid",IF(ROUND($F1963-$D1963,2)=0,"Paid","Partial"))))</f>
      </c>
      <c r="J1963" s="29"/>
      <c r="K1963">
        <f>IF($A1963="","","#"&amp;TRIM(SUBSTITUTE(SUBSTITUTE(SUBSTITUTE(SUBSTITUTE(SUBSTITUTE(SUBSTITUTE($A1963,"-",""),"(",""),")",""),".",""),"+","")," ","")))</f>
      </c>
    </row>
    <row r="1964" spans="1:11" x14ac:dyDescent="0.3">
      <c r="A1964" s="28"/>
      <c r="B1964" s="29"/>
      <c r="C1964" s="30"/>
      <c r="D1964" s="31"/>
      <c r="E1964" s="33">
        <f>IF(OR($D1964="",$K1964=""),"",IF(COUNTIFS(Payments!$G$5:$G$2500,$K1964,Payments!$C$5:$C$2500,"&lt;&gt;")=0,"",_xlfn.MAXIFS(Payments!$C$5:$C$2500,Payments!$G$5:$G$2500,$K1964)))</f>
      </c>
      <c r="F1964" s="34">
        <f>IF(OR($D1964="",$K1964=""),"",SUMIF(Payments!$G$5:$G$2500,$K1964,Payments!$D$5:$D$2500))</f>
      </c>
      <c r="G1964" s="36">
        <f>IF($D1964="","",ROUND($D1964-IF($F1964="",0,$F1964),2))</f>
      </c>
      <c r="H1964" s="35">
        <f>IF(OR($D1964="",$K1964=""),"",COUNTIF(Payments!$G$5:$G$2500,$K1964))</f>
      </c>
      <c r="I1964" s="37">
        <f>IF($D1964="","",IF(OR($F1964="",$F1964=0),"Pending",IF(ROUND($F1964-$D1964,2)&gt;0,"Overpaid",IF(ROUND($F1964-$D1964,2)=0,"Paid","Partial"))))</f>
      </c>
      <c r="J1964" s="29"/>
      <c r="K1964">
        <f>IF($A1964="","","#"&amp;TRIM(SUBSTITUTE(SUBSTITUTE(SUBSTITUTE(SUBSTITUTE(SUBSTITUTE(SUBSTITUTE($A1964,"-",""),"(",""),")",""),".",""),"+","")," ","")))</f>
      </c>
    </row>
    <row r="1965" spans="1:11" x14ac:dyDescent="0.3">
      <c r="A1965" s="28"/>
      <c r="B1965" s="29"/>
      <c r="C1965" s="30"/>
      <c r="D1965" s="31"/>
      <c r="E1965" s="33">
        <f>IF(OR($D1965="",$K1965=""),"",IF(COUNTIFS(Payments!$G$5:$G$2500,$K1965,Payments!$C$5:$C$2500,"&lt;&gt;")=0,"",_xlfn.MAXIFS(Payments!$C$5:$C$2500,Payments!$G$5:$G$2500,$K1965)))</f>
      </c>
      <c r="F1965" s="34">
        <f>IF(OR($D1965="",$K1965=""),"",SUMIF(Payments!$G$5:$G$2500,$K1965,Payments!$D$5:$D$2500))</f>
      </c>
      <c r="G1965" s="36">
        <f>IF($D1965="","",ROUND($D1965-IF($F1965="",0,$F1965),2))</f>
      </c>
      <c r="H1965" s="35">
        <f>IF(OR($D1965="",$K1965=""),"",COUNTIF(Payments!$G$5:$G$2500,$K1965))</f>
      </c>
      <c r="I1965" s="37">
        <f>IF($D1965="","",IF(OR($F1965="",$F1965=0),"Pending",IF(ROUND($F1965-$D1965,2)&gt;0,"Overpaid",IF(ROUND($F1965-$D1965,2)=0,"Paid","Partial"))))</f>
      </c>
      <c r="J1965" s="29"/>
      <c r="K1965">
        <f>IF($A1965="","","#"&amp;TRIM(SUBSTITUTE(SUBSTITUTE(SUBSTITUTE(SUBSTITUTE(SUBSTITUTE(SUBSTITUTE($A1965,"-",""),"(",""),")",""),".",""),"+","")," ","")))</f>
      </c>
    </row>
    <row r="1966" spans="1:11" x14ac:dyDescent="0.3">
      <c r="A1966" s="28"/>
      <c r="B1966" s="29"/>
      <c r="C1966" s="30"/>
      <c r="D1966" s="31"/>
      <c r="E1966" s="33">
        <f>IF(OR($D1966="",$K1966=""),"",IF(COUNTIFS(Payments!$G$5:$G$2500,$K1966,Payments!$C$5:$C$2500,"&lt;&gt;")=0,"",_xlfn.MAXIFS(Payments!$C$5:$C$2500,Payments!$G$5:$G$2500,$K1966)))</f>
      </c>
      <c r="F1966" s="34">
        <f>IF(OR($D1966="",$K1966=""),"",SUMIF(Payments!$G$5:$G$2500,$K1966,Payments!$D$5:$D$2500))</f>
      </c>
      <c r="G1966" s="36">
        <f>IF($D1966="","",ROUND($D1966-IF($F1966="",0,$F1966),2))</f>
      </c>
      <c r="H1966" s="35">
        <f>IF(OR($D1966="",$K1966=""),"",COUNTIF(Payments!$G$5:$G$2500,$K1966))</f>
      </c>
      <c r="I1966" s="37">
        <f>IF($D1966="","",IF(OR($F1966="",$F1966=0),"Pending",IF(ROUND($F1966-$D1966,2)&gt;0,"Overpaid",IF(ROUND($F1966-$D1966,2)=0,"Paid","Partial"))))</f>
      </c>
      <c r="J1966" s="29"/>
      <c r="K1966">
        <f>IF($A1966="","","#"&amp;TRIM(SUBSTITUTE(SUBSTITUTE(SUBSTITUTE(SUBSTITUTE(SUBSTITUTE(SUBSTITUTE($A1966,"-",""),"(",""),")",""),".",""),"+","")," ","")))</f>
      </c>
    </row>
    <row r="1967" spans="1:11" x14ac:dyDescent="0.3">
      <c r="A1967" s="28"/>
      <c r="B1967" s="29"/>
      <c r="C1967" s="30"/>
      <c r="D1967" s="31"/>
      <c r="E1967" s="33">
        <f>IF(OR($D1967="",$K1967=""),"",IF(COUNTIFS(Payments!$G$5:$G$2500,$K1967,Payments!$C$5:$C$2500,"&lt;&gt;")=0,"",_xlfn.MAXIFS(Payments!$C$5:$C$2500,Payments!$G$5:$G$2500,$K1967)))</f>
      </c>
      <c r="F1967" s="34">
        <f>IF(OR($D1967="",$K1967=""),"",SUMIF(Payments!$G$5:$G$2500,$K1967,Payments!$D$5:$D$2500))</f>
      </c>
      <c r="G1967" s="36">
        <f>IF($D1967="","",ROUND($D1967-IF($F1967="",0,$F1967),2))</f>
      </c>
      <c r="H1967" s="35">
        <f>IF(OR($D1967="",$K1967=""),"",COUNTIF(Payments!$G$5:$G$2500,$K1967))</f>
      </c>
      <c r="I1967" s="37">
        <f>IF($D1967="","",IF(OR($F1967="",$F1967=0),"Pending",IF(ROUND($F1967-$D1967,2)&gt;0,"Overpaid",IF(ROUND($F1967-$D1967,2)=0,"Paid","Partial"))))</f>
      </c>
      <c r="J1967" s="29"/>
      <c r="K1967">
        <f>IF($A1967="","","#"&amp;TRIM(SUBSTITUTE(SUBSTITUTE(SUBSTITUTE(SUBSTITUTE(SUBSTITUTE(SUBSTITUTE($A1967,"-",""),"(",""),")",""),".",""),"+","")," ","")))</f>
      </c>
    </row>
    <row r="1968" spans="1:11" x14ac:dyDescent="0.3">
      <c r="A1968" s="28"/>
      <c r="B1968" s="29"/>
      <c r="C1968" s="30"/>
      <c r="D1968" s="31"/>
      <c r="E1968" s="33">
        <f>IF(OR($D1968="",$K1968=""),"",IF(COUNTIFS(Payments!$G$5:$G$2500,$K1968,Payments!$C$5:$C$2500,"&lt;&gt;")=0,"",_xlfn.MAXIFS(Payments!$C$5:$C$2500,Payments!$G$5:$G$2500,$K1968)))</f>
      </c>
      <c r="F1968" s="34">
        <f>IF(OR($D1968="",$K1968=""),"",SUMIF(Payments!$G$5:$G$2500,$K1968,Payments!$D$5:$D$2500))</f>
      </c>
      <c r="G1968" s="36">
        <f>IF($D1968="","",ROUND($D1968-IF($F1968="",0,$F1968),2))</f>
      </c>
      <c r="H1968" s="35">
        <f>IF(OR($D1968="",$K1968=""),"",COUNTIF(Payments!$G$5:$G$2500,$K1968))</f>
      </c>
      <c r="I1968" s="37">
        <f>IF($D1968="","",IF(OR($F1968="",$F1968=0),"Pending",IF(ROUND($F1968-$D1968,2)&gt;0,"Overpaid",IF(ROUND($F1968-$D1968,2)=0,"Paid","Partial"))))</f>
      </c>
      <c r="J1968" s="29"/>
      <c r="K1968">
        <f>IF($A1968="","","#"&amp;TRIM(SUBSTITUTE(SUBSTITUTE(SUBSTITUTE(SUBSTITUTE(SUBSTITUTE(SUBSTITUTE($A1968,"-",""),"(",""),")",""),".",""),"+","")," ","")))</f>
      </c>
    </row>
    <row r="1969" spans="1:11" x14ac:dyDescent="0.3">
      <c r="A1969" s="28"/>
      <c r="B1969" s="29"/>
      <c r="C1969" s="30"/>
      <c r="D1969" s="31"/>
      <c r="E1969" s="33">
        <f>IF(OR($D1969="",$K1969=""),"",IF(COUNTIFS(Payments!$G$5:$G$2500,$K1969,Payments!$C$5:$C$2500,"&lt;&gt;")=0,"",_xlfn.MAXIFS(Payments!$C$5:$C$2500,Payments!$G$5:$G$2500,$K1969)))</f>
      </c>
      <c r="F1969" s="34">
        <f>IF(OR($D1969="",$K1969=""),"",SUMIF(Payments!$G$5:$G$2500,$K1969,Payments!$D$5:$D$2500))</f>
      </c>
      <c r="G1969" s="36">
        <f>IF($D1969="","",ROUND($D1969-IF($F1969="",0,$F1969),2))</f>
      </c>
      <c r="H1969" s="35">
        <f>IF(OR($D1969="",$K1969=""),"",COUNTIF(Payments!$G$5:$G$2500,$K1969))</f>
      </c>
      <c r="I1969" s="37">
        <f>IF($D1969="","",IF(OR($F1969="",$F1969=0),"Pending",IF(ROUND($F1969-$D1969,2)&gt;0,"Overpaid",IF(ROUND($F1969-$D1969,2)=0,"Paid","Partial"))))</f>
      </c>
      <c r="J1969" s="29"/>
      <c r="K1969">
        <f>IF($A1969="","","#"&amp;TRIM(SUBSTITUTE(SUBSTITUTE(SUBSTITUTE(SUBSTITUTE(SUBSTITUTE(SUBSTITUTE($A1969,"-",""),"(",""),")",""),".",""),"+","")," ","")))</f>
      </c>
    </row>
    <row r="1970" spans="1:11" x14ac:dyDescent="0.3">
      <c r="A1970" s="28"/>
      <c r="B1970" s="29"/>
      <c r="C1970" s="30"/>
      <c r="D1970" s="31"/>
      <c r="E1970" s="33">
        <f>IF(OR($D1970="",$K1970=""),"",IF(COUNTIFS(Payments!$G$5:$G$2500,$K1970,Payments!$C$5:$C$2500,"&lt;&gt;")=0,"",_xlfn.MAXIFS(Payments!$C$5:$C$2500,Payments!$G$5:$G$2500,$K1970)))</f>
      </c>
      <c r="F1970" s="34">
        <f>IF(OR($D1970="",$K1970=""),"",SUMIF(Payments!$G$5:$G$2500,$K1970,Payments!$D$5:$D$2500))</f>
      </c>
      <c r="G1970" s="36">
        <f>IF($D1970="","",ROUND($D1970-IF($F1970="",0,$F1970),2))</f>
      </c>
      <c r="H1970" s="35">
        <f>IF(OR($D1970="",$K1970=""),"",COUNTIF(Payments!$G$5:$G$2500,$K1970))</f>
      </c>
      <c r="I1970" s="37">
        <f>IF($D1970="","",IF(OR($F1970="",$F1970=0),"Pending",IF(ROUND($F1970-$D1970,2)&gt;0,"Overpaid",IF(ROUND($F1970-$D1970,2)=0,"Paid","Partial"))))</f>
      </c>
      <c r="J1970" s="29"/>
      <c r="K1970">
        <f>IF($A1970="","","#"&amp;TRIM(SUBSTITUTE(SUBSTITUTE(SUBSTITUTE(SUBSTITUTE(SUBSTITUTE(SUBSTITUTE($A1970,"-",""),"(",""),")",""),".",""),"+","")," ","")))</f>
      </c>
    </row>
    <row r="1971" spans="1:11" x14ac:dyDescent="0.3">
      <c r="A1971" s="28"/>
      <c r="B1971" s="29"/>
      <c r="C1971" s="30"/>
      <c r="D1971" s="31"/>
      <c r="E1971" s="33">
        <f>IF(OR($D1971="",$K1971=""),"",IF(COUNTIFS(Payments!$G$5:$G$2500,$K1971,Payments!$C$5:$C$2500,"&lt;&gt;")=0,"",_xlfn.MAXIFS(Payments!$C$5:$C$2500,Payments!$G$5:$G$2500,$K1971)))</f>
      </c>
      <c r="F1971" s="34">
        <f>IF(OR($D1971="",$K1971=""),"",SUMIF(Payments!$G$5:$G$2500,$K1971,Payments!$D$5:$D$2500))</f>
      </c>
      <c r="G1971" s="36">
        <f>IF($D1971="","",ROUND($D1971-IF($F1971="",0,$F1971),2))</f>
      </c>
      <c r="H1971" s="35">
        <f>IF(OR($D1971="",$K1971=""),"",COUNTIF(Payments!$G$5:$G$2500,$K1971))</f>
      </c>
      <c r="I1971" s="37">
        <f>IF($D1971="","",IF(OR($F1971="",$F1971=0),"Pending",IF(ROUND($F1971-$D1971,2)&gt;0,"Overpaid",IF(ROUND($F1971-$D1971,2)=0,"Paid","Partial"))))</f>
      </c>
      <c r="J1971" s="29"/>
      <c r="K1971">
        <f>IF($A1971="","","#"&amp;TRIM(SUBSTITUTE(SUBSTITUTE(SUBSTITUTE(SUBSTITUTE(SUBSTITUTE(SUBSTITUTE($A1971,"-",""),"(",""),")",""),".",""),"+","")," ","")))</f>
      </c>
    </row>
    <row r="1972" spans="1:11" x14ac:dyDescent="0.3">
      <c r="A1972" s="28"/>
      <c r="B1972" s="29"/>
      <c r="C1972" s="30"/>
      <c r="D1972" s="31"/>
      <c r="E1972" s="33">
        <f>IF(OR($D1972="",$K1972=""),"",IF(COUNTIFS(Payments!$G$5:$G$2500,$K1972,Payments!$C$5:$C$2500,"&lt;&gt;")=0,"",_xlfn.MAXIFS(Payments!$C$5:$C$2500,Payments!$G$5:$G$2500,$K1972)))</f>
      </c>
      <c r="F1972" s="34">
        <f>IF(OR($D1972="",$K1972=""),"",SUMIF(Payments!$G$5:$G$2500,$K1972,Payments!$D$5:$D$2500))</f>
      </c>
      <c r="G1972" s="36">
        <f>IF($D1972="","",ROUND($D1972-IF($F1972="",0,$F1972),2))</f>
      </c>
      <c r="H1972" s="35">
        <f>IF(OR($D1972="",$K1972=""),"",COUNTIF(Payments!$G$5:$G$2500,$K1972))</f>
      </c>
      <c r="I1972" s="37">
        <f>IF($D1972="","",IF(OR($F1972="",$F1972=0),"Pending",IF(ROUND($F1972-$D1972,2)&gt;0,"Overpaid",IF(ROUND($F1972-$D1972,2)=0,"Paid","Partial"))))</f>
      </c>
      <c r="J1972" s="29"/>
      <c r="K1972">
        <f>IF($A1972="","","#"&amp;TRIM(SUBSTITUTE(SUBSTITUTE(SUBSTITUTE(SUBSTITUTE(SUBSTITUTE(SUBSTITUTE($A1972,"-",""),"(",""),")",""),".",""),"+","")," ","")))</f>
      </c>
    </row>
    <row r="1973" spans="1:11" x14ac:dyDescent="0.3">
      <c r="A1973" s="28"/>
      <c r="B1973" s="29"/>
      <c r="C1973" s="30"/>
      <c r="D1973" s="31"/>
      <c r="E1973" s="33">
        <f>IF(OR($D1973="",$K1973=""),"",IF(COUNTIFS(Payments!$G$5:$G$2500,$K1973,Payments!$C$5:$C$2500,"&lt;&gt;")=0,"",_xlfn.MAXIFS(Payments!$C$5:$C$2500,Payments!$G$5:$G$2500,$K1973)))</f>
      </c>
      <c r="F1973" s="34">
        <f>IF(OR($D1973="",$K1973=""),"",SUMIF(Payments!$G$5:$G$2500,$K1973,Payments!$D$5:$D$2500))</f>
      </c>
      <c r="G1973" s="36">
        <f>IF($D1973="","",ROUND($D1973-IF($F1973="",0,$F1973),2))</f>
      </c>
      <c r="H1973" s="35">
        <f>IF(OR($D1973="",$K1973=""),"",COUNTIF(Payments!$G$5:$G$2500,$K1973))</f>
      </c>
      <c r="I1973" s="37">
        <f>IF($D1973="","",IF(OR($F1973="",$F1973=0),"Pending",IF(ROUND($F1973-$D1973,2)&gt;0,"Overpaid",IF(ROUND($F1973-$D1973,2)=0,"Paid","Partial"))))</f>
      </c>
      <c r="J1973" s="29"/>
      <c r="K1973">
        <f>IF($A1973="","","#"&amp;TRIM(SUBSTITUTE(SUBSTITUTE(SUBSTITUTE(SUBSTITUTE(SUBSTITUTE(SUBSTITUTE($A1973,"-",""),"(",""),")",""),".",""),"+","")," ","")))</f>
      </c>
    </row>
    <row r="1974" spans="1:11" x14ac:dyDescent="0.3">
      <c r="A1974" s="28"/>
      <c r="B1974" s="29"/>
      <c r="C1974" s="30"/>
      <c r="D1974" s="31"/>
      <c r="E1974" s="33">
        <f>IF(OR($D1974="",$K1974=""),"",IF(COUNTIFS(Payments!$G$5:$G$2500,$K1974,Payments!$C$5:$C$2500,"&lt;&gt;")=0,"",_xlfn.MAXIFS(Payments!$C$5:$C$2500,Payments!$G$5:$G$2500,$K1974)))</f>
      </c>
      <c r="F1974" s="34">
        <f>IF(OR($D1974="",$K1974=""),"",SUMIF(Payments!$G$5:$G$2500,$K1974,Payments!$D$5:$D$2500))</f>
      </c>
      <c r="G1974" s="36">
        <f>IF($D1974="","",ROUND($D1974-IF($F1974="",0,$F1974),2))</f>
      </c>
      <c r="H1974" s="35">
        <f>IF(OR($D1974="",$K1974=""),"",COUNTIF(Payments!$G$5:$G$2500,$K1974))</f>
      </c>
      <c r="I1974" s="37">
        <f>IF($D1974="","",IF(OR($F1974="",$F1974=0),"Pending",IF(ROUND($F1974-$D1974,2)&gt;0,"Overpaid",IF(ROUND($F1974-$D1974,2)=0,"Paid","Partial"))))</f>
      </c>
      <c r="J1974" s="29"/>
      <c r="K1974">
        <f>IF($A1974="","","#"&amp;TRIM(SUBSTITUTE(SUBSTITUTE(SUBSTITUTE(SUBSTITUTE(SUBSTITUTE(SUBSTITUTE($A1974,"-",""),"(",""),")",""),".",""),"+","")," ","")))</f>
      </c>
    </row>
    <row r="1975" spans="1:11" x14ac:dyDescent="0.3">
      <c r="A1975" s="28"/>
      <c r="B1975" s="29"/>
      <c r="C1975" s="30"/>
      <c r="D1975" s="31"/>
      <c r="E1975" s="33">
        <f>IF(OR($D1975="",$K1975=""),"",IF(COUNTIFS(Payments!$G$5:$G$2500,$K1975,Payments!$C$5:$C$2500,"&lt;&gt;")=0,"",_xlfn.MAXIFS(Payments!$C$5:$C$2500,Payments!$G$5:$G$2500,$K1975)))</f>
      </c>
      <c r="F1975" s="34">
        <f>IF(OR($D1975="",$K1975=""),"",SUMIF(Payments!$G$5:$G$2500,$K1975,Payments!$D$5:$D$2500))</f>
      </c>
      <c r="G1975" s="36">
        <f>IF($D1975="","",ROUND($D1975-IF($F1975="",0,$F1975),2))</f>
      </c>
      <c r="H1975" s="35">
        <f>IF(OR($D1975="",$K1975=""),"",COUNTIF(Payments!$G$5:$G$2500,$K1975))</f>
      </c>
      <c r="I1975" s="37">
        <f>IF($D1975="","",IF(OR($F1975="",$F1975=0),"Pending",IF(ROUND($F1975-$D1975,2)&gt;0,"Overpaid",IF(ROUND($F1975-$D1975,2)=0,"Paid","Partial"))))</f>
      </c>
      <c r="J1975" s="29"/>
      <c r="K1975">
        <f>IF($A1975="","","#"&amp;TRIM(SUBSTITUTE(SUBSTITUTE(SUBSTITUTE(SUBSTITUTE(SUBSTITUTE(SUBSTITUTE($A1975,"-",""),"(",""),")",""),".",""),"+","")," ","")))</f>
      </c>
    </row>
    <row r="1976" spans="1:11" x14ac:dyDescent="0.3">
      <c r="A1976" s="28"/>
      <c r="B1976" s="29"/>
      <c r="C1976" s="30"/>
      <c r="D1976" s="31"/>
      <c r="E1976" s="33">
        <f>IF(OR($D1976="",$K1976=""),"",IF(COUNTIFS(Payments!$G$5:$G$2500,$K1976,Payments!$C$5:$C$2500,"&lt;&gt;")=0,"",_xlfn.MAXIFS(Payments!$C$5:$C$2500,Payments!$G$5:$G$2500,$K1976)))</f>
      </c>
      <c r="F1976" s="34">
        <f>IF(OR($D1976="",$K1976=""),"",SUMIF(Payments!$G$5:$G$2500,$K1976,Payments!$D$5:$D$2500))</f>
      </c>
      <c r="G1976" s="36">
        <f>IF($D1976="","",ROUND($D1976-IF($F1976="",0,$F1976),2))</f>
      </c>
      <c r="H1976" s="35">
        <f>IF(OR($D1976="",$K1976=""),"",COUNTIF(Payments!$G$5:$G$2500,$K1976))</f>
      </c>
      <c r="I1976" s="37">
        <f>IF($D1976="","",IF(OR($F1976="",$F1976=0),"Pending",IF(ROUND($F1976-$D1976,2)&gt;0,"Overpaid",IF(ROUND($F1976-$D1976,2)=0,"Paid","Partial"))))</f>
      </c>
      <c r="J1976" s="29"/>
      <c r="K1976">
        <f>IF($A1976="","","#"&amp;TRIM(SUBSTITUTE(SUBSTITUTE(SUBSTITUTE(SUBSTITUTE(SUBSTITUTE(SUBSTITUTE($A1976,"-",""),"(",""),")",""),".",""),"+","")," ","")))</f>
      </c>
    </row>
    <row r="1977" spans="1:11" x14ac:dyDescent="0.3">
      <c r="A1977" s="28"/>
      <c r="B1977" s="29"/>
      <c r="C1977" s="30"/>
      <c r="D1977" s="31"/>
      <c r="E1977" s="33">
        <f>IF(OR($D1977="",$K1977=""),"",IF(COUNTIFS(Payments!$G$5:$G$2500,$K1977,Payments!$C$5:$C$2500,"&lt;&gt;")=0,"",_xlfn.MAXIFS(Payments!$C$5:$C$2500,Payments!$G$5:$G$2500,$K1977)))</f>
      </c>
      <c r="F1977" s="34">
        <f>IF(OR($D1977="",$K1977=""),"",SUMIF(Payments!$G$5:$G$2500,$K1977,Payments!$D$5:$D$2500))</f>
      </c>
      <c r="G1977" s="36">
        <f>IF($D1977="","",ROUND($D1977-IF($F1977="",0,$F1977),2))</f>
      </c>
      <c r="H1977" s="35">
        <f>IF(OR($D1977="",$K1977=""),"",COUNTIF(Payments!$G$5:$G$2500,$K1977))</f>
      </c>
      <c r="I1977" s="37">
        <f>IF($D1977="","",IF(OR($F1977="",$F1977=0),"Pending",IF(ROUND($F1977-$D1977,2)&gt;0,"Overpaid",IF(ROUND($F1977-$D1977,2)=0,"Paid","Partial"))))</f>
      </c>
      <c r="J1977" s="29"/>
      <c r="K1977">
        <f>IF($A1977="","","#"&amp;TRIM(SUBSTITUTE(SUBSTITUTE(SUBSTITUTE(SUBSTITUTE(SUBSTITUTE(SUBSTITUTE($A1977,"-",""),"(",""),")",""),".",""),"+","")," ","")))</f>
      </c>
    </row>
    <row r="1978" spans="1:11" x14ac:dyDescent="0.3">
      <c r="A1978" s="28"/>
      <c r="B1978" s="29"/>
      <c r="C1978" s="30"/>
      <c r="D1978" s="31"/>
      <c r="E1978" s="33">
        <f>IF(OR($D1978="",$K1978=""),"",IF(COUNTIFS(Payments!$G$5:$G$2500,$K1978,Payments!$C$5:$C$2500,"&lt;&gt;")=0,"",_xlfn.MAXIFS(Payments!$C$5:$C$2500,Payments!$G$5:$G$2500,$K1978)))</f>
      </c>
      <c r="F1978" s="34">
        <f>IF(OR($D1978="",$K1978=""),"",SUMIF(Payments!$G$5:$G$2500,$K1978,Payments!$D$5:$D$2500))</f>
      </c>
      <c r="G1978" s="36">
        <f>IF($D1978="","",ROUND($D1978-IF($F1978="",0,$F1978),2))</f>
      </c>
      <c r="H1978" s="35">
        <f>IF(OR($D1978="",$K1978=""),"",COUNTIF(Payments!$G$5:$G$2500,$K1978))</f>
      </c>
      <c r="I1978" s="37">
        <f>IF($D1978="","",IF(OR($F1978="",$F1978=0),"Pending",IF(ROUND($F1978-$D1978,2)&gt;0,"Overpaid",IF(ROUND($F1978-$D1978,2)=0,"Paid","Partial"))))</f>
      </c>
      <c r="J1978" s="29"/>
      <c r="K1978">
        <f>IF($A1978="","","#"&amp;TRIM(SUBSTITUTE(SUBSTITUTE(SUBSTITUTE(SUBSTITUTE(SUBSTITUTE(SUBSTITUTE($A1978,"-",""),"(",""),")",""),".",""),"+","")," ","")))</f>
      </c>
    </row>
    <row r="1979" spans="1:11" x14ac:dyDescent="0.3">
      <c r="A1979" s="28"/>
      <c r="B1979" s="29"/>
      <c r="C1979" s="30"/>
      <c r="D1979" s="31"/>
      <c r="E1979" s="33">
        <f>IF(OR($D1979="",$K1979=""),"",IF(COUNTIFS(Payments!$G$5:$G$2500,$K1979,Payments!$C$5:$C$2500,"&lt;&gt;")=0,"",_xlfn.MAXIFS(Payments!$C$5:$C$2500,Payments!$G$5:$G$2500,$K1979)))</f>
      </c>
      <c r="F1979" s="34">
        <f>IF(OR($D1979="",$K1979=""),"",SUMIF(Payments!$G$5:$G$2500,$K1979,Payments!$D$5:$D$2500))</f>
      </c>
      <c r="G1979" s="36">
        <f>IF($D1979="","",ROUND($D1979-IF($F1979="",0,$F1979),2))</f>
      </c>
      <c r="H1979" s="35">
        <f>IF(OR($D1979="",$K1979=""),"",COUNTIF(Payments!$G$5:$G$2500,$K1979))</f>
      </c>
      <c r="I1979" s="37">
        <f>IF($D1979="","",IF(OR($F1979="",$F1979=0),"Pending",IF(ROUND($F1979-$D1979,2)&gt;0,"Overpaid",IF(ROUND($F1979-$D1979,2)=0,"Paid","Partial"))))</f>
      </c>
      <c r="J1979" s="29"/>
      <c r="K1979">
        <f>IF($A1979="","","#"&amp;TRIM(SUBSTITUTE(SUBSTITUTE(SUBSTITUTE(SUBSTITUTE(SUBSTITUTE(SUBSTITUTE($A1979,"-",""),"(",""),")",""),".",""),"+","")," ","")))</f>
      </c>
    </row>
    <row r="1980" spans="1:11" x14ac:dyDescent="0.3">
      <c r="A1980" s="28"/>
      <c r="B1980" s="29"/>
      <c r="C1980" s="30"/>
      <c r="D1980" s="31"/>
      <c r="E1980" s="33">
        <f>IF(OR($D1980="",$K1980=""),"",IF(COUNTIFS(Payments!$G$5:$G$2500,$K1980,Payments!$C$5:$C$2500,"&lt;&gt;")=0,"",_xlfn.MAXIFS(Payments!$C$5:$C$2500,Payments!$G$5:$G$2500,$K1980)))</f>
      </c>
      <c r="F1980" s="34">
        <f>IF(OR($D1980="",$K1980=""),"",SUMIF(Payments!$G$5:$G$2500,$K1980,Payments!$D$5:$D$2500))</f>
      </c>
      <c r="G1980" s="36">
        <f>IF($D1980="","",ROUND($D1980-IF($F1980="",0,$F1980),2))</f>
      </c>
      <c r="H1980" s="35">
        <f>IF(OR($D1980="",$K1980=""),"",COUNTIF(Payments!$G$5:$G$2500,$K1980))</f>
      </c>
      <c r="I1980" s="37">
        <f>IF($D1980="","",IF(OR($F1980="",$F1980=0),"Pending",IF(ROUND($F1980-$D1980,2)&gt;0,"Overpaid",IF(ROUND($F1980-$D1980,2)=0,"Paid","Partial"))))</f>
      </c>
      <c r="J1980" s="29"/>
      <c r="K1980">
        <f>IF($A1980="","","#"&amp;TRIM(SUBSTITUTE(SUBSTITUTE(SUBSTITUTE(SUBSTITUTE(SUBSTITUTE(SUBSTITUTE($A1980,"-",""),"(",""),")",""),".",""),"+","")," ","")))</f>
      </c>
    </row>
    <row r="1981" spans="1:11" x14ac:dyDescent="0.3">
      <c r="A1981" s="28"/>
      <c r="B1981" s="29"/>
      <c r="C1981" s="30"/>
      <c r="D1981" s="31"/>
      <c r="E1981" s="33">
        <f>IF(OR($D1981="",$K1981=""),"",IF(COUNTIFS(Payments!$G$5:$G$2500,$K1981,Payments!$C$5:$C$2500,"&lt;&gt;")=0,"",_xlfn.MAXIFS(Payments!$C$5:$C$2500,Payments!$G$5:$G$2500,$K1981)))</f>
      </c>
      <c r="F1981" s="34">
        <f>IF(OR($D1981="",$K1981=""),"",SUMIF(Payments!$G$5:$G$2500,$K1981,Payments!$D$5:$D$2500))</f>
      </c>
      <c r="G1981" s="36">
        <f>IF($D1981="","",ROUND($D1981-IF($F1981="",0,$F1981),2))</f>
      </c>
      <c r="H1981" s="35">
        <f>IF(OR($D1981="",$K1981=""),"",COUNTIF(Payments!$G$5:$G$2500,$K1981))</f>
      </c>
      <c r="I1981" s="37">
        <f>IF($D1981="","",IF(OR($F1981="",$F1981=0),"Pending",IF(ROUND($F1981-$D1981,2)&gt;0,"Overpaid",IF(ROUND($F1981-$D1981,2)=0,"Paid","Partial"))))</f>
      </c>
      <c r="J1981" s="29"/>
      <c r="K1981">
        <f>IF($A1981="","","#"&amp;TRIM(SUBSTITUTE(SUBSTITUTE(SUBSTITUTE(SUBSTITUTE(SUBSTITUTE(SUBSTITUTE($A1981,"-",""),"(",""),")",""),".",""),"+","")," ","")))</f>
      </c>
    </row>
    <row r="1982" spans="1:11" x14ac:dyDescent="0.3">
      <c r="A1982" s="28"/>
      <c r="B1982" s="29"/>
      <c r="C1982" s="30"/>
      <c r="D1982" s="31"/>
      <c r="E1982" s="33">
        <f>IF(OR($D1982="",$K1982=""),"",IF(COUNTIFS(Payments!$G$5:$G$2500,$K1982,Payments!$C$5:$C$2500,"&lt;&gt;")=0,"",_xlfn.MAXIFS(Payments!$C$5:$C$2500,Payments!$G$5:$G$2500,$K1982)))</f>
      </c>
      <c r="F1982" s="34">
        <f>IF(OR($D1982="",$K1982=""),"",SUMIF(Payments!$G$5:$G$2500,$K1982,Payments!$D$5:$D$2500))</f>
      </c>
      <c r="G1982" s="36">
        <f>IF($D1982="","",ROUND($D1982-IF($F1982="",0,$F1982),2))</f>
      </c>
      <c r="H1982" s="35">
        <f>IF(OR($D1982="",$K1982=""),"",COUNTIF(Payments!$G$5:$G$2500,$K1982))</f>
      </c>
      <c r="I1982" s="37">
        <f>IF($D1982="","",IF(OR($F1982="",$F1982=0),"Pending",IF(ROUND($F1982-$D1982,2)&gt;0,"Overpaid",IF(ROUND($F1982-$D1982,2)=0,"Paid","Partial"))))</f>
      </c>
      <c r="J1982" s="29"/>
      <c r="K1982">
        <f>IF($A1982="","","#"&amp;TRIM(SUBSTITUTE(SUBSTITUTE(SUBSTITUTE(SUBSTITUTE(SUBSTITUTE(SUBSTITUTE($A1982,"-",""),"(",""),")",""),".",""),"+","")," ","")))</f>
      </c>
    </row>
    <row r="1983" spans="1:11" x14ac:dyDescent="0.3">
      <c r="A1983" s="28"/>
      <c r="B1983" s="29"/>
      <c r="C1983" s="30"/>
      <c r="D1983" s="31"/>
      <c r="E1983" s="33">
        <f>IF(OR($D1983="",$K1983=""),"",IF(COUNTIFS(Payments!$G$5:$G$2500,$K1983,Payments!$C$5:$C$2500,"&lt;&gt;")=0,"",_xlfn.MAXIFS(Payments!$C$5:$C$2500,Payments!$G$5:$G$2500,$K1983)))</f>
      </c>
      <c r="F1983" s="34">
        <f>IF(OR($D1983="",$K1983=""),"",SUMIF(Payments!$G$5:$G$2500,$K1983,Payments!$D$5:$D$2500))</f>
      </c>
      <c r="G1983" s="36">
        <f>IF($D1983="","",ROUND($D1983-IF($F1983="",0,$F1983),2))</f>
      </c>
      <c r="H1983" s="35">
        <f>IF(OR($D1983="",$K1983=""),"",COUNTIF(Payments!$G$5:$G$2500,$K1983))</f>
      </c>
      <c r="I1983" s="37">
        <f>IF($D1983="","",IF(OR($F1983="",$F1983=0),"Pending",IF(ROUND($F1983-$D1983,2)&gt;0,"Overpaid",IF(ROUND($F1983-$D1983,2)=0,"Paid","Partial"))))</f>
      </c>
      <c r="J1983" s="29"/>
      <c r="K1983">
        <f>IF($A1983="","","#"&amp;TRIM(SUBSTITUTE(SUBSTITUTE(SUBSTITUTE(SUBSTITUTE(SUBSTITUTE(SUBSTITUTE($A1983,"-",""),"(",""),")",""),".",""),"+","")," ","")))</f>
      </c>
    </row>
    <row r="1984" spans="1:11" x14ac:dyDescent="0.3">
      <c r="A1984" s="28"/>
      <c r="B1984" s="29"/>
      <c r="C1984" s="30"/>
      <c r="D1984" s="31"/>
      <c r="E1984" s="33">
        <f>IF(OR($D1984="",$K1984=""),"",IF(COUNTIFS(Payments!$G$5:$G$2500,$K1984,Payments!$C$5:$C$2500,"&lt;&gt;")=0,"",_xlfn.MAXIFS(Payments!$C$5:$C$2500,Payments!$G$5:$G$2500,$K1984)))</f>
      </c>
      <c r="F1984" s="34">
        <f>IF(OR($D1984="",$K1984=""),"",SUMIF(Payments!$G$5:$G$2500,$K1984,Payments!$D$5:$D$2500))</f>
      </c>
      <c r="G1984" s="36">
        <f>IF($D1984="","",ROUND($D1984-IF($F1984="",0,$F1984),2))</f>
      </c>
      <c r="H1984" s="35">
        <f>IF(OR($D1984="",$K1984=""),"",COUNTIF(Payments!$G$5:$G$2500,$K1984))</f>
      </c>
      <c r="I1984" s="37">
        <f>IF($D1984="","",IF(OR($F1984="",$F1984=0),"Pending",IF(ROUND($F1984-$D1984,2)&gt;0,"Overpaid",IF(ROUND($F1984-$D1984,2)=0,"Paid","Partial"))))</f>
      </c>
      <c r="J1984" s="29"/>
      <c r="K1984">
        <f>IF($A1984="","","#"&amp;TRIM(SUBSTITUTE(SUBSTITUTE(SUBSTITUTE(SUBSTITUTE(SUBSTITUTE(SUBSTITUTE($A1984,"-",""),"(",""),")",""),".",""),"+","")," ","")))</f>
      </c>
    </row>
    <row r="1985" spans="1:11" x14ac:dyDescent="0.3">
      <c r="A1985" s="28"/>
      <c r="B1985" s="29"/>
      <c r="C1985" s="30"/>
      <c r="D1985" s="31"/>
      <c r="E1985" s="33">
        <f>IF(OR($D1985="",$K1985=""),"",IF(COUNTIFS(Payments!$G$5:$G$2500,$K1985,Payments!$C$5:$C$2500,"&lt;&gt;")=0,"",_xlfn.MAXIFS(Payments!$C$5:$C$2500,Payments!$G$5:$G$2500,$K1985)))</f>
      </c>
      <c r="F1985" s="34">
        <f>IF(OR($D1985="",$K1985=""),"",SUMIF(Payments!$G$5:$G$2500,$K1985,Payments!$D$5:$D$2500))</f>
      </c>
      <c r="G1985" s="36">
        <f>IF($D1985="","",ROUND($D1985-IF($F1985="",0,$F1985),2))</f>
      </c>
      <c r="H1985" s="35">
        <f>IF(OR($D1985="",$K1985=""),"",COUNTIF(Payments!$G$5:$G$2500,$K1985))</f>
      </c>
      <c r="I1985" s="37">
        <f>IF($D1985="","",IF(OR($F1985="",$F1985=0),"Pending",IF(ROUND($F1985-$D1985,2)&gt;0,"Overpaid",IF(ROUND($F1985-$D1985,2)=0,"Paid","Partial"))))</f>
      </c>
      <c r="J1985" s="29"/>
      <c r="K1985">
        <f>IF($A1985="","","#"&amp;TRIM(SUBSTITUTE(SUBSTITUTE(SUBSTITUTE(SUBSTITUTE(SUBSTITUTE(SUBSTITUTE($A1985,"-",""),"(",""),")",""),".",""),"+","")," ","")))</f>
      </c>
    </row>
    <row r="1986" spans="1:11" x14ac:dyDescent="0.3">
      <c r="A1986" s="28"/>
      <c r="B1986" s="29"/>
      <c r="C1986" s="30"/>
      <c r="D1986" s="31"/>
      <c r="E1986" s="33">
        <f>IF(OR($D1986="",$K1986=""),"",IF(COUNTIFS(Payments!$G$5:$G$2500,$K1986,Payments!$C$5:$C$2500,"&lt;&gt;")=0,"",_xlfn.MAXIFS(Payments!$C$5:$C$2500,Payments!$G$5:$G$2500,$K1986)))</f>
      </c>
      <c r="F1986" s="34">
        <f>IF(OR($D1986="",$K1986=""),"",SUMIF(Payments!$G$5:$G$2500,$K1986,Payments!$D$5:$D$2500))</f>
      </c>
      <c r="G1986" s="36">
        <f>IF($D1986="","",ROUND($D1986-IF($F1986="",0,$F1986),2))</f>
      </c>
      <c r="H1986" s="35">
        <f>IF(OR($D1986="",$K1986=""),"",COUNTIF(Payments!$G$5:$G$2500,$K1986))</f>
      </c>
      <c r="I1986" s="37">
        <f>IF($D1986="","",IF(OR($F1986="",$F1986=0),"Pending",IF(ROUND($F1986-$D1986,2)&gt;0,"Overpaid",IF(ROUND($F1986-$D1986,2)=0,"Paid","Partial"))))</f>
      </c>
      <c r="J1986" s="29"/>
      <c r="K1986">
        <f>IF($A1986="","","#"&amp;TRIM(SUBSTITUTE(SUBSTITUTE(SUBSTITUTE(SUBSTITUTE(SUBSTITUTE(SUBSTITUTE($A1986,"-",""),"(",""),")",""),".",""),"+","")," ","")))</f>
      </c>
    </row>
    <row r="1987" spans="1:11" x14ac:dyDescent="0.3">
      <c r="A1987" s="28"/>
      <c r="B1987" s="29"/>
      <c r="C1987" s="30"/>
      <c r="D1987" s="31"/>
      <c r="E1987" s="33">
        <f>IF(OR($D1987="",$K1987=""),"",IF(COUNTIFS(Payments!$G$5:$G$2500,$K1987,Payments!$C$5:$C$2500,"&lt;&gt;")=0,"",_xlfn.MAXIFS(Payments!$C$5:$C$2500,Payments!$G$5:$G$2500,$K1987)))</f>
      </c>
      <c r="F1987" s="34">
        <f>IF(OR($D1987="",$K1987=""),"",SUMIF(Payments!$G$5:$G$2500,$K1987,Payments!$D$5:$D$2500))</f>
      </c>
      <c r="G1987" s="36">
        <f>IF($D1987="","",ROUND($D1987-IF($F1987="",0,$F1987),2))</f>
      </c>
      <c r="H1987" s="35">
        <f>IF(OR($D1987="",$K1987=""),"",COUNTIF(Payments!$G$5:$G$2500,$K1987))</f>
      </c>
      <c r="I1987" s="37">
        <f>IF($D1987="","",IF(OR($F1987="",$F1987=0),"Pending",IF(ROUND($F1987-$D1987,2)&gt;0,"Overpaid",IF(ROUND($F1987-$D1987,2)=0,"Paid","Partial"))))</f>
      </c>
      <c r="J1987" s="29"/>
      <c r="K1987">
        <f>IF($A1987="","","#"&amp;TRIM(SUBSTITUTE(SUBSTITUTE(SUBSTITUTE(SUBSTITUTE(SUBSTITUTE(SUBSTITUTE($A1987,"-",""),"(",""),")",""),".",""),"+","")," ","")))</f>
      </c>
    </row>
    <row r="1988" spans="1:11" x14ac:dyDescent="0.3">
      <c r="A1988" s="28"/>
      <c r="B1988" s="29"/>
      <c r="C1988" s="30"/>
      <c r="D1988" s="31"/>
      <c r="E1988" s="33">
        <f>IF(OR($D1988="",$K1988=""),"",IF(COUNTIFS(Payments!$G$5:$G$2500,$K1988,Payments!$C$5:$C$2500,"&lt;&gt;")=0,"",_xlfn.MAXIFS(Payments!$C$5:$C$2500,Payments!$G$5:$G$2500,$K1988)))</f>
      </c>
      <c r="F1988" s="34">
        <f>IF(OR($D1988="",$K1988=""),"",SUMIF(Payments!$G$5:$G$2500,$K1988,Payments!$D$5:$D$2500))</f>
      </c>
      <c r="G1988" s="36">
        <f>IF($D1988="","",ROUND($D1988-IF($F1988="",0,$F1988),2))</f>
      </c>
      <c r="H1988" s="35">
        <f>IF(OR($D1988="",$K1988=""),"",COUNTIF(Payments!$G$5:$G$2500,$K1988))</f>
      </c>
      <c r="I1988" s="37">
        <f>IF($D1988="","",IF(OR($F1988="",$F1988=0),"Pending",IF(ROUND($F1988-$D1988,2)&gt;0,"Overpaid",IF(ROUND($F1988-$D1988,2)=0,"Paid","Partial"))))</f>
      </c>
      <c r="J1988" s="29"/>
      <c r="K1988">
        <f>IF($A1988="","","#"&amp;TRIM(SUBSTITUTE(SUBSTITUTE(SUBSTITUTE(SUBSTITUTE(SUBSTITUTE(SUBSTITUTE($A1988,"-",""),"(",""),")",""),".",""),"+","")," ","")))</f>
      </c>
    </row>
    <row r="1989" spans="1:11" x14ac:dyDescent="0.3">
      <c r="A1989" s="28"/>
      <c r="B1989" s="29"/>
      <c r="C1989" s="30"/>
      <c r="D1989" s="31"/>
      <c r="E1989" s="33">
        <f>IF(OR($D1989="",$K1989=""),"",IF(COUNTIFS(Payments!$G$5:$G$2500,$K1989,Payments!$C$5:$C$2500,"&lt;&gt;")=0,"",_xlfn.MAXIFS(Payments!$C$5:$C$2500,Payments!$G$5:$G$2500,$K1989)))</f>
      </c>
      <c r="F1989" s="34">
        <f>IF(OR($D1989="",$K1989=""),"",SUMIF(Payments!$G$5:$G$2500,$K1989,Payments!$D$5:$D$2500))</f>
      </c>
      <c r="G1989" s="36">
        <f>IF($D1989="","",ROUND($D1989-IF($F1989="",0,$F1989),2))</f>
      </c>
      <c r="H1989" s="35">
        <f>IF(OR($D1989="",$K1989=""),"",COUNTIF(Payments!$G$5:$G$2500,$K1989))</f>
      </c>
      <c r="I1989" s="37">
        <f>IF($D1989="","",IF(OR($F1989="",$F1989=0),"Pending",IF(ROUND($F1989-$D1989,2)&gt;0,"Overpaid",IF(ROUND($F1989-$D1989,2)=0,"Paid","Partial"))))</f>
      </c>
      <c r="J1989" s="29"/>
      <c r="K1989">
        <f>IF($A1989="","","#"&amp;TRIM(SUBSTITUTE(SUBSTITUTE(SUBSTITUTE(SUBSTITUTE(SUBSTITUTE(SUBSTITUTE($A1989,"-",""),"(",""),")",""),".",""),"+","")," ","")))</f>
      </c>
    </row>
    <row r="1990" spans="1:11" x14ac:dyDescent="0.3">
      <c r="A1990" s="28"/>
      <c r="B1990" s="29"/>
      <c r="C1990" s="30"/>
      <c r="D1990" s="31"/>
      <c r="E1990" s="33">
        <f>IF(OR($D1990="",$K1990=""),"",IF(COUNTIFS(Payments!$G$5:$G$2500,$K1990,Payments!$C$5:$C$2500,"&lt;&gt;")=0,"",_xlfn.MAXIFS(Payments!$C$5:$C$2500,Payments!$G$5:$G$2500,$K1990)))</f>
      </c>
      <c r="F1990" s="34">
        <f>IF(OR($D1990="",$K1990=""),"",SUMIF(Payments!$G$5:$G$2500,$K1990,Payments!$D$5:$D$2500))</f>
      </c>
      <c r="G1990" s="36">
        <f>IF($D1990="","",ROUND($D1990-IF($F1990="",0,$F1990),2))</f>
      </c>
      <c r="H1990" s="35">
        <f>IF(OR($D1990="",$K1990=""),"",COUNTIF(Payments!$G$5:$G$2500,$K1990))</f>
      </c>
      <c r="I1990" s="37">
        <f>IF($D1990="","",IF(OR($F1990="",$F1990=0),"Pending",IF(ROUND($F1990-$D1990,2)&gt;0,"Overpaid",IF(ROUND($F1990-$D1990,2)=0,"Paid","Partial"))))</f>
      </c>
      <c r="J1990" s="29"/>
      <c r="K1990">
        <f>IF($A1990="","","#"&amp;TRIM(SUBSTITUTE(SUBSTITUTE(SUBSTITUTE(SUBSTITUTE(SUBSTITUTE(SUBSTITUTE($A1990,"-",""),"(",""),")",""),".",""),"+","")," ","")))</f>
      </c>
    </row>
    <row r="1991" spans="1:11" x14ac:dyDescent="0.3">
      <c r="A1991" s="28"/>
      <c r="B1991" s="29"/>
      <c r="C1991" s="30"/>
      <c r="D1991" s="31"/>
      <c r="E1991" s="33">
        <f>IF(OR($D1991="",$K1991=""),"",IF(COUNTIFS(Payments!$G$5:$G$2500,$K1991,Payments!$C$5:$C$2500,"&lt;&gt;")=0,"",_xlfn.MAXIFS(Payments!$C$5:$C$2500,Payments!$G$5:$G$2500,$K1991)))</f>
      </c>
      <c r="F1991" s="34">
        <f>IF(OR($D1991="",$K1991=""),"",SUMIF(Payments!$G$5:$G$2500,$K1991,Payments!$D$5:$D$2500))</f>
      </c>
      <c r="G1991" s="36">
        <f>IF($D1991="","",ROUND($D1991-IF($F1991="",0,$F1991),2))</f>
      </c>
      <c r="H1991" s="35">
        <f>IF(OR($D1991="",$K1991=""),"",COUNTIF(Payments!$G$5:$G$2500,$K1991))</f>
      </c>
      <c r="I1991" s="37">
        <f>IF($D1991="","",IF(OR($F1991="",$F1991=0),"Pending",IF(ROUND($F1991-$D1991,2)&gt;0,"Overpaid",IF(ROUND($F1991-$D1991,2)=0,"Paid","Partial"))))</f>
      </c>
      <c r="J1991" s="29"/>
      <c r="K1991">
        <f>IF($A1991="","","#"&amp;TRIM(SUBSTITUTE(SUBSTITUTE(SUBSTITUTE(SUBSTITUTE(SUBSTITUTE(SUBSTITUTE($A1991,"-",""),"(",""),")",""),".",""),"+","")," ","")))</f>
      </c>
    </row>
    <row r="1992" spans="1:11" x14ac:dyDescent="0.3">
      <c r="A1992" s="28"/>
      <c r="B1992" s="29"/>
      <c r="C1992" s="30"/>
      <c r="D1992" s="31"/>
      <c r="E1992" s="33">
        <f>IF(OR($D1992="",$K1992=""),"",IF(COUNTIFS(Payments!$G$5:$G$2500,$K1992,Payments!$C$5:$C$2500,"&lt;&gt;")=0,"",_xlfn.MAXIFS(Payments!$C$5:$C$2500,Payments!$G$5:$G$2500,$K1992)))</f>
      </c>
      <c r="F1992" s="34">
        <f>IF(OR($D1992="",$K1992=""),"",SUMIF(Payments!$G$5:$G$2500,$K1992,Payments!$D$5:$D$2500))</f>
      </c>
      <c r="G1992" s="36">
        <f>IF($D1992="","",ROUND($D1992-IF($F1992="",0,$F1992),2))</f>
      </c>
      <c r="H1992" s="35">
        <f>IF(OR($D1992="",$K1992=""),"",COUNTIF(Payments!$G$5:$G$2500,$K1992))</f>
      </c>
      <c r="I1992" s="37">
        <f>IF($D1992="","",IF(OR($F1992="",$F1992=0),"Pending",IF(ROUND($F1992-$D1992,2)&gt;0,"Overpaid",IF(ROUND($F1992-$D1992,2)=0,"Paid","Partial"))))</f>
      </c>
      <c r="J1992" s="29"/>
      <c r="K1992">
        <f>IF($A1992="","","#"&amp;TRIM(SUBSTITUTE(SUBSTITUTE(SUBSTITUTE(SUBSTITUTE(SUBSTITUTE(SUBSTITUTE($A1992,"-",""),"(",""),")",""),".",""),"+","")," ","")))</f>
      </c>
    </row>
    <row r="1993" spans="1:11" x14ac:dyDescent="0.3">
      <c r="A1993" s="28"/>
      <c r="B1993" s="29"/>
      <c r="C1993" s="30"/>
      <c r="D1993" s="31"/>
      <c r="E1993" s="33">
        <f>IF(OR($D1993="",$K1993=""),"",IF(COUNTIFS(Payments!$G$5:$G$2500,$K1993,Payments!$C$5:$C$2500,"&lt;&gt;")=0,"",_xlfn.MAXIFS(Payments!$C$5:$C$2500,Payments!$G$5:$G$2500,$K1993)))</f>
      </c>
      <c r="F1993" s="34">
        <f>IF(OR($D1993="",$K1993=""),"",SUMIF(Payments!$G$5:$G$2500,$K1993,Payments!$D$5:$D$2500))</f>
      </c>
      <c r="G1993" s="36">
        <f>IF($D1993="","",ROUND($D1993-IF($F1993="",0,$F1993),2))</f>
      </c>
      <c r="H1993" s="35">
        <f>IF(OR($D1993="",$K1993=""),"",COUNTIF(Payments!$G$5:$G$2500,$K1993))</f>
      </c>
      <c r="I1993" s="37">
        <f>IF($D1993="","",IF(OR($F1993="",$F1993=0),"Pending",IF(ROUND($F1993-$D1993,2)&gt;0,"Overpaid",IF(ROUND($F1993-$D1993,2)=0,"Paid","Partial"))))</f>
      </c>
      <c r="J1993" s="29"/>
      <c r="K1993">
        <f>IF($A1993="","","#"&amp;TRIM(SUBSTITUTE(SUBSTITUTE(SUBSTITUTE(SUBSTITUTE(SUBSTITUTE(SUBSTITUTE($A1993,"-",""),"(",""),")",""),".",""),"+","")," ","")))</f>
      </c>
    </row>
    <row r="1994" spans="1:11" x14ac:dyDescent="0.3">
      <c r="A1994" s="28"/>
      <c r="B1994" s="29"/>
      <c r="C1994" s="30"/>
      <c r="D1994" s="31"/>
      <c r="E1994" s="33">
        <f>IF(OR($D1994="",$K1994=""),"",IF(COUNTIFS(Payments!$G$5:$G$2500,$K1994,Payments!$C$5:$C$2500,"&lt;&gt;")=0,"",_xlfn.MAXIFS(Payments!$C$5:$C$2500,Payments!$G$5:$G$2500,$K1994)))</f>
      </c>
      <c r="F1994" s="34">
        <f>IF(OR($D1994="",$K1994=""),"",SUMIF(Payments!$G$5:$G$2500,$K1994,Payments!$D$5:$D$2500))</f>
      </c>
      <c r="G1994" s="36">
        <f>IF($D1994="","",ROUND($D1994-IF($F1994="",0,$F1994),2))</f>
      </c>
      <c r="H1994" s="35">
        <f>IF(OR($D1994="",$K1994=""),"",COUNTIF(Payments!$G$5:$G$2500,$K1994))</f>
      </c>
      <c r="I1994" s="37">
        <f>IF($D1994="","",IF(OR($F1994="",$F1994=0),"Pending",IF(ROUND($F1994-$D1994,2)&gt;0,"Overpaid",IF(ROUND($F1994-$D1994,2)=0,"Paid","Partial"))))</f>
      </c>
      <c r="J1994" s="29"/>
      <c r="K1994">
        <f>IF($A1994="","","#"&amp;TRIM(SUBSTITUTE(SUBSTITUTE(SUBSTITUTE(SUBSTITUTE(SUBSTITUTE(SUBSTITUTE($A1994,"-",""),"(",""),")",""),".",""),"+","")," ","")))</f>
      </c>
    </row>
    <row r="1995" spans="1:11" x14ac:dyDescent="0.3">
      <c r="A1995" s="28"/>
      <c r="B1995" s="29"/>
      <c r="C1995" s="30"/>
      <c r="D1995" s="31"/>
      <c r="E1995" s="33">
        <f>IF(OR($D1995="",$K1995=""),"",IF(COUNTIFS(Payments!$G$5:$G$2500,$K1995,Payments!$C$5:$C$2500,"&lt;&gt;")=0,"",_xlfn.MAXIFS(Payments!$C$5:$C$2500,Payments!$G$5:$G$2500,$K1995)))</f>
      </c>
      <c r="F1995" s="34">
        <f>IF(OR($D1995="",$K1995=""),"",SUMIF(Payments!$G$5:$G$2500,$K1995,Payments!$D$5:$D$2500))</f>
      </c>
      <c r="G1995" s="36">
        <f>IF($D1995="","",ROUND($D1995-IF($F1995="",0,$F1995),2))</f>
      </c>
      <c r="H1995" s="35">
        <f>IF(OR($D1995="",$K1995=""),"",COUNTIF(Payments!$G$5:$G$2500,$K1995))</f>
      </c>
      <c r="I1995" s="37">
        <f>IF($D1995="","",IF(OR($F1995="",$F1995=0),"Pending",IF(ROUND($F1995-$D1995,2)&gt;0,"Overpaid",IF(ROUND($F1995-$D1995,2)=0,"Paid","Partial"))))</f>
      </c>
      <c r="J1995" s="29"/>
      <c r="K1995">
        <f>IF($A1995="","","#"&amp;TRIM(SUBSTITUTE(SUBSTITUTE(SUBSTITUTE(SUBSTITUTE(SUBSTITUTE(SUBSTITUTE($A1995,"-",""),"(",""),")",""),".",""),"+","")," ","")))</f>
      </c>
    </row>
    <row r="1996" spans="1:11" x14ac:dyDescent="0.3">
      <c r="A1996" s="28"/>
      <c r="B1996" s="29"/>
      <c r="C1996" s="30"/>
      <c r="D1996" s="31"/>
      <c r="E1996" s="33">
        <f>IF(OR($D1996="",$K1996=""),"",IF(COUNTIFS(Payments!$G$5:$G$2500,$K1996,Payments!$C$5:$C$2500,"&lt;&gt;")=0,"",_xlfn.MAXIFS(Payments!$C$5:$C$2500,Payments!$G$5:$G$2500,$K1996)))</f>
      </c>
      <c r="F1996" s="34">
        <f>IF(OR($D1996="",$K1996=""),"",SUMIF(Payments!$G$5:$G$2500,$K1996,Payments!$D$5:$D$2500))</f>
      </c>
      <c r="G1996" s="36">
        <f>IF($D1996="","",ROUND($D1996-IF($F1996="",0,$F1996),2))</f>
      </c>
      <c r="H1996" s="35">
        <f>IF(OR($D1996="",$K1996=""),"",COUNTIF(Payments!$G$5:$G$2500,$K1996))</f>
      </c>
      <c r="I1996" s="37">
        <f>IF($D1996="","",IF(OR($F1996="",$F1996=0),"Pending",IF(ROUND($F1996-$D1996,2)&gt;0,"Overpaid",IF(ROUND($F1996-$D1996,2)=0,"Paid","Partial"))))</f>
      </c>
      <c r="J1996" s="29"/>
      <c r="K1996">
        <f>IF($A1996="","","#"&amp;TRIM(SUBSTITUTE(SUBSTITUTE(SUBSTITUTE(SUBSTITUTE(SUBSTITUTE(SUBSTITUTE($A1996,"-",""),"(",""),")",""),".",""),"+","")," ","")))</f>
      </c>
    </row>
    <row r="1997" spans="1:11" x14ac:dyDescent="0.3">
      <c r="A1997" s="28"/>
      <c r="B1997" s="29"/>
      <c r="C1997" s="30"/>
      <c r="D1997" s="31"/>
      <c r="E1997" s="33">
        <f>IF(OR($D1997="",$K1997=""),"",IF(COUNTIFS(Payments!$G$5:$G$2500,$K1997,Payments!$C$5:$C$2500,"&lt;&gt;")=0,"",_xlfn.MAXIFS(Payments!$C$5:$C$2500,Payments!$G$5:$G$2500,$K1997)))</f>
      </c>
      <c r="F1997" s="34">
        <f>IF(OR($D1997="",$K1997=""),"",SUMIF(Payments!$G$5:$G$2500,$K1997,Payments!$D$5:$D$2500))</f>
      </c>
      <c r="G1997" s="36">
        <f>IF($D1997="","",ROUND($D1997-IF($F1997="",0,$F1997),2))</f>
      </c>
      <c r="H1997" s="35">
        <f>IF(OR($D1997="",$K1997=""),"",COUNTIF(Payments!$G$5:$G$2500,$K1997))</f>
      </c>
      <c r="I1997" s="37">
        <f>IF($D1997="","",IF(OR($F1997="",$F1997=0),"Pending",IF(ROUND($F1997-$D1997,2)&gt;0,"Overpaid",IF(ROUND($F1997-$D1997,2)=0,"Paid","Partial"))))</f>
      </c>
      <c r="J1997" s="29"/>
      <c r="K1997">
        <f>IF($A1997="","","#"&amp;TRIM(SUBSTITUTE(SUBSTITUTE(SUBSTITUTE(SUBSTITUTE(SUBSTITUTE(SUBSTITUTE($A1997,"-",""),"(",""),")",""),".",""),"+","")," ","")))</f>
      </c>
    </row>
    <row r="1998" spans="1:11" x14ac:dyDescent="0.3">
      <c r="A1998" s="28"/>
      <c r="B1998" s="29"/>
      <c r="C1998" s="30"/>
      <c r="D1998" s="31"/>
      <c r="E1998" s="33">
        <f>IF(OR($D1998="",$K1998=""),"",IF(COUNTIFS(Payments!$G$5:$G$2500,$K1998,Payments!$C$5:$C$2500,"&lt;&gt;")=0,"",_xlfn.MAXIFS(Payments!$C$5:$C$2500,Payments!$G$5:$G$2500,$K1998)))</f>
      </c>
      <c r="F1998" s="34">
        <f>IF(OR($D1998="",$K1998=""),"",SUMIF(Payments!$G$5:$G$2500,$K1998,Payments!$D$5:$D$2500))</f>
      </c>
      <c r="G1998" s="36">
        <f>IF($D1998="","",ROUND($D1998-IF($F1998="",0,$F1998),2))</f>
      </c>
      <c r="H1998" s="35">
        <f>IF(OR($D1998="",$K1998=""),"",COUNTIF(Payments!$G$5:$G$2500,$K1998))</f>
      </c>
      <c r="I1998" s="37">
        <f>IF($D1998="","",IF(OR($F1998="",$F1998=0),"Pending",IF(ROUND($F1998-$D1998,2)&gt;0,"Overpaid",IF(ROUND($F1998-$D1998,2)=0,"Paid","Partial"))))</f>
      </c>
      <c r="J1998" s="29"/>
      <c r="K1998">
        <f>IF($A1998="","","#"&amp;TRIM(SUBSTITUTE(SUBSTITUTE(SUBSTITUTE(SUBSTITUTE(SUBSTITUTE(SUBSTITUTE($A1998,"-",""),"(",""),")",""),".",""),"+","")," ","")))</f>
      </c>
    </row>
    <row r="1999" spans="1:11" x14ac:dyDescent="0.3">
      <c r="A1999" s="28"/>
      <c r="B1999" s="29"/>
      <c r="C1999" s="30"/>
      <c r="D1999" s="31"/>
      <c r="E1999" s="33">
        <f>IF(OR($D1999="",$K1999=""),"",IF(COUNTIFS(Payments!$G$5:$G$2500,$K1999,Payments!$C$5:$C$2500,"&lt;&gt;")=0,"",_xlfn.MAXIFS(Payments!$C$5:$C$2500,Payments!$G$5:$G$2500,$K1999)))</f>
      </c>
      <c r="F1999" s="34">
        <f>IF(OR($D1999="",$K1999=""),"",SUMIF(Payments!$G$5:$G$2500,$K1999,Payments!$D$5:$D$2500))</f>
      </c>
      <c r="G1999" s="36">
        <f>IF($D1999="","",ROUND($D1999-IF($F1999="",0,$F1999),2))</f>
      </c>
      <c r="H1999" s="35">
        <f>IF(OR($D1999="",$K1999=""),"",COUNTIF(Payments!$G$5:$G$2500,$K1999))</f>
      </c>
      <c r="I1999" s="37">
        <f>IF($D1999="","",IF(OR($F1999="",$F1999=0),"Pending",IF(ROUND($F1999-$D1999,2)&gt;0,"Overpaid",IF(ROUND($F1999-$D1999,2)=0,"Paid","Partial"))))</f>
      </c>
      <c r="J1999" s="29"/>
      <c r="K1999">
        <f>IF($A1999="","","#"&amp;TRIM(SUBSTITUTE(SUBSTITUTE(SUBSTITUTE(SUBSTITUTE(SUBSTITUTE(SUBSTITUTE($A1999,"-",""),"(",""),")",""),".",""),"+","")," ","")))</f>
      </c>
    </row>
    <row r="2000" spans="1:11" x14ac:dyDescent="0.3">
      <c r="A2000" s="28"/>
      <c r="B2000" s="29"/>
      <c r="C2000" s="30"/>
      <c r="D2000" s="31"/>
      <c r="E2000" s="33">
        <f>IF(OR($D2000="",$K2000=""),"",IF(COUNTIFS(Payments!$G$5:$G$2500,$K2000,Payments!$C$5:$C$2500,"&lt;&gt;")=0,"",_xlfn.MAXIFS(Payments!$C$5:$C$2500,Payments!$G$5:$G$2500,$K2000)))</f>
      </c>
      <c r="F2000" s="34">
        <f>IF(OR($D2000="",$K2000=""),"",SUMIF(Payments!$G$5:$G$2500,$K2000,Payments!$D$5:$D$2500))</f>
      </c>
      <c r="G2000" s="36">
        <f>IF($D2000="","",ROUND($D2000-IF($F2000="",0,$F2000),2))</f>
      </c>
      <c r="H2000" s="35">
        <f>IF(OR($D2000="",$K2000=""),"",COUNTIF(Payments!$G$5:$G$2500,$K2000))</f>
      </c>
      <c r="I2000" s="37">
        <f>IF($D2000="","",IF(OR($F2000="",$F2000=0),"Pending",IF(ROUND($F2000-$D2000,2)&gt;0,"Overpaid",IF(ROUND($F2000-$D2000,2)=0,"Paid","Partial"))))</f>
      </c>
      <c r="J2000" s="29"/>
      <c r="K2000">
        <f>IF($A2000="","","#"&amp;TRIM(SUBSTITUTE(SUBSTITUTE(SUBSTITUTE(SUBSTITUTE(SUBSTITUTE(SUBSTITUTE($A2000,"-",""),"(",""),")",""),".",""),"+","")," ","")))</f>
      </c>
    </row>
  </sheetData>
  <sheetProtection sheet="1" objects="1" scenarios="1" formatCells="0" formatColumns="0" formatRows="0" insertRows="0" deleteRows="0" sort="0" autoFilter="0"/>
  <conditionalFormatting sqref="A5:J2500">
    <cfRule type="expression" dxfId="3" priority="3">
      <formula>AND($A5&lt;&gt;"",COUNTIF($K$5:$K$2500,$K5)&gt;1)</formula>
    </cfRule>
  </conditionalFormatting>
  <dataValidations count="1">
    <dataValidation type="decimal" operator="greaterThanOrEqual" allowBlank="1" showInputMessage="1" showErrorMessage="1" errorTitle="Invalid amount" error="Enter an amount of 0 or more." sqref="D5:D2000" xr:uid="{7D4EC2F7-47E9-44C8-BDF3-47D96E6E66F6}">
      <formula1>0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9FD2-F082-4679-BCC5-C88C5C1C3F6A}">
  <dimension ref="A1:G2000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4.4" x14ac:dyDescent="0.3"/>
  <cols>
    <col min="1" max="1" width="28.33203125" customWidth="1"/>
    <col min="2" max="2" width="22" customWidth="1"/>
    <col min="3" max="3" width="17.5546875" customWidth="1"/>
    <col min="4" max="4" width="23.33203125" customWidth="1"/>
    <col min="5" max="5" width="19.33203125" customWidth="1"/>
    <col min="6" max="6" width="28" customWidth="1"/>
    <col min="7" max="7" width="20" hidden="1" customWidth="1"/>
  </cols>
  <sheetData>
    <row r="1" spans="1:6" ht="21" x14ac:dyDescent="0.4">
      <c r="A1" s="1" t="s">
        <v>25</v>
      </c>
    </row>
    <row r="2" spans="1:6" x14ac:dyDescent="0.3">
      <c r="A2" s="2" t="s">
        <v>32</v>
      </c>
    </row>
    <row r="3" spans="1:6" x14ac:dyDescent="0.3">
      <c r="B3" s="27" t="s">
        <v>30</v>
      </c>
      <c r="C3" s="27" t="str">
        <f>COUNTIF($D$5:$D$2500,"&gt;0")&amp;" payments"</f>
        <v>0 payments</v>
      </c>
      <c r="D3" s="25">
        <f>SUM($D$5:$D$2500)</f>
        <v>0</v>
      </c>
    </row>
    <row r="4" spans="1:7" ht="27.45" customHeight="1" x14ac:dyDescent="0.3">
      <c r="A4" s="20" t="s">
        <v>1</v>
      </c>
      <c r="B4" s="20" t="s">
        <v>2</v>
      </c>
      <c r="C4" s="20" t="s">
        <v>5</v>
      </c>
      <c r="D4" s="20" t="s">
        <v>6</v>
      </c>
      <c r="E4" s="20" t="s">
        <v>8</v>
      </c>
      <c r="F4" s="20" t="s">
        <v>10</v>
      </c>
      <c r="G4" s="20" t="inlineStr">
        <is>
          <t>Match Key</t>
        </is>
      </c>
    </row>
    <row r="5" spans="1:7" x14ac:dyDescent="0.3">
      <c r="A5" s="28"/>
      <c r="B5" s="39">
        <f>IF($A5="","",IFERROR(IF(INDEX(Pledges!$D$5:$D$2500,MATCH($G5,Pledges!$K$5:$K$2500,0))="","⚠ no amount on Pledges",IF(INDEX(Pledges!$B$5:$B$2500,MATCH($G5,Pledges!$K$5:$K$2500,0))="","",INDEX(Pledges!$B$5:$B$2500,MATCH($G5,Pledges!$K$5:$K$2500,0)))),"⚠ phone not in Pledges"))</f>
      </c>
      <c r="C5" s="30"/>
      <c r="D5" s="31"/>
      <c r="E5" s="32"/>
      <c r="F5" s="29"/>
      <c r="G5">
        <f>IF($A5="","","#"&amp;TRIM(SUBSTITUTE(SUBSTITUTE(SUBSTITUTE(SUBSTITUTE(SUBSTITUTE(SUBSTITUTE($A5,"-",""),"(",""),")",""),".",""),"+","")," ","")))</f>
      </c>
    </row>
    <row r="6" spans="1:7" x14ac:dyDescent="0.3">
      <c r="A6" s="28"/>
      <c r="B6" s="39">
        <f>IF($A6="","",IFERROR(IF(INDEX(Pledges!$D$5:$D$2500,MATCH($G6,Pledges!$K$5:$K$2500,0))="","⚠ no amount on Pledges",IF(INDEX(Pledges!$B$5:$B$2500,MATCH($G6,Pledges!$K$5:$K$2500,0))="","",INDEX(Pledges!$B$5:$B$2500,MATCH($G6,Pledges!$K$5:$K$2500,0)))),"⚠ phone not in Pledges"))</f>
      </c>
      <c r="C6" s="30"/>
      <c r="D6" s="31"/>
      <c r="E6" s="32"/>
      <c r="F6" s="29"/>
      <c r="G6">
        <f>IF($A6="","","#"&amp;TRIM(SUBSTITUTE(SUBSTITUTE(SUBSTITUTE(SUBSTITUTE(SUBSTITUTE(SUBSTITUTE($A6,"-",""),"(",""),")",""),".",""),"+","")," ","")))</f>
      </c>
    </row>
    <row r="7" spans="1:7" x14ac:dyDescent="0.3">
      <c r="A7" s="28"/>
      <c r="B7" s="39">
        <f>IF($A7="","",IFERROR(IF(INDEX(Pledges!$D$5:$D$2500,MATCH($G7,Pledges!$K$5:$K$2500,0))="","⚠ no amount on Pledges",IF(INDEX(Pledges!$B$5:$B$2500,MATCH($G7,Pledges!$K$5:$K$2500,0))="","",INDEX(Pledges!$B$5:$B$2500,MATCH($G7,Pledges!$K$5:$K$2500,0)))),"⚠ phone not in Pledges"))</f>
      </c>
      <c r="C7" s="30"/>
      <c r="D7" s="31"/>
      <c r="E7" s="32"/>
      <c r="F7" s="29"/>
      <c r="G7">
        <f>IF($A7="","","#"&amp;TRIM(SUBSTITUTE(SUBSTITUTE(SUBSTITUTE(SUBSTITUTE(SUBSTITUTE(SUBSTITUTE($A7,"-",""),"(",""),")",""),".",""),"+","")," ","")))</f>
      </c>
    </row>
    <row r="8" spans="1:7" x14ac:dyDescent="0.3">
      <c r="A8" s="28"/>
      <c r="B8" s="39">
        <f>IF($A8="","",IFERROR(IF(INDEX(Pledges!$D$5:$D$2500,MATCH($G8,Pledges!$K$5:$K$2500,0))="","⚠ no amount on Pledges",IF(INDEX(Pledges!$B$5:$B$2500,MATCH($G8,Pledges!$K$5:$K$2500,0))="","",INDEX(Pledges!$B$5:$B$2500,MATCH($G8,Pledges!$K$5:$K$2500,0)))),"⚠ phone not in Pledges"))</f>
      </c>
      <c r="C8" s="30"/>
      <c r="D8" s="31"/>
      <c r="E8" s="32"/>
      <c r="F8" s="29"/>
      <c r="G8">
        <f>IF($A8="","","#"&amp;TRIM(SUBSTITUTE(SUBSTITUTE(SUBSTITUTE(SUBSTITUTE(SUBSTITUTE(SUBSTITUTE($A8,"-",""),"(",""),")",""),".",""),"+","")," ","")))</f>
      </c>
    </row>
    <row r="9" spans="1:7" x14ac:dyDescent="0.3">
      <c r="A9" s="28"/>
      <c r="B9" s="39">
        <f>IF($A9="","",IFERROR(IF(INDEX(Pledges!$D$5:$D$2500,MATCH($G9,Pledges!$K$5:$K$2500,0))="","⚠ no amount on Pledges",IF(INDEX(Pledges!$B$5:$B$2500,MATCH($G9,Pledges!$K$5:$K$2500,0))="","",INDEX(Pledges!$B$5:$B$2500,MATCH($G9,Pledges!$K$5:$K$2500,0)))),"⚠ phone not in Pledges"))</f>
      </c>
      <c r="C9" s="30"/>
      <c r="D9" s="31"/>
      <c r="E9" s="32"/>
      <c r="F9" s="29"/>
      <c r="G9">
        <f>IF($A9="","","#"&amp;TRIM(SUBSTITUTE(SUBSTITUTE(SUBSTITUTE(SUBSTITUTE(SUBSTITUTE(SUBSTITUTE($A9,"-",""),"(",""),")",""),".",""),"+","")," ","")))</f>
      </c>
    </row>
    <row r="10" spans="1:7" x14ac:dyDescent="0.3">
      <c r="A10" s="28"/>
      <c r="B10" s="39">
        <f>IF($A10="","",IFERROR(IF(INDEX(Pledges!$D$5:$D$2500,MATCH($G10,Pledges!$K$5:$K$2500,0))="","⚠ no amount on Pledges",IF(INDEX(Pledges!$B$5:$B$2500,MATCH($G10,Pledges!$K$5:$K$2500,0))="","",INDEX(Pledges!$B$5:$B$2500,MATCH($G10,Pledges!$K$5:$K$2500,0)))),"⚠ phone not in Pledges"))</f>
      </c>
      <c r="C10" s="30"/>
      <c r="D10" s="31"/>
      <c r="E10" s="32"/>
      <c r="F10" s="29"/>
      <c r="G10">
        <f>IF($A10="","","#"&amp;TRIM(SUBSTITUTE(SUBSTITUTE(SUBSTITUTE(SUBSTITUTE(SUBSTITUTE(SUBSTITUTE($A10,"-",""),"(",""),")",""),".",""),"+","")," ","")))</f>
      </c>
    </row>
    <row r="11" spans="1:7" x14ac:dyDescent="0.3">
      <c r="A11" s="28"/>
      <c r="B11" s="39">
        <f>IF($A11="","",IFERROR(IF(INDEX(Pledges!$D$5:$D$2500,MATCH($G11,Pledges!$K$5:$K$2500,0))="","⚠ no amount on Pledges",IF(INDEX(Pledges!$B$5:$B$2500,MATCH($G11,Pledges!$K$5:$K$2500,0))="","",INDEX(Pledges!$B$5:$B$2500,MATCH($G11,Pledges!$K$5:$K$2500,0)))),"⚠ phone not in Pledges"))</f>
      </c>
      <c r="C11" s="30"/>
      <c r="D11" s="31"/>
      <c r="E11" s="32"/>
      <c r="F11" s="29"/>
      <c r="G11">
        <f>IF($A11="","","#"&amp;TRIM(SUBSTITUTE(SUBSTITUTE(SUBSTITUTE(SUBSTITUTE(SUBSTITUTE(SUBSTITUTE($A11,"-",""),"(",""),")",""),".",""),"+","")," ","")))</f>
      </c>
    </row>
    <row r="12" spans="1:7" x14ac:dyDescent="0.3">
      <c r="A12" s="28"/>
      <c r="B12" s="39">
        <f>IF($A12="","",IFERROR(IF(INDEX(Pledges!$D$5:$D$2500,MATCH($G12,Pledges!$K$5:$K$2500,0))="","⚠ no amount on Pledges",IF(INDEX(Pledges!$B$5:$B$2500,MATCH($G12,Pledges!$K$5:$K$2500,0))="","",INDEX(Pledges!$B$5:$B$2500,MATCH($G12,Pledges!$K$5:$K$2500,0)))),"⚠ phone not in Pledges"))</f>
      </c>
      <c r="C12" s="30"/>
      <c r="D12" s="31"/>
      <c r="E12" s="32"/>
      <c r="F12" s="29"/>
      <c r="G12">
        <f>IF($A12="","","#"&amp;TRIM(SUBSTITUTE(SUBSTITUTE(SUBSTITUTE(SUBSTITUTE(SUBSTITUTE(SUBSTITUTE($A12,"-",""),"(",""),")",""),".",""),"+","")," ","")))</f>
      </c>
    </row>
    <row r="13" spans="1:7" x14ac:dyDescent="0.3">
      <c r="A13" s="28"/>
      <c r="B13" s="39">
        <f>IF($A13="","",IFERROR(IF(INDEX(Pledges!$D$5:$D$2500,MATCH($G13,Pledges!$K$5:$K$2500,0))="","⚠ no amount on Pledges",IF(INDEX(Pledges!$B$5:$B$2500,MATCH($G13,Pledges!$K$5:$K$2500,0))="","",INDEX(Pledges!$B$5:$B$2500,MATCH($G13,Pledges!$K$5:$K$2500,0)))),"⚠ phone not in Pledges"))</f>
      </c>
      <c r="C13" s="30"/>
      <c r="D13" s="31"/>
      <c r="E13" s="32"/>
      <c r="F13" s="29"/>
      <c r="G13">
        <f>IF($A13="","","#"&amp;TRIM(SUBSTITUTE(SUBSTITUTE(SUBSTITUTE(SUBSTITUTE(SUBSTITUTE(SUBSTITUTE($A13,"-",""),"(",""),")",""),".",""),"+","")," ","")))</f>
      </c>
    </row>
    <row r="14" spans="1:7" x14ac:dyDescent="0.3">
      <c r="A14" s="28"/>
      <c r="B14" s="39">
        <f>IF($A14="","",IFERROR(IF(INDEX(Pledges!$D$5:$D$2500,MATCH($G14,Pledges!$K$5:$K$2500,0))="","⚠ no amount on Pledges",IF(INDEX(Pledges!$B$5:$B$2500,MATCH($G14,Pledges!$K$5:$K$2500,0))="","",INDEX(Pledges!$B$5:$B$2500,MATCH($G14,Pledges!$K$5:$K$2500,0)))),"⚠ phone not in Pledges"))</f>
      </c>
      <c r="C14" s="30"/>
      <c r="D14" s="31"/>
      <c r="E14" s="32"/>
      <c r="F14" s="29"/>
      <c r="G14">
        <f>IF($A14="","","#"&amp;TRIM(SUBSTITUTE(SUBSTITUTE(SUBSTITUTE(SUBSTITUTE(SUBSTITUTE(SUBSTITUTE($A14,"-",""),"(",""),")",""),".",""),"+","")," ","")))</f>
      </c>
    </row>
    <row r="15" spans="1:7" x14ac:dyDescent="0.3">
      <c r="A15" s="28"/>
      <c r="B15" s="39">
        <f>IF($A15="","",IFERROR(IF(INDEX(Pledges!$D$5:$D$2500,MATCH($G15,Pledges!$K$5:$K$2500,0))="","⚠ no amount on Pledges",IF(INDEX(Pledges!$B$5:$B$2500,MATCH($G15,Pledges!$K$5:$K$2500,0))="","",INDEX(Pledges!$B$5:$B$2500,MATCH($G15,Pledges!$K$5:$K$2500,0)))),"⚠ phone not in Pledges"))</f>
      </c>
      <c r="C15" s="30"/>
      <c r="D15" s="31"/>
      <c r="E15" s="32"/>
      <c r="F15" s="29"/>
      <c r="G15">
        <f>IF($A15="","","#"&amp;TRIM(SUBSTITUTE(SUBSTITUTE(SUBSTITUTE(SUBSTITUTE(SUBSTITUTE(SUBSTITUTE($A15,"-",""),"(",""),")",""),".",""),"+","")," ","")))</f>
      </c>
    </row>
    <row r="16" spans="1:7" x14ac:dyDescent="0.3">
      <c r="A16" s="28"/>
      <c r="B16" s="39">
        <f>IF($A16="","",IFERROR(IF(INDEX(Pledges!$D$5:$D$2500,MATCH($G16,Pledges!$K$5:$K$2500,0))="","⚠ no amount on Pledges",IF(INDEX(Pledges!$B$5:$B$2500,MATCH($G16,Pledges!$K$5:$K$2500,0))="","",INDEX(Pledges!$B$5:$B$2500,MATCH($G16,Pledges!$K$5:$K$2500,0)))),"⚠ phone not in Pledges"))</f>
      </c>
      <c r="C16" s="30"/>
      <c r="D16" s="31"/>
      <c r="E16" s="32"/>
      <c r="F16" s="29"/>
      <c r="G16">
        <f>IF($A16="","","#"&amp;TRIM(SUBSTITUTE(SUBSTITUTE(SUBSTITUTE(SUBSTITUTE(SUBSTITUTE(SUBSTITUTE($A16,"-",""),"(",""),")",""),".",""),"+","")," ","")))</f>
      </c>
    </row>
    <row r="17" spans="1:7" x14ac:dyDescent="0.3">
      <c r="A17" s="28"/>
      <c r="B17" s="39">
        <f>IF($A17="","",IFERROR(IF(INDEX(Pledges!$D$5:$D$2500,MATCH($G17,Pledges!$K$5:$K$2500,0))="","⚠ no amount on Pledges",IF(INDEX(Pledges!$B$5:$B$2500,MATCH($G17,Pledges!$K$5:$K$2500,0))="","",INDEX(Pledges!$B$5:$B$2500,MATCH($G17,Pledges!$K$5:$K$2500,0)))),"⚠ phone not in Pledges"))</f>
      </c>
      <c r="C17" s="30"/>
      <c r="D17" s="31"/>
      <c r="E17" s="32"/>
      <c r="F17" s="29"/>
      <c r="G17">
        <f>IF($A17="","","#"&amp;TRIM(SUBSTITUTE(SUBSTITUTE(SUBSTITUTE(SUBSTITUTE(SUBSTITUTE(SUBSTITUTE($A17,"-",""),"(",""),")",""),".",""),"+","")," ","")))</f>
      </c>
    </row>
    <row r="18" spans="1:7" x14ac:dyDescent="0.3">
      <c r="A18" s="28"/>
      <c r="B18" s="39">
        <f>IF($A18="","",IFERROR(IF(INDEX(Pledges!$D$5:$D$2500,MATCH($G18,Pledges!$K$5:$K$2500,0))="","⚠ no amount on Pledges",IF(INDEX(Pledges!$B$5:$B$2500,MATCH($G18,Pledges!$K$5:$K$2500,0))="","",INDEX(Pledges!$B$5:$B$2500,MATCH($G18,Pledges!$K$5:$K$2500,0)))),"⚠ phone not in Pledges"))</f>
      </c>
      <c r="C18" s="30"/>
      <c r="D18" s="31"/>
      <c r="E18" s="32"/>
      <c r="F18" s="29"/>
      <c r="G18">
        <f>IF($A18="","","#"&amp;TRIM(SUBSTITUTE(SUBSTITUTE(SUBSTITUTE(SUBSTITUTE(SUBSTITUTE(SUBSTITUTE($A18,"-",""),"(",""),")",""),".",""),"+","")," ","")))</f>
      </c>
    </row>
    <row r="19" spans="1:7" x14ac:dyDescent="0.3">
      <c r="A19" s="28"/>
      <c r="B19" s="39">
        <f>IF($A19="","",IFERROR(IF(INDEX(Pledges!$D$5:$D$2500,MATCH($G19,Pledges!$K$5:$K$2500,0))="","⚠ no amount on Pledges",IF(INDEX(Pledges!$B$5:$B$2500,MATCH($G19,Pledges!$K$5:$K$2500,0))="","",INDEX(Pledges!$B$5:$B$2500,MATCH($G19,Pledges!$K$5:$K$2500,0)))),"⚠ phone not in Pledges"))</f>
      </c>
      <c r="C19" s="30"/>
      <c r="D19" s="31"/>
      <c r="E19" s="32"/>
      <c r="F19" s="29"/>
      <c r="G19">
        <f>IF($A19="","","#"&amp;TRIM(SUBSTITUTE(SUBSTITUTE(SUBSTITUTE(SUBSTITUTE(SUBSTITUTE(SUBSTITUTE($A19,"-",""),"(",""),")",""),".",""),"+","")," ","")))</f>
      </c>
    </row>
    <row r="20" spans="1:7" x14ac:dyDescent="0.3">
      <c r="A20" s="28"/>
      <c r="B20" s="39">
        <f>IF($A20="","",IFERROR(IF(INDEX(Pledges!$D$5:$D$2500,MATCH($G20,Pledges!$K$5:$K$2500,0))="","⚠ no amount on Pledges",IF(INDEX(Pledges!$B$5:$B$2500,MATCH($G20,Pledges!$K$5:$K$2500,0))="","",INDEX(Pledges!$B$5:$B$2500,MATCH($G20,Pledges!$K$5:$K$2500,0)))),"⚠ phone not in Pledges"))</f>
      </c>
      <c r="C20" s="30"/>
      <c r="D20" s="31"/>
      <c r="E20" s="32"/>
      <c r="F20" s="29"/>
      <c r="G20">
        <f>IF($A20="","","#"&amp;TRIM(SUBSTITUTE(SUBSTITUTE(SUBSTITUTE(SUBSTITUTE(SUBSTITUTE(SUBSTITUTE($A20,"-",""),"(",""),")",""),".",""),"+","")," ","")))</f>
      </c>
    </row>
    <row r="21" spans="1:7" x14ac:dyDescent="0.3">
      <c r="A21" s="28"/>
      <c r="B21" s="39">
        <f>IF($A21="","",IFERROR(IF(INDEX(Pledges!$D$5:$D$2500,MATCH($G21,Pledges!$K$5:$K$2500,0))="","⚠ no amount on Pledges",IF(INDEX(Pledges!$B$5:$B$2500,MATCH($G21,Pledges!$K$5:$K$2500,0))="","",INDEX(Pledges!$B$5:$B$2500,MATCH($G21,Pledges!$K$5:$K$2500,0)))),"⚠ phone not in Pledges"))</f>
      </c>
      <c r="C21" s="30"/>
      <c r="D21" s="31"/>
      <c r="E21" s="32"/>
      <c r="F21" s="29"/>
      <c r="G21">
        <f>IF($A21="","","#"&amp;TRIM(SUBSTITUTE(SUBSTITUTE(SUBSTITUTE(SUBSTITUTE(SUBSTITUTE(SUBSTITUTE($A21,"-",""),"(",""),")",""),".",""),"+","")," ","")))</f>
      </c>
    </row>
    <row r="22" spans="1:7" x14ac:dyDescent="0.3">
      <c r="A22" s="28"/>
      <c r="B22" s="39">
        <f>IF($A22="","",IFERROR(IF(INDEX(Pledges!$D$5:$D$2500,MATCH($G22,Pledges!$K$5:$K$2500,0))="","⚠ no amount on Pledges",IF(INDEX(Pledges!$B$5:$B$2500,MATCH($G22,Pledges!$K$5:$K$2500,0))="","",INDEX(Pledges!$B$5:$B$2500,MATCH($G22,Pledges!$K$5:$K$2500,0)))),"⚠ phone not in Pledges"))</f>
      </c>
      <c r="C22" s="30"/>
      <c r="D22" s="31"/>
      <c r="E22" s="32"/>
      <c r="F22" s="29"/>
      <c r="G22">
        <f>IF($A22="","","#"&amp;TRIM(SUBSTITUTE(SUBSTITUTE(SUBSTITUTE(SUBSTITUTE(SUBSTITUTE(SUBSTITUTE($A22,"-",""),"(",""),")",""),".",""),"+","")," ","")))</f>
      </c>
    </row>
    <row r="23" spans="1:7" x14ac:dyDescent="0.3">
      <c r="A23" s="28"/>
      <c r="B23" s="39">
        <f>IF($A23="","",IFERROR(IF(INDEX(Pledges!$D$5:$D$2500,MATCH($G23,Pledges!$K$5:$K$2500,0))="","⚠ no amount on Pledges",IF(INDEX(Pledges!$B$5:$B$2500,MATCH($G23,Pledges!$K$5:$K$2500,0))="","",INDEX(Pledges!$B$5:$B$2500,MATCH($G23,Pledges!$K$5:$K$2500,0)))),"⚠ phone not in Pledges"))</f>
      </c>
      <c r="C23" s="30"/>
      <c r="D23" s="31"/>
      <c r="E23" s="32"/>
      <c r="F23" s="29"/>
      <c r="G23">
        <f>IF($A23="","","#"&amp;TRIM(SUBSTITUTE(SUBSTITUTE(SUBSTITUTE(SUBSTITUTE(SUBSTITUTE(SUBSTITUTE($A23,"-",""),"(",""),")",""),".",""),"+","")," ","")))</f>
      </c>
    </row>
    <row r="24" spans="1:7" x14ac:dyDescent="0.3">
      <c r="A24" s="28"/>
      <c r="B24" s="39">
        <f>IF($A24="","",IFERROR(IF(INDEX(Pledges!$D$5:$D$2500,MATCH($G24,Pledges!$K$5:$K$2500,0))="","⚠ no amount on Pledges",IF(INDEX(Pledges!$B$5:$B$2500,MATCH($G24,Pledges!$K$5:$K$2500,0))="","",INDEX(Pledges!$B$5:$B$2500,MATCH($G24,Pledges!$K$5:$K$2500,0)))),"⚠ phone not in Pledges"))</f>
      </c>
      <c r="C24" s="30"/>
      <c r="D24" s="31"/>
      <c r="E24" s="32"/>
      <c r="F24" s="29"/>
      <c r="G24">
        <f>IF($A24="","","#"&amp;TRIM(SUBSTITUTE(SUBSTITUTE(SUBSTITUTE(SUBSTITUTE(SUBSTITUTE(SUBSTITUTE($A24,"-",""),"(",""),")",""),".",""),"+","")," ","")))</f>
      </c>
    </row>
    <row r="25" spans="1:7" x14ac:dyDescent="0.3">
      <c r="A25" s="28"/>
      <c r="B25" s="39">
        <f>IF($A25="","",IFERROR(IF(INDEX(Pledges!$D$5:$D$2500,MATCH($G25,Pledges!$K$5:$K$2500,0))="","⚠ no amount on Pledges",IF(INDEX(Pledges!$B$5:$B$2500,MATCH($G25,Pledges!$K$5:$K$2500,0))="","",INDEX(Pledges!$B$5:$B$2500,MATCH($G25,Pledges!$K$5:$K$2500,0)))),"⚠ phone not in Pledges"))</f>
      </c>
      <c r="C25" s="30"/>
      <c r="D25" s="31"/>
      <c r="E25" s="32"/>
      <c r="F25" s="29"/>
      <c r="G25">
        <f>IF($A25="","","#"&amp;TRIM(SUBSTITUTE(SUBSTITUTE(SUBSTITUTE(SUBSTITUTE(SUBSTITUTE(SUBSTITUTE($A25,"-",""),"(",""),")",""),".",""),"+","")," ","")))</f>
      </c>
    </row>
    <row r="26" spans="1:7" x14ac:dyDescent="0.3">
      <c r="A26" s="28"/>
      <c r="B26" s="39">
        <f>IF($A26="","",IFERROR(IF(INDEX(Pledges!$D$5:$D$2500,MATCH($G26,Pledges!$K$5:$K$2500,0))="","⚠ no amount on Pledges",IF(INDEX(Pledges!$B$5:$B$2500,MATCH($G26,Pledges!$K$5:$K$2500,0))="","",INDEX(Pledges!$B$5:$B$2500,MATCH($G26,Pledges!$K$5:$K$2500,0)))),"⚠ phone not in Pledges"))</f>
      </c>
      <c r="C26" s="30"/>
      <c r="D26" s="31"/>
      <c r="E26" s="32"/>
      <c r="F26" s="29"/>
      <c r="G26">
        <f>IF($A26="","","#"&amp;TRIM(SUBSTITUTE(SUBSTITUTE(SUBSTITUTE(SUBSTITUTE(SUBSTITUTE(SUBSTITUTE($A26,"-",""),"(",""),")",""),".",""),"+","")," ","")))</f>
      </c>
    </row>
    <row r="27" spans="1:7" x14ac:dyDescent="0.3">
      <c r="A27" s="28"/>
      <c r="B27" s="39">
        <f>IF($A27="","",IFERROR(IF(INDEX(Pledges!$D$5:$D$2500,MATCH($G27,Pledges!$K$5:$K$2500,0))="","⚠ no amount on Pledges",IF(INDEX(Pledges!$B$5:$B$2500,MATCH($G27,Pledges!$K$5:$K$2500,0))="","",INDEX(Pledges!$B$5:$B$2500,MATCH($G27,Pledges!$K$5:$K$2500,0)))),"⚠ phone not in Pledges"))</f>
      </c>
      <c r="C27" s="30"/>
      <c r="D27" s="31"/>
      <c r="E27" s="32"/>
      <c r="F27" s="29"/>
      <c r="G27">
        <f>IF($A27="","","#"&amp;TRIM(SUBSTITUTE(SUBSTITUTE(SUBSTITUTE(SUBSTITUTE(SUBSTITUTE(SUBSTITUTE($A27,"-",""),"(",""),")",""),".",""),"+","")," ","")))</f>
      </c>
    </row>
    <row r="28" spans="1:7" x14ac:dyDescent="0.3">
      <c r="A28" s="28"/>
      <c r="B28" s="39">
        <f>IF($A28="","",IFERROR(IF(INDEX(Pledges!$D$5:$D$2500,MATCH($G28,Pledges!$K$5:$K$2500,0))="","⚠ no amount on Pledges",IF(INDEX(Pledges!$B$5:$B$2500,MATCH($G28,Pledges!$K$5:$K$2500,0))="","",INDEX(Pledges!$B$5:$B$2500,MATCH($G28,Pledges!$K$5:$K$2500,0)))),"⚠ phone not in Pledges"))</f>
      </c>
      <c r="C28" s="30"/>
      <c r="D28" s="31"/>
      <c r="E28" s="32"/>
      <c r="F28" s="29"/>
      <c r="G28">
        <f>IF($A28="","","#"&amp;TRIM(SUBSTITUTE(SUBSTITUTE(SUBSTITUTE(SUBSTITUTE(SUBSTITUTE(SUBSTITUTE($A28,"-",""),"(",""),")",""),".",""),"+","")," ","")))</f>
      </c>
    </row>
    <row r="29" spans="1:7" x14ac:dyDescent="0.3">
      <c r="A29" s="28"/>
      <c r="B29" s="39">
        <f>IF($A29="","",IFERROR(IF(INDEX(Pledges!$D$5:$D$2500,MATCH($G29,Pledges!$K$5:$K$2500,0))="","⚠ no amount on Pledges",IF(INDEX(Pledges!$B$5:$B$2500,MATCH($G29,Pledges!$K$5:$K$2500,0))="","",INDEX(Pledges!$B$5:$B$2500,MATCH($G29,Pledges!$K$5:$K$2500,0)))),"⚠ phone not in Pledges"))</f>
      </c>
      <c r="C29" s="30"/>
      <c r="D29" s="31"/>
      <c r="E29" s="32"/>
      <c r="F29" s="29"/>
      <c r="G29">
        <f>IF($A29="","","#"&amp;TRIM(SUBSTITUTE(SUBSTITUTE(SUBSTITUTE(SUBSTITUTE(SUBSTITUTE(SUBSTITUTE($A29,"-",""),"(",""),")",""),".",""),"+","")," ","")))</f>
      </c>
    </row>
    <row r="30" spans="1:7" x14ac:dyDescent="0.3">
      <c r="A30" s="28"/>
      <c r="B30" s="39">
        <f>IF($A30="","",IFERROR(IF(INDEX(Pledges!$D$5:$D$2500,MATCH($G30,Pledges!$K$5:$K$2500,0))="","⚠ no amount on Pledges",IF(INDEX(Pledges!$B$5:$B$2500,MATCH($G30,Pledges!$K$5:$K$2500,0))="","",INDEX(Pledges!$B$5:$B$2500,MATCH($G30,Pledges!$K$5:$K$2500,0)))),"⚠ phone not in Pledges"))</f>
      </c>
      <c r="C30" s="30"/>
      <c r="D30" s="31"/>
      <c r="E30" s="32"/>
      <c r="F30" s="29"/>
      <c r="G30">
        <f>IF($A30="","","#"&amp;TRIM(SUBSTITUTE(SUBSTITUTE(SUBSTITUTE(SUBSTITUTE(SUBSTITUTE(SUBSTITUTE($A30,"-",""),"(",""),")",""),".",""),"+","")," ","")))</f>
      </c>
    </row>
    <row r="31" spans="1:7" x14ac:dyDescent="0.3">
      <c r="A31" s="28"/>
      <c r="B31" s="39">
        <f>IF($A31="","",IFERROR(IF(INDEX(Pledges!$D$5:$D$2500,MATCH($G31,Pledges!$K$5:$K$2500,0))="","⚠ no amount on Pledges",IF(INDEX(Pledges!$B$5:$B$2500,MATCH($G31,Pledges!$K$5:$K$2500,0))="","",INDEX(Pledges!$B$5:$B$2500,MATCH($G31,Pledges!$K$5:$K$2500,0)))),"⚠ phone not in Pledges"))</f>
      </c>
      <c r="C31" s="30"/>
      <c r="D31" s="31"/>
      <c r="E31" s="32"/>
      <c r="F31" s="29"/>
      <c r="G31">
        <f>IF($A31="","","#"&amp;TRIM(SUBSTITUTE(SUBSTITUTE(SUBSTITUTE(SUBSTITUTE(SUBSTITUTE(SUBSTITUTE($A31,"-",""),"(",""),")",""),".",""),"+","")," ","")))</f>
      </c>
    </row>
    <row r="32" spans="1:7" x14ac:dyDescent="0.3">
      <c r="A32" s="28"/>
      <c r="B32" s="39">
        <f>IF($A32="","",IFERROR(IF(INDEX(Pledges!$D$5:$D$2500,MATCH($G32,Pledges!$K$5:$K$2500,0))="","⚠ no amount on Pledges",IF(INDEX(Pledges!$B$5:$B$2500,MATCH($G32,Pledges!$K$5:$K$2500,0))="","",INDEX(Pledges!$B$5:$B$2500,MATCH($G32,Pledges!$K$5:$K$2500,0)))),"⚠ phone not in Pledges"))</f>
      </c>
      <c r="C32" s="30"/>
      <c r="D32" s="31"/>
      <c r="E32" s="32"/>
      <c r="F32" s="29"/>
      <c r="G32">
        <f>IF($A32="","","#"&amp;TRIM(SUBSTITUTE(SUBSTITUTE(SUBSTITUTE(SUBSTITUTE(SUBSTITUTE(SUBSTITUTE($A32,"-",""),"(",""),")",""),".",""),"+","")," ","")))</f>
      </c>
    </row>
    <row r="33" spans="1:7" x14ac:dyDescent="0.3">
      <c r="A33" s="28"/>
      <c r="B33" s="39">
        <f>IF($A33="","",IFERROR(IF(INDEX(Pledges!$D$5:$D$2500,MATCH($G33,Pledges!$K$5:$K$2500,0))="","⚠ no amount on Pledges",IF(INDEX(Pledges!$B$5:$B$2500,MATCH($G33,Pledges!$K$5:$K$2500,0))="","",INDEX(Pledges!$B$5:$B$2500,MATCH($G33,Pledges!$K$5:$K$2500,0)))),"⚠ phone not in Pledges"))</f>
      </c>
      <c r="C33" s="30"/>
      <c r="D33" s="31"/>
      <c r="E33" s="32"/>
      <c r="F33" s="29"/>
      <c r="G33">
        <f>IF($A33="","","#"&amp;TRIM(SUBSTITUTE(SUBSTITUTE(SUBSTITUTE(SUBSTITUTE(SUBSTITUTE(SUBSTITUTE($A33,"-",""),"(",""),")",""),".",""),"+","")," ","")))</f>
      </c>
    </row>
    <row r="34" spans="1:7" x14ac:dyDescent="0.3">
      <c r="A34" s="28"/>
      <c r="B34" s="39">
        <f>IF($A34="","",IFERROR(IF(INDEX(Pledges!$D$5:$D$2500,MATCH($G34,Pledges!$K$5:$K$2500,0))="","⚠ no amount on Pledges",IF(INDEX(Pledges!$B$5:$B$2500,MATCH($G34,Pledges!$K$5:$K$2500,0))="","",INDEX(Pledges!$B$5:$B$2500,MATCH($G34,Pledges!$K$5:$K$2500,0)))),"⚠ phone not in Pledges"))</f>
      </c>
      <c r="C34" s="30"/>
      <c r="D34" s="31"/>
      <c r="E34" s="32"/>
      <c r="F34" s="29"/>
      <c r="G34">
        <f>IF($A34="","","#"&amp;TRIM(SUBSTITUTE(SUBSTITUTE(SUBSTITUTE(SUBSTITUTE(SUBSTITUTE(SUBSTITUTE($A34,"-",""),"(",""),")",""),".",""),"+","")," ","")))</f>
      </c>
    </row>
    <row r="35" spans="1:7" x14ac:dyDescent="0.3">
      <c r="A35" s="28"/>
      <c r="B35" s="39">
        <f>IF($A35="","",IFERROR(IF(INDEX(Pledges!$D$5:$D$2500,MATCH($G35,Pledges!$K$5:$K$2500,0))="","⚠ no amount on Pledges",IF(INDEX(Pledges!$B$5:$B$2500,MATCH($G35,Pledges!$K$5:$K$2500,0))="","",INDEX(Pledges!$B$5:$B$2500,MATCH($G35,Pledges!$K$5:$K$2500,0)))),"⚠ phone not in Pledges"))</f>
      </c>
      <c r="C35" s="30"/>
      <c r="D35" s="31"/>
      <c r="E35" s="32"/>
      <c r="F35" s="29"/>
      <c r="G35">
        <f>IF($A35="","","#"&amp;TRIM(SUBSTITUTE(SUBSTITUTE(SUBSTITUTE(SUBSTITUTE(SUBSTITUTE(SUBSTITUTE($A35,"-",""),"(",""),")",""),".",""),"+","")," ","")))</f>
      </c>
    </row>
    <row r="36" spans="1:7" x14ac:dyDescent="0.3">
      <c r="A36" s="28"/>
      <c r="B36" s="39">
        <f>IF($A36="","",IFERROR(IF(INDEX(Pledges!$D$5:$D$2500,MATCH($G36,Pledges!$K$5:$K$2500,0))="","⚠ no amount on Pledges",IF(INDEX(Pledges!$B$5:$B$2500,MATCH($G36,Pledges!$K$5:$K$2500,0))="","",INDEX(Pledges!$B$5:$B$2500,MATCH($G36,Pledges!$K$5:$K$2500,0)))),"⚠ phone not in Pledges"))</f>
      </c>
      <c r="C36" s="30"/>
      <c r="D36" s="31"/>
      <c r="E36" s="32"/>
      <c r="F36" s="29"/>
      <c r="G36">
        <f>IF($A36="","","#"&amp;TRIM(SUBSTITUTE(SUBSTITUTE(SUBSTITUTE(SUBSTITUTE(SUBSTITUTE(SUBSTITUTE($A36,"-",""),"(",""),")",""),".",""),"+","")," ","")))</f>
      </c>
    </row>
    <row r="37" spans="1:7" x14ac:dyDescent="0.3">
      <c r="A37" s="28"/>
      <c r="B37" s="39">
        <f>IF($A37="","",IFERROR(IF(INDEX(Pledges!$D$5:$D$2500,MATCH($G37,Pledges!$K$5:$K$2500,0))="","⚠ no amount on Pledges",IF(INDEX(Pledges!$B$5:$B$2500,MATCH($G37,Pledges!$K$5:$K$2500,0))="","",INDEX(Pledges!$B$5:$B$2500,MATCH($G37,Pledges!$K$5:$K$2500,0)))),"⚠ phone not in Pledges"))</f>
      </c>
      <c r="C37" s="30"/>
      <c r="D37" s="31"/>
      <c r="E37" s="32"/>
      <c r="F37" s="29"/>
      <c r="G37">
        <f>IF($A37="","","#"&amp;TRIM(SUBSTITUTE(SUBSTITUTE(SUBSTITUTE(SUBSTITUTE(SUBSTITUTE(SUBSTITUTE($A37,"-",""),"(",""),")",""),".",""),"+","")," ","")))</f>
      </c>
    </row>
    <row r="38" spans="1:7" x14ac:dyDescent="0.3">
      <c r="A38" s="28"/>
      <c r="B38" s="39">
        <f>IF($A38="","",IFERROR(IF(INDEX(Pledges!$D$5:$D$2500,MATCH($G38,Pledges!$K$5:$K$2500,0))="","⚠ no amount on Pledges",IF(INDEX(Pledges!$B$5:$B$2500,MATCH($G38,Pledges!$K$5:$K$2500,0))="","",INDEX(Pledges!$B$5:$B$2500,MATCH($G38,Pledges!$K$5:$K$2500,0)))),"⚠ phone not in Pledges"))</f>
      </c>
      <c r="C38" s="30"/>
      <c r="D38" s="31"/>
      <c r="E38" s="32"/>
      <c r="F38" s="29"/>
      <c r="G38">
        <f>IF($A38="","","#"&amp;TRIM(SUBSTITUTE(SUBSTITUTE(SUBSTITUTE(SUBSTITUTE(SUBSTITUTE(SUBSTITUTE($A38,"-",""),"(",""),")",""),".",""),"+","")," ","")))</f>
      </c>
    </row>
    <row r="39" spans="1:7" x14ac:dyDescent="0.3">
      <c r="A39" s="28"/>
      <c r="B39" s="39">
        <f>IF($A39="","",IFERROR(IF(INDEX(Pledges!$D$5:$D$2500,MATCH($G39,Pledges!$K$5:$K$2500,0))="","⚠ no amount on Pledges",IF(INDEX(Pledges!$B$5:$B$2500,MATCH($G39,Pledges!$K$5:$K$2500,0))="","",INDEX(Pledges!$B$5:$B$2500,MATCH($G39,Pledges!$K$5:$K$2500,0)))),"⚠ phone not in Pledges"))</f>
      </c>
      <c r="C39" s="30"/>
      <c r="D39" s="31"/>
      <c r="E39" s="32"/>
      <c r="F39" s="29"/>
      <c r="G39">
        <f>IF($A39="","","#"&amp;TRIM(SUBSTITUTE(SUBSTITUTE(SUBSTITUTE(SUBSTITUTE(SUBSTITUTE(SUBSTITUTE($A39,"-",""),"(",""),")",""),".",""),"+","")," ","")))</f>
      </c>
    </row>
    <row r="40" spans="1:7" x14ac:dyDescent="0.3">
      <c r="A40" s="28"/>
      <c r="B40" s="39">
        <f>IF($A40="","",IFERROR(IF(INDEX(Pledges!$D$5:$D$2500,MATCH($G40,Pledges!$K$5:$K$2500,0))="","⚠ no amount on Pledges",IF(INDEX(Pledges!$B$5:$B$2500,MATCH($G40,Pledges!$K$5:$K$2500,0))="","",INDEX(Pledges!$B$5:$B$2500,MATCH($G40,Pledges!$K$5:$K$2500,0)))),"⚠ phone not in Pledges"))</f>
      </c>
      <c r="C40" s="30"/>
      <c r="D40" s="31"/>
      <c r="E40" s="32"/>
      <c r="F40" s="29"/>
      <c r="G40">
        <f>IF($A40="","","#"&amp;TRIM(SUBSTITUTE(SUBSTITUTE(SUBSTITUTE(SUBSTITUTE(SUBSTITUTE(SUBSTITUTE($A40,"-",""),"(",""),")",""),".",""),"+","")," ","")))</f>
      </c>
    </row>
    <row r="41" spans="1:7" x14ac:dyDescent="0.3">
      <c r="A41" s="28"/>
      <c r="B41" s="39">
        <f>IF($A41="","",IFERROR(IF(INDEX(Pledges!$D$5:$D$2500,MATCH($G41,Pledges!$K$5:$K$2500,0))="","⚠ no amount on Pledges",IF(INDEX(Pledges!$B$5:$B$2500,MATCH($G41,Pledges!$K$5:$K$2500,0))="","",INDEX(Pledges!$B$5:$B$2500,MATCH($G41,Pledges!$K$5:$K$2500,0)))),"⚠ phone not in Pledges"))</f>
      </c>
      <c r="C41" s="30"/>
      <c r="D41" s="31"/>
      <c r="E41" s="32"/>
      <c r="F41" s="29"/>
      <c r="G41">
        <f>IF($A41="","","#"&amp;TRIM(SUBSTITUTE(SUBSTITUTE(SUBSTITUTE(SUBSTITUTE(SUBSTITUTE(SUBSTITUTE($A41,"-",""),"(",""),")",""),".",""),"+","")," ","")))</f>
      </c>
    </row>
    <row r="42" spans="1:7" x14ac:dyDescent="0.3">
      <c r="A42" s="28"/>
      <c r="B42" s="39">
        <f>IF($A42="","",IFERROR(IF(INDEX(Pledges!$D$5:$D$2500,MATCH($G42,Pledges!$K$5:$K$2500,0))="","⚠ no amount on Pledges",IF(INDEX(Pledges!$B$5:$B$2500,MATCH($G42,Pledges!$K$5:$K$2500,0))="","",INDEX(Pledges!$B$5:$B$2500,MATCH($G42,Pledges!$K$5:$K$2500,0)))),"⚠ phone not in Pledges"))</f>
      </c>
      <c r="C42" s="30"/>
      <c r="D42" s="31"/>
      <c r="E42" s="32"/>
      <c r="F42" s="29"/>
      <c r="G42">
        <f>IF($A42="","","#"&amp;TRIM(SUBSTITUTE(SUBSTITUTE(SUBSTITUTE(SUBSTITUTE(SUBSTITUTE(SUBSTITUTE($A42,"-",""),"(",""),")",""),".",""),"+","")," ","")))</f>
      </c>
    </row>
    <row r="43" spans="1:7" x14ac:dyDescent="0.3">
      <c r="A43" s="28"/>
      <c r="B43" s="39">
        <f>IF($A43="","",IFERROR(IF(INDEX(Pledges!$D$5:$D$2500,MATCH($G43,Pledges!$K$5:$K$2500,0))="","⚠ no amount on Pledges",IF(INDEX(Pledges!$B$5:$B$2500,MATCH($G43,Pledges!$K$5:$K$2500,0))="","",INDEX(Pledges!$B$5:$B$2500,MATCH($G43,Pledges!$K$5:$K$2500,0)))),"⚠ phone not in Pledges"))</f>
      </c>
      <c r="C43" s="30"/>
      <c r="D43" s="31"/>
      <c r="E43" s="32"/>
      <c r="F43" s="29"/>
      <c r="G43">
        <f>IF($A43="","","#"&amp;TRIM(SUBSTITUTE(SUBSTITUTE(SUBSTITUTE(SUBSTITUTE(SUBSTITUTE(SUBSTITUTE($A43,"-",""),"(",""),")",""),".",""),"+","")," ","")))</f>
      </c>
    </row>
    <row r="44" spans="1:7" x14ac:dyDescent="0.3">
      <c r="A44" s="28"/>
      <c r="B44" s="39">
        <f>IF($A44="","",IFERROR(IF(INDEX(Pledges!$D$5:$D$2500,MATCH($G44,Pledges!$K$5:$K$2500,0))="","⚠ no amount on Pledges",IF(INDEX(Pledges!$B$5:$B$2500,MATCH($G44,Pledges!$K$5:$K$2500,0))="","",INDEX(Pledges!$B$5:$B$2500,MATCH($G44,Pledges!$K$5:$K$2500,0)))),"⚠ phone not in Pledges"))</f>
      </c>
      <c r="C44" s="30"/>
      <c r="D44" s="31"/>
      <c r="E44" s="32"/>
      <c r="F44" s="29"/>
      <c r="G44">
        <f>IF($A44="","","#"&amp;TRIM(SUBSTITUTE(SUBSTITUTE(SUBSTITUTE(SUBSTITUTE(SUBSTITUTE(SUBSTITUTE($A44,"-",""),"(",""),")",""),".",""),"+","")," ","")))</f>
      </c>
    </row>
    <row r="45" spans="1:7" x14ac:dyDescent="0.3">
      <c r="A45" s="28"/>
      <c r="B45" s="39">
        <f>IF($A45="","",IFERROR(IF(INDEX(Pledges!$D$5:$D$2500,MATCH($G45,Pledges!$K$5:$K$2500,0))="","⚠ no amount on Pledges",IF(INDEX(Pledges!$B$5:$B$2500,MATCH($G45,Pledges!$K$5:$K$2500,0))="","",INDEX(Pledges!$B$5:$B$2500,MATCH($G45,Pledges!$K$5:$K$2500,0)))),"⚠ phone not in Pledges"))</f>
      </c>
      <c r="C45" s="30"/>
      <c r="D45" s="31"/>
      <c r="E45" s="32"/>
      <c r="F45" s="29"/>
      <c r="G45">
        <f>IF($A45="","","#"&amp;TRIM(SUBSTITUTE(SUBSTITUTE(SUBSTITUTE(SUBSTITUTE(SUBSTITUTE(SUBSTITUTE($A45,"-",""),"(",""),")",""),".",""),"+","")," ","")))</f>
      </c>
    </row>
    <row r="46" spans="1:7" x14ac:dyDescent="0.3">
      <c r="A46" s="28"/>
      <c r="B46" s="39">
        <f>IF($A46="","",IFERROR(IF(INDEX(Pledges!$D$5:$D$2500,MATCH($G46,Pledges!$K$5:$K$2500,0))="","⚠ no amount on Pledges",IF(INDEX(Pledges!$B$5:$B$2500,MATCH($G46,Pledges!$K$5:$K$2500,0))="","",INDEX(Pledges!$B$5:$B$2500,MATCH($G46,Pledges!$K$5:$K$2500,0)))),"⚠ phone not in Pledges"))</f>
      </c>
      <c r="C46" s="30"/>
      <c r="D46" s="31"/>
      <c r="E46" s="32"/>
      <c r="F46" s="29"/>
      <c r="G46">
        <f>IF($A46="","","#"&amp;TRIM(SUBSTITUTE(SUBSTITUTE(SUBSTITUTE(SUBSTITUTE(SUBSTITUTE(SUBSTITUTE($A46,"-",""),"(",""),")",""),".",""),"+","")," ","")))</f>
      </c>
    </row>
    <row r="47" spans="1:7" x14ac:dyDescent="0.3">
      <c r="A47" s="28"/>
      <c r="B47" s="39">
        <f>IF($A47="","",IFERROR(IF(INDEX(Pledges!$D$5:$D$2500,MATCH($G47,Pledges!$K$5:$K$2500,0))="","⚠ no amount on Pledges",IF(INDEX(Pledges!$B$5:$B$2500,MATCH($G47,Pledges!$K$5:$K$2500,0))="","",INDEX(Pledges!$B$5:$B$2500,MATCH($G47,Pledges!$K$5:$K$2500,0)))),"⚠ phone not in Pledges"))</f>
      </c>
      <c r="C47" s="30"/>
      <c r="D47" s="31"/>
      <c r="E47" s="32"/>
      <c r="F47" s="29"/>
      <c r="G47">
        <f>IF($A47="","","#"&amp;TRIM(SUBSTITUTE(SUBSTITUTE(SUBSTITUTE(SUBSTITUTE(SUBSTITUTE(SUBSTITUTE($A47,"-",""),"(",""),")",""),".",""),"+","")," ","")))</f>
      </c>
    </row>
    <row r="48" spans="1:7" x14ac:dyDescent="0.3">
      <c r="A48" s="28"/>
      <c r="B48" s="39">
        <f>IF($A48="","",IFERROR(IF(INDEX(Pledges!$D$5:$D$2500,MATCH($G48,Pledges!$K$5:$K$2500,0))="","⚠ no amount on Pledges",IF(INDEX(Pledges!$B$5:$B$2500,MATCH($G48,Pledges!$K$5:$K$2500,0))="","",INDEX(Pledges!$B$5:$B$2500,MATCH($G48,Pledges!$K$5:$K$2500,0)))),"⚠ phone not in Pledges"))</f>
      </c>
      <c r="C48" s="30"/>
      <c r="D48" s="31"/>
      <c r="E48" s="32"/>
      <c r="F48" s="29"/>
      <c r="G48">
        <f>IF($A48="","","#"&amp;TRIM(SUBSTITUTE(SUBSTITUTE(SUBSTITUTE(SUBSTITUTE(SUBSTITUTE(SUBSTITUTE($A48,"-",""),"(",""),")",""),".",""),"+","")," ","")))</f>
      </c>
    </row>
    <row r="49" spans="1:7" x14ac:dyDescent="0.3">
      <c r="A49" s="28"/>
      <c r="B49" s="39">
        <f>IF($A49="","",IFERROR(IF(INDEX(Pledges!$D$5:$D$2500,MATCH($G49,Pledges!$K$5:$K$2500,0))="","⚠ no amount on Pledges",IF(INDEX(Pledges!$B$5:$B$2500,MATCH($G49,Pledges!$K$5:$K$2500,0))="","",INDEX(Pledges!$B$5:$B$2500,MATCH($G49,Pledges!$K$5:$K$2500,0)))),"⚠ phone not in Pledges"))</f>
      </c>
      <c r="C49" s="30"/>
      <c r="D49" s="31"/>
      <c r="E49" s="32"/>
      <c r="F49" s="29"/>
      <c r="G49">
        <f>IF($A49="","","#"&amp;TRIM(SUBSTITUTE(SUBSTITUTE(SUBSTITUTE(SUBSTITUTE(SUBSTITUTE(SUBSTITUTE($A49,"-",""),"(",""),")",""),".",""),"+","")," ","")))</f>
      </c>
    </row>
    <row r="50" spans="1:7" x14ac:dyDescent="0.3">
      <c r="A50" s="28"/>
      <c r="B50" s="39">
        <f>IF($A50="","",IFERROR(IF(INDEX(Pledges!$D$5:$D$2500,MATCH($G50,Pledges!$K$5:$K$2500,0))="","⚠ no amount on Pledges",IF(INDEX(Pledges!$B$5:$B$2500,MATCH($G50,Pledges!$K$5:$K$2500,0))="","",INDEX(Pledges!$B$5:$B$2500,MATCH($G50,Pledges!$K$5:$K$2500,0)))),"⚠ phone not in Pledges"))</f>
      </c>
      <c r="C50" s="30"/>
      <c r="D50" s="31"/>
      <c r="E50" s="32"/>
      <c r="F50" s="29"/>
      <c r="G50">
        <f>IF($A50="","","#"&amp;TRIM(SUBSTITUTE(SUBSTITUTE(SUBSTITUTE(SUBSTITUTE(SUBSTITUTE(SUBSTITUTE($A50,"-",""),"(",""),")",""),".",""),"+","")," ","")))</f>
      </c>
    </row>
    <row r="51" spans="1:7" x14ac:dyDescent="0.3">
      <c r="A51" s="28"/>
      <c r="B51" s="39">
        <f>IF($A51="","",IFERROR(IF(INDEX(Pledges!$D$5:$D$2500,MATCH($G51,Pledges!$K$5:$K$2500,0))="","⚠ no amount on Pledges",IF(INDEX(Pledges!$B$5:$B$2500,MATCH($G51,Pledges!$K$5:$K$2500,0))="","",INDEX(Pledges!$B$5:$B$2500,MATCH($G51,Pledges!$K$5:$K$2500,0)))),"⚠ phone not in Pledges"))</f>
      </c>
      <c r="C51" s="30"/>
      <c r="D51" s="31"/>
      <c r="E51" s="32"/>
      <c r="F51" s="29"/>
      <c r="G51">
        <f>IF($A51="","","#"&amp;TRIM(SUBSTITUTE(SUBSTITUTE(SUBSTITUTE(SUBSTITUTE(SUBSTITUTE(SUBSTITUTE($A51,"-",""),"(",""),")",""),".",""),"+","")," ","")))</f>
      </c>
    </row>
    <row r="52" spans="1:7" x14ac:dyDescent="0.3">
      <c r="A52" s="28"/>
      <c r="B52" s="39">
        <f>IF($A52="","",IFERROR(IF(INDEX(Pledges!$D$5:$D$2500,MATCH($G52,Pledges!$K$5:$K$2500,0))="","⚠ no amount on Pledges",IF(INDEX(Pledges!$B$5:$B$2500,MATCH($G52,Pledges!$K$5:$K$2500,0))="","",INDEX(Pledges!$B$5:$B$2500,MATCH($G52,Pledges!$K$5:$K$2500,0)))),"⚠ phone not in Pledges"))</f>
      </c>
      <c r="C52" s="30"/>
      <c r="D52" s="31"/>
      <c r="E52" s="32"/>
      <c r="F52" s="29"/>
      <c r="G52">
        <f>IF($A52="","","#"&amp;TRIM(SUBSTITUTE(SUBSTITUTE(SUBSTITUTE(SUBSTITUTE(SUBSTITUTE(SUBSTITUTE($A52,"-",""),"(",""),")",""),".",""),"+","")," ","")))</f>
      </c>
    </row>
    <row r="53" spans="1:7" x14ac:dyDescent="0.3">
      <c r="A53" s="28"/>
      <c r="B53" s="39">
        <f>IF($A53="","",IFERROR(IF(INDEX(Pledges!$D$5:$D$2500,MATCH($G53,Pledges!$K$5:$K$2500,0))="","⚠ no amount on Pledges",IF(INDEX(Pledges!$B$5:$B$2500,MATCH($G53,Pledges!$K$5:$K$2500,0))="","",INDEX(Pledges!$B$5:$B$2500,MATCH($G53,Pledges!$K$5:$K$2500,0)))),"⚠ phone not in Pledges"))</f>
      </c>
      <c r="C53" s="30"/>
      <c r="D53" s="31"/>
      <c r="E53" s="32"/>
      <c r="F53" s="29"/>
      <c r="G53">
        <f>IF($A53="","","#"&amp;TRIM(SUBSTITUTE(SUBSTITUTE(SUBSTITUTE(SUBSTITUTE(SUBSTITUTE(SUBSTITUTE($A53,"-",""),"(",""),")",""),".",""),"+","")," ","")))</f>
      </c>
    </row>
    <row r="54" spans="1:7" x14ac:dyDescent="0.3">
      <c r="A54" s="28"/>
      <c r="B54" s="39">
        <f>IF($A54="","",IFERROR(IF(INDEX(Pledges!$D$5:$D$2500,MATCH($G54,Pledges!$K$5:$K$2500,0))="","⚠ no amount on Pledges",IF(INDEX(Pledges!$B$5:$B$2500,MATCH($G54,Pledges!$K$5:$K$2500,0))="","",INDEX(Pledges!$B$5:$B$2500,MATCH($G54,Pledges!$K$5:$K$2500,0)))),"⚠ phone not in Pledges"))</f>
      </c>
      <c r="C54" s="30"/>
      <c r="D54" s="31"/>
      <c r="E54" s="32"/>
      <c r="F54" s="29"/>
      <c r="G54">
        <f>IF($A54="","","#"&amp;TRIM(SUBSTITUTE(SUBSTITUTE(SUBSTITUTE(SUBSTITUTE(SUBSTITUTE(SUBSTITUTE($A54,"-",""),"(",""),")",""),".",""),"+","")," ","")))</f>
      </c>
    </row>
    <row r="55" spans="1:7" x14ac:dyDescent="0.3">
      <c r="A55" s="28"/>
      <c r="B55" s="39">
        <f>IF($A55="","",IFERROR(IF(INDEX(Pledges!$D$5:$D$2500,MATCH($G55,Pledges!$K$5:$K$2500,0))="","⚠ no amount on Pledges",IF(INDEX(Pledges!$B$5:$B$2500,MATCH($G55,Pledges!$K$5:$K$2500,0))="","",INDEX(Pledges!$B$5:$B$2500,MATCH($G55,Pledges!$K$5:$K$2500,0)))),"⚠ phone not in Pledges"))</f>
      </c>
      <c r="C55" s="30"/>
      <c r="D55" s="31"/>
      <c r="E55" s="32"/>
      <c r="F55" s="29"/>
      <c r="G55">
        <f>IF($A55="","","#"&amp;TRIM(SUBSTITUTE(SUBSTITUTE(SUBSTITUTE(SUBSTITUTE(SUBSTITUTE(SUBSTITUTE($A55,"-",""),"(",""),")",""),".",""),"+","")," ","")))</f>
      </c>
    </row>
    <row r="56" spans="1:7" x14ac:dyDescent="0.3">
      <c r="A56" s="28"/>
      <c r="B56" s="39">
        <f>IF($A56="","",IFERROR(IF(INDEX(Pledges!$D$5:$D$2500,MATCH($G56,Pledges!$K$5:$K$2500,0))="","⚠ no amount on Pledges",IF(INDEX(Pledges!$B$5:$B$2500,MATCH($G56,Pledges!$K$5:$K$2500,0))="","",INDEX(Pledges!$B$5:$B$2500,MATCH($G56,Pledges!$K$5:$K$2500,0)))),"⚠ phone not in Pledges"))</f>
      </c>
      <c r="C56" s="30"/>
      <c r="D56" s="31"/>
      <c r="E56" s="32"/>
      <c r="F56" s="29"/>
      <c r="G56">
        <f>IF($A56="","","#"&amp;TRIM(SUBSTITUTE(SUBSTITUTE(SUBSTITUTE(SUBSTITUTE(SUBSTITUTE(SUBSTITUTE($A56,"-",""),"(",""),")",""),".",""),"+","")," ","")))</f>
      </c>
    </row>
    <row r="57" spans="1:7" x14ac:dyDescent="0.3">
      <c r="A57" s="28"/>
      <c r="B57" s="39">
        <f>IF($A57="","",IFERROR(IF(INDEX(Pledges!$D$5:$D$2500,MATCH($G57,Pledges!$K$5:$K$2500,0))="","⚠ no amount on Pledges",IF(INDEX(Pledges!$B$5:$B$2500,MATCH($G57,Pledges!$K$5:$K$2500,0))="","",INDEX(Pledges!$B$5:$B$2500,MATCH($G57,Pledges!$K$5:$K$2500,0)))),"⚠ phone not in Pledges"))</f>
      </c>
      <c r="C57" s="30"/>
      <c r="D57" s="31"/>
      <c r="E57" s="32"/>
      <c r="F57" s="29"/>
      <c r="G57">
        <f>IF($A57="","","#"&amp;TRIM(SUBSTITUTE(SUBSTITUTE(SUBSTITUTE(SUBSTITUTE(SUBSTITUTE(SUBSTITUTE($A57,"-",""),"(",""),")",""),".",""),"+","")," ","")))</f>
      </c>
    </row>
    <row r="58" spans="1:7" x14ac:dyDescent="0.3">
      <c r="A58" s="28"/>
      <c r="B58" s="39">
        <f>IF($A58="","",IFERROR(IF(INDEX(Pledges!$D$5:$D$2500,MATCH($G58,Pledges!$K$5:$K$2500,0))="","⚠ no amount on Pledges",IF(INDEX(Pledges!$B$5:$B$2500,MATCH($G58,Pledges!$K$5:$K$2500,0))="","",INDEX(Pledges!$B$5:$B$2500,MATCH($G58,Pledges!$K$5:$K$2500,0)))),"⚠ phone not in Pledges"))</f>
      </c>
      <c r="C58" s="30"/>
      <c r="D58" s="31"/>
      <c r="E58" s="32"/>
      <c r="F58" s="29"/>
      <c r="G58">
        <f>IF($A58="","","#"&amp;TRIM(SUBSTITUTE(SUBSTITUTE(SUBSTITUTE(SUBSTITUTE(SUBSTITUTE(SUBSTITUTE($A58,"-",""),"(",""),")",""),".",""),"+","")," ","")))</f>
      </c>
    </row>
    <row r="59" spans="1:7" x14ac:dyDescent="0.3">
      <c r="A59" s="28"/>
      <c r="B59" s="39">
        <f>IF($A59="","",IFERROR(IF(INDEX(Pledges!$D$5:$D$2500,MATCH($G59,Pledges!$K$5:$K$2500,0))="","⚠ no amount on Pledges",IF(INDEX(Pledges!$B$5:$B$2500,MATCH($G59,Pledges!$K$5:$K$2500,0))="","",INDEX(Pledges!$B$5:$B$2500,MATCH($G59,Pledges!$K$5:$K$2500,0)))),"⚠ phone not in Pledges"))</f>
      </c>
      <c r="C59" s="30"/>
      <c r="D59" s="31"/>
      <c r="E59" s="32"/>
      <c r="F59" s="29"/>
      <c r="G59">
        <f>IF($A59="","","#"&amp;TRIM(SUBSTITUTE(SUBSTITUTE(SUBSTITUTE(SUBSTITUTE(SUBSTITUTE(SUBSTITUTE($A59,"-",""),"(",""),")",""),".",""),"+","")," ","")))</f>
      </c>
    </row>
    <row r="60" spans="1:7" x14ac:dyDescent="0.3">
      <c r="A60" s="28"/>
      <c r="B60" s="39">
        <f>IF($A60="","",IFERROR(IF(INDEX(Pledges!$D$5:$D$2500,MATCH($G60,Pledges!$K$5:$K$2500,0))="","⚠ no amount on Pledges",IF(INDEX(Pledges!$B$5:$B$2500,MATCH($G60,Pledges!$K$5:$K$2500,0))="","",INDEX(Pledges!$B$5:$B$2500,MATCH($G60,Pledges!$K$5:$K$2500,0)))),"⚠ phone not in Pledges"))</f>
      </c>
      <c r="C60" s="30"/>
      <c r="D60" s="31"/>
      <c r="E60" s="32"/>
      <c r="F60" s="29"/>
      <c r="G60">
        <f>IF($A60="","","#"&amp;TRIM(SUBSTITUTE(SUBSTITUTE(SUBSTITUTE(SUBSTITUTE(SUBSTITUTE(SUBSTITUTE($A60,"-",""),"(",""),")",""),".",""),"+","")," ","")))</f>
      </c>
    </row>
    <row r="61" spans="1:7" x14ac:dyDescent="0.3">
      <c r="A61" s="28"/>
      <c r="B61" s="39">
        <f>IF($A61="","",IFERROR(IF(INDEX(Pledges!$D$5:$D$2500,MATCH($G61,Pledges!$K$5:$K$2500,0))="","⚠ no amount on Pledges",IF(INDEX(Pledges!$B$5:$B$2500,MATCH($G61,Pledges!$K$5:$K$2500,0))="","",INDEX(Pledges!$B$5:$B$2500,MATCH($G61,Pledges!$K$5:$K$2500,0)))),"⚠ phone not in Pledges"))</f>
      </c>
      <c r="C61" s="30"/>
      <c r="D61" s="31"/>
      <c r="E61" s="32"/>
      <c r="F61" s="29"/>
      <c r="G61">
        <f>IF($A61="","","#"&amp;TRIM(SUBSTITUTE(SUBSTITUTE(SUBSTITUTE(SUBSTITUTE(SUBSTITUTE(SUBSTITUTE($A61,"-",""),"(",""),")",""),".",""),"+","")," ","")))</f>
      </c>
    </row>
    <row r="62" spans="1:7" x14ac:dyDescent="0.3">
      <c r="A62" s="28"/>
      <c r="B62" s="39">
        <f>IF($A62="","",IFERROR(IF(INDEX(Pledges!$D$5:$D$2500,MATCH($G62,Pledges!$K$5:$K$2500,0))="","⚠ no amount on Pledges",IF(INDEX(Pledges!$B$5:$B$2500,MATCH($G62,Pledges!$K$5:$K$2500,0))="","",INDEX(Pledges!$B$5:$B$2500,MATCH($G62,Pledges!$K$5:$K$2500,0)))),"⚠ phone not in Pledges"))</f>
      </c>
      <c r="C62" s="30"/>
      <c r="D62" s="31"/>
      <c r="E62" s="32"/>
      <c r="F62" s="29"/>
      <c r="G62">
        <f>IF($A62="","","#"&amp;TRIM(SUBSTITUTE(SUBSTITUTE(SUBSTITUTE(SUBSTITUTE(SUBSTITUTE(SUBSTITUTE($A62,"-",""),"(",""),")",""),".",""),"+","")," ","")))</f>
      </c>
    </row>
    <row r="63" spans="1:7" x14ac:dyDescent="0.3">
      <c r="A63" s="28"/>
      <c r="B63" s="39">
        <f>IF($A63="","",IFERROR(IF(INDEX(Pledges!$D$5:$D$2500,MATCH($G63,Pledges!$K$5:$K$2500,0))="","⚠ no amount on Pledges",IF(INDEX(Pledges!$B$5:$B$2500,MATCH($G63,Pledges!$K$5:$K$2500,0))="","",INDEX(Pledges!$B$5:$B$2500,MATCH($G63,Pledges!$K$5:$K$2500,0)))),"⚠ phone not in Pledges"))</f>
      </c>
      <c r="C63" s="30"/>
      <c r="D63" s="31"/>
      <c r="E63" s="32"/>
      <c r="F63" s="29"/>
      <c r="G63">
        <f>IF($A63="","","#"&amp;TRIM(SUBSTITUTE(SUBSTITUTE(SUBSTITUTE(SUBSTITUTE(SUBSTITUTE(SUBSTITUTE($A63,"-",""),"(",""),")",""),".",""),"+","")," ","")))</f>
      </c>
    </row>
    <row r="64" spans="1:7" x14ac:dyDescent="0.3">
      <c r="A64" s="28"/>
      <c r="B64" s="39">
        <f>IF($A64="","",IFERROR(IF(INDEX(Pledges!$D$5:$D$2500,MATCH($G64,Pledges!$K$5:$K$2500,0))="","⚠ no amount on Pledges",IF(INDEX(Pledges!$B$5:$B$2500,MATCH($G64,Pledges!$K$5:$K$2500,0))="","",INDEX(Pledges!$B$5:$B$2500,MATCH($G64,Pledges!$K$5:$K$2500,0)))),"⚠ phone not in Pledges"))</f>
      </c>
      <c r="C64" s="30"/>
      <c r="D64" s="31"/>
      <c r="E64" s="32"/>
      <c r="F64" s="29"/>
      <c r="G64">
        <f>IF($A64="","","#"&amp;TRIM(SUBSTITUTE(SUBSTITUTE(SUBSTITUTE(SUBSTITUTE(SUBSTITUTE(SUBSTITUTE($A64,"-",""),"(",""),")",""),".",""),"+","")," ","")))</f>
      </c>
    </row>
    <row r="65" spans="1:7" x14ac:dyDescent="0.3">
      <c r="A65" s="28"/>
      <c r="B65" s="39">
        <f>IF($A65="","",IFERROR(IF(INDEX(Pledges!$D$5:$D$2500,MATCH($G65,Pledges!$K$5:$K$2500,0))="","⚠ no amount on Pledges",IF(INDEX(Pledges!$B$5:$B$2500,MATCH($G65,Pledges!$K$5:$K$2500,0))="","",INDEX(Pledges!$B$5:$B$2500,MATCH($G65,Pledges!$K$5:$K$2500,0)))),"⚠ phone not in Pledges"))</f>
      </c>
      <c r="C65" s="30"/>
      <c r="D65" s="31"/>
      <c r="E65" s="32"/>
      <c r="F65" s="29"/>
      <c r="G65">
        <f>IF($A65="","","#"&amp;TRIM(SUBSTITUTE(SUBSTITUTE(SUBSTITUTE(SUBSTITUTE(SUBSTITUTE(SUBSTITUTE($A65,"-",""),"(",""),")",""),".",""),"+","")," ","")))</f>
      </c>
    </row>
    <row r="66" spans="1:7" x14ac:dyDescent="0.3">
      <c r="A66" s="28"/>
      <c r="B66" s="39">
        <f>IF($A66="","",IFERROR(IF(INDEX(Pledges!$D$5:$D$2500,MATCH($G66,Pledges!$K$5:$K$2500,0))="","⚠ no amount on Pledges",IF(INDEX(Pledges!$B$5:$B$2500,MATCH($G66,Pledges!$K$5:$K$2500,0))="","",INDEX(Pledges!$B$5:$B$2500,MATCH($G66,Pledges!$K$5:$K$2500,0)))),"⚠ phone not in Pledges"))</f>
      </c>
      <c r="C66" s="30"/>
      <c r="D66" s="31"/>
      <c r="E66" s="32"/>
      <c r="F66" s="29"/>
      <c r="G66">
        <f>IF($A66="","","#"&amp;TRIM(SUBSTITUTE(SUBSTITUTE(SUBSTITUTE(SUBSTITUTE(SUBSTITUTE(SUBSTITUTE($A66,"-",""),"(",""),")",""),".",""),"+","")," ","")))</f>
      </c>
    </row>
    <row r="67" spans="1:7" x14ac:dyDescent="0.3">
      <c r="A67" s="28"/>
      <c r="B67" s="39">
        <f>IF($A67="","",IFERROR(IF(INDEX(Pledges!$D$5:$D$2500,MATCH($G67,Pledges!$K$5:$K$2500,0))="","⚠ no amount on Pledges",IF(INDEX(Pledges!$B$5:$B$2500,MATCH($G67,Pledges!$K$5:$K$2500,0))="","",INDEX(Pledges!$B$5:$B$2500,MATCH($G67,Pledges!$K$5:$K$2500,0)))),"⚠ phone not in Pledges"))</f>
      </c>
      <c r="C67" s="30"/>
      <c r="D67" s="31"/>
      <c r="E67" s="32"/>
      <c r="F67" s="29"/>
      <c r="G67">
        <f>IF($A67="","","#"&amp;TRIM(SUBSTITUTE(SUBSTITUTE(SUBSTITUTE(SUBSTITUTE(SUBSTITUTE(SUBSTITUTE($A67,"-",""),"(",""),")",""),".",""),"+","")," ","")))</f>
      </c>
    </row>
    <row r="68" spans="1:7" x14ac:dyDescent="0.3">
      <c r="A68" s="28"/>
      <c r="B68" s="39">
        <f>IF($A68="","",IFERROR(IF(INDEX(Pledges!$D$5:$D$2500,MATCH($G68,Pledges!$K$5:$K$2500,0))="","⚠ no amount on Pledges",IF(INDEX(Pledges!$B$5:$B$2500,MATCH($G68,Pledges!$K$5:$K$2500,0))="","",INDEX(Pledges!$B$5:$B$2500,MATCH($G68,Pledges!$K$5:$K$2500,0)))),"⚠ phone not in Pledges"))</f>
      </c>
      <c r="C68" s="30"/>
      <c r="D68" s="31"/>
      <c r="E68" s="32"/>
      <c r="F68" s="29"/>
      <c r="G68">
        <f>IF($A68="","","#"&amp;TRIM(SUBSTITUTE(SUBSTITUTE(SUBSTITUTE(SUBSTITUTE(SUBSTITUTE(SUBSTITUTE($A68,"-",""),"(",""),")",""),".",""),"+","")," ","")))</f>
      </c>
    </row>
    <row r="69" spans="1:7" x14ac:dyDescent="0.3">
      <c r="A69" s="28"/>
      <c r="B69" s="39">
        <f>IF($A69="","",IFERROR(IF(INDEX(Pledges!$D$5:$D$2500,MATCH($G69,Pledges!$K$5:$K$2500,0))="","⚠ no amount on Pledges",IF(INDEX(Pledges!$B$5:$B$2500,MATCH($G69,Pledges!$K$5:$K$2500,0))="","",INDEX(Pledges!$B$5:$B$2500,MATCH($G69,Pledges!$K$5:$K$2500,0)))),"⚠ phone not in Pledges"))</f>
      </c>
      <c r="C69" s="30"/>
      <c r="D69" s="31"/>
      <c r="E69" s="32"/>
      <c r="F69" s="29"/>
      <c r="G69">
        <f>IF($A69="","","#"&amp;TRIM(SUBSTITUTE(SUBSTITUTE(SUBSTITUTE(SUBSTITUTE(SUBSTITUTE(SUBSTITUTE($A69,"-",""),"(",""),")",""),".",""),"+","")," ","")))</f>
      </c>
    </row>
    <row r="70" spans="1:7" x14ac:dyDescent="0.3">
      <c r="A70" s="28"/>
      <c r="B70" s="39">
        <f>IF($A70="","",IFERROR(IF(INDEX(Pledges!$D$5:$D$2500,MATCH($G70,Pledges!$K$5:$K$2500,0))="","⚠ no amount on Pledges",IF(INDEX(Pledges!$B$5:$B$2500,MATCH($G70,Pledges!$K$5:$K$2500,0))="","",INDEX(Pledges!$B$5:$B$2500,MATCH($G70,Pledges!$K$5:$K$2500,0)))),"⚠ phone not in Pledges"))</f>
      </c>
      <c r="C70" s="30"/>
      <c r="D70" s="31"/>
      <c r="E70" s="32"/>
      <c r="F70" s="29"/>
      <c r="G70">
        <f>IF($A70="","","#"&amp;TRIM(SUBSTITUTE(SUBSTITUTE(SUBSTITUTE(SUBSTITUTE(SUBSTITUTE(SUBSTITUTE($A70,"-",""),"(",""),")",""),".",""),"+","")," ","")))</f>
      </c>
    </row>
    <row r="71" spans="1:7" x14ac:dyDescent="0.3">
      <c r="A71" s="28"/>
      <c r="B71" s="39">
        <f>IF($A71="","",IFERROR(IF(INDEX(Pledges!$D$5:$D$2500,MATCH($G71,Pledges!$K$5:$K$2500,0))="","⚠ no amount on Pledges",IF(INDEX(Pledges!$B$5:$B$2500,MATCH($G71,Pledges!$K$5:$K$2500,0))="","",INDEX(Pledges!$B$5:$B$2500,MATCH($G71,Pledges!$K$5:$K$2500,0)))),"⚠ phone not in Pledges"))</f>
      </c>
      <c r="C71" s="30"/>
      <c r="D71" s="31"/>
      <c r="E71" s="32"/>
      <c r="F71" s="29"/>
      <c r="G71">
        <f>IF($A71="","","#"&amp;TRIM(SUBSTITUTE(SUBSTITUTE(SUBSTITUTE(SUBSTITUTE(SUBSTITUTE(SUBSTITUTE($A71,"-",""),"(",""),")",""),".",""),"+","")," ","")))</f>
      </c>
    </row>
    <row r="72" spans="1:7" x14ac:dyDescent="0.3">
      <c r="A72" s="28"/>
      <c r="B72" s="39">
        <f>IF($A72="","",IFERROR(IF(INDEX(Pledges!$D$5:$D$2500,MATCH($G72,Pledges!$K$5:$K$2500,0))="","⚠ no amount on Pledges",IF(INDEX(Pledges!$B$5:$B$2500,MATCH($G72,Pledges!$K$5:$K$2500,0))="","",INDEX(Pledges!$B$5:$B$2500,MATCH($G72,Pledges!$K$5:$K$2500,0)))),"⚠ phone not in Pledges"))</f>
      </c>
      <c r="C72" s="30"/>
      <c r="D72" s="31"/>
      <c r="E72" s="32"/>
      <c r="F72" s="29"/>
      <c r="G72">
        <f>IF($A72="","","#"&amp;TRIM(SUBSTITUTE(SUBSTITUTE(SUBSTITUTE(SUBSTITUTE(SUBSTITUTE(SUBSTITUTE($A72,"-",""),"(",""),")",""),".",""),"+","")," ","")))</f>
      </c>
    </row>
    <row r="73" spans="1:7" x14ac:dyDescent="0.3">
      <c r="A73" s="28"/>
      <c r="B73" s="39">
        <f>IF($A73="","",IFERROR(IF(INDEX(Pledges!$D$5:$D$2500,MATCH($G73,Pledges!$K$5:$K$2500,0))="","⚠ no amount on Pledges",IF(INDEX(Pledges!$B$5:$B$2500,MATCH($G73,Pledges!$K$5:$K$2500,0))="","",INDEX(Pledges!$B$5:$B$2500,MATCH($G73,Pledges!$K$5:$K$2500,0)))),"⚠ phone not in Pledges"))</f>
      </c>
      <c r="C73" s="30"/>
      <c r="D73" s="31"/>
      <c r="E73" s="32"/>
      <c r="F73" s="29"/>
      <c r="G73">
        <f>IF($A73="","","#"&amp;TRIM(SUBSTITUTE(SUBSTITUTE(SUBSTITUTE(SUBSTITUTE(SUBSTITUTE(SUBSTITUTE($A73,"-",""),"(",""),")",""),".",""),"+","")," ","")))</f>
      </c>
    </row>
    <row r="74" spans="1:7" x14ac:dyDescent="0.3">
      <c r="A74" s="28"/>
      <c r="B74" s="39">
        <f>IF($A74="","",IFERROR(IF(INDEX(Pledges!$D$5:$D$2500,MATCH($G74,Pledges!$K$5:$K$2500,0))="","⚠ no amount on Pledges",IF(INDEX(Pledges!$B$5:$B$2500,MATCH($G74,Pledges!$K$5:$K$2500,0))="","",INDEX(Pledges!$B$5:$B$2500,MATCH($G74,Pledges!$K$5:$K$2500,0)))),"⚠ phone not in Pledges"))</f>
      </c>
      <c r="C74" s="30"/>
      <c r="D74" s="31"/>
      <c r="E74" s="32"/>
      <c r="F74" s="29"/>
      <c r="G74">
        <f>IF($A74="","","#"&amp;TRIM(SUBSTITUTE(SUBSTITUTE(SUBSTITUTE(SUBSTITUTE(SUBSTITUTE(SUBSTITUTE($A74,"-",""),"(",""),")",""),".",""),"+","")," ","")))</f>
      </c>
    </row>
    <row r="75" spans="1:7" x14ac:dyDescent="0.3">
      <c r="A75" s="28"/>
      <c r="B75" s="39">
        <f>IF($A75="","",IFERROR(IF(INDEX(Pledges!$D$5:$D$2500,MATCH($G75,Pledges!$K$5:$K$2500,0))="","⚠ no amount on Pledges",IF(INDEX(Pledges!$B$5:$B$2500,MATCH($G75,Pledges!$K$5:$K$2500,0))="","",INDEX(Pledges!$B$5:$B$2500,MATCH($G75,Pledges!$K$5:$K$2500,0)))),"⚠ phone not in Pledges"))</f>
      </c>
      <c r="C75" s="30"/>
      <c r="D75" s="31"/>
      <c r="E75" s="32"/>
      <c r="F75" s="29"/>
      <c r="G75">
        <f>IF($A75="","","#"&amp;TRIM(SUBSTITUTE(SUBSTITUTE(SUBSTITUTE(SUBSTITUTE(SUBSTITUTE(SUBSTITUTE($A75,"-",""),"(",""),")",""),".",""),"+","")," ","")))</f>
      </c>
    </row>
    <row r="76" spans="1:7" x14ac:dyDescent="0.3">
      <c r="A76" s="28"/>
      <c r="B76" s="39">
        <f>IF($A76="","",IFERROR(IF(INDEX(Pledges!$D$5:$D$2500,MATCH($G76,Pledges!$K$5:$K$2500,0))="","⚠ no amount on Pledges",IF(INDEX(Pledges!$B$5:$B$2500,MATCH($G76,Pledges!$K$5:$K$2500,0))="","",INDEX(Pledges!$B$5:$B$2500,MATCH($G76,Pledges!$K$5:$K$2500,0)))),"⚠ phone not in Pledges"))</f>
      </c>
      <c r="C76" s="30"/>
      <c r="D76" s="31"/>
      <c r="E76" s="32"/>
      <c r="F76" s="29"/>
      <c r="G76">
        <f>IF($A76="","","#"&amp;TRIM(SUBSTITUTE(SUBSTITUTE(SUBSTITUTE(SUBSTITUTE(SUBSTITUTE(SUBSTITUTE($A76,"-",""),"(",""),")",""),".",""),"+","")," ","")))</f>
      </c>
    </row>
    <row r="77" spans="1:7" x14ac:dyDescent="0.3">
      <c r="A77" s="28"/>
      <c r="B77" s="39">
        <f>IF($A77="","",IFERROR(IF(INDEX(Pledges!$D$5:$D$2500,MATCH($G77,Pledges!$K$5:$K$2500,0))="","⚠ no amount on Pledges",IF(INDEX(Pledges!$B$5:$B$2500,MATCH($G77,Pledges!$K$5:$K$2500,0))="","",INDEX(Pledges!$B$5:$B$2500,MATCH($G77,Pledges!$K$5:$K$2500,0)))),"⚠ phone not in Pledges"))</f>
      </c>
      <c r="C77" s="30"/>
      <c r="D77" s="31"/>
      <c r="E77" s="32"/>
      <c r="F77" s="29"/>
      <c r="G77">
        <f>IF($A77="","","#"&amp;TRIM(SUBSTITUTE(SUBSTITUTE(SUBSTITUTE(SUBSTITUTE(SUBSTITUTE(SUBSTITUTE($A77,"-",""),"(",""),")",""),".",""),"+","")," ","")))</f>
      </c>
    </row>
    <row r="78" spans="1:7" x14ac:dyDescent="0.3">
      <c r="A78" s="28"/>
      <c r="B78" s="39">
        <f>IF($A78="","",IFERROR(IF(INDEX(Pledges!$D$5:$D$2500,MATCH($G78,Pledges!$K$5:$K$2500,0))="","⚠ no amount on Pledges",IF(INDEX(Pledges!$B$5:$B$2500,MATCH($G78,Pledges!$K$5:$K$2500,0))="","",INDEX(Pledges!$B$5:$B$2500,MATCH($G78,Pledges!$K$5:$K$2500,0)))),"⚠ phone not in Pledges"))</f>
      </c>
      <c r="C78" s="30"/>
      <c r="D78" s="31"/>
      <c r="E78" s="32"/>
      <c r="F78" s="29"/>
      <c r="G78">
        <f>IF($A78="","","#"&amp;TRIM(SUBSTITUTE(SUBSTITUTE(SUBSTITUTE(SUBSTITUTE(SUBSTITUTE(SUBSTITUTE($A78,"-",""),"(",""),")",""),".",""),"+","")," ","")))</f>
      </c>
    </row>
    <row r="79" spans="1:7" x14ac:dyDescent="0.3">
      <c r="A79" s="28"/>
      <c r="B79" s="39">
        <f>IF($A79="","",IFERROR(IF(INDEX(Pledges!$D$5:$D$2500,MATCH($G79,Pledges!$K$5:$K$2500,0))="","⚠ no amount on Pledges",IF(INDEX(Pledges!$B$5:$B$2500,MATCH($G79,Pledges!$K$5:$K$2500,0))="","",INDEX(Pledges!$B$5:$B$2500,MATCH($G79,Pledges!$K$5:$K$2500,0)))),"⚠ phone not in Pledges"))</f>
      </c>
      <c r="C79" s="30"/>
      <c r="D79" s="31"/>
      <c r="E79" s="32"/>
      <c r="F79" s="29"/>
      <c r="G79">
        <f>IF($A79="","","#"&amp;TRIM(SUBSTITUTE(SUBSTITUTE(SUBSTITUTE(SUBSTITUTE(SUBSTITUTE(SUBSTITUTE($A79,"-",""),"(",""),")",""),".",""),"+","")," ","")))</f>
      </c>
    </row>
    <row r="80" spans="1:7" x14ac:dyDescent="0.3">
      <c r="A80" s="28"/>
      <c r="B80" s="39">
        <f>IF($A80="","",IFERROR(IF(INDEX(Pledges!$D$5:$D$2500,MATCH($G80,Pledges!$K$5:$K$2500,0))="","⚠ no amount on Pledges",IF(INDEX(Pledges!$B$5:$B$2500,MATCH($G80,Pledges!$K$5:$K$2500,0))="","",INDEX(Pledges!$B$5:$B$2500,MATCH($G80,Pledges!$K$5:$K$2500,0)))),"⚠ phone not in Pledges"))</f>
      </c>
      <c r="C80" s="30"/>
      <c r="D80" s="31"/>
      <c r="E80" s="32"/>
      <c r="F80" s="29"/>
      <c r="G80">
        <f>IF($A80="","","#"&amp;TRIM(SUBSTITUTE(SUBSTITUTE(SUBSTITUTE(SUBSTITUTE(SUBSTITUTE(SUBSTITUTE($A80,"-",""),"(",""),")",""),".",""),"+","")," ","")))</f>
      </c>
    </row>
    <row r="81" spans="1:7" x14ac:dyDescent="0.3">
      <c r="A81" s="28"/>
      <c r="B81" s="39">
        <f>IF($A81="","",IFERROR(IF(INDEX(Pledges!$D$5:$D$2500,MATCH($G81,Pledges!$K$5:$K$2500,0))="","⚠ no amount on Pledges",IF(INDEX(Pledges!$B$5:$B$2500,MATCH($G81,Pledges!$K$5:$K$2500,0))="","",INDEX(Pledges!$B$5:$B$2500,MATCH($G81,Pledges!$K$5:$K$2500,0)))),"⚠ phone not in Pledges"))</f>
      </c>
      <c r="C81" s="30"/>
      <c r="D81" s="31"/>
      <c r="E81" s="32"/>
      <c r="F81" s="29"/>
      <c r="G81">
        <f>IF($A81="","","#"&amp;TRIM(SUBSTITUTE(SUBSTITUTE(SUBSTITUTE(SUBSTITUTE(SUBSTITUTE(SUBSTITUTE($A81,"-",""),"(",""),")",""),".",""),"+","")," ","")))</f>
      </c>
    </row>
    <row r="82" spans="1:7" x14ac:dyDescent="0.3">
      <c r="A82" s="28"/>
      <c r="B82" s="39">
        <f>IF($A82="","",IFERROR(IF(INDEX(Pledges!$D$5:$D$2500,MATCH($G82,Pledges!$K$5:$K$2500,0))="","⚠ no amount on Pledges",IF(INDEX(Pledges!$B$5:$B$2500,MATCH($G82,Pledges!$K$5:$K$2500,0))="","",INDEX(Pledges!$B$5:$B$2500,MATCH($G82,Pledges!$K$5:$K$2500,0)))),"⚠ phone not in Pledges"))</f>
      </c>
      <c r="C82" s="30"/>
      <c r="D82" s="31"/>
      <c r="E82" s="32"/>
      <c r="F82" s="29"/>
      <c r="G82">
        <f>IF($A82="","","#"&amp;TRIM(SUBSTITUTE(SUBSTITUTE(SUBSTITUTE(SUBSTITUTE(SUBSTITUTE(SUBSTITUTE($A82,"-",""),"(",""),")",""),".",""),"+","")," ","")))</f>
      </c>
    </row>
    <row r="83" spans="1:7" x14ac:dyDescent="0.3">
      <c r="A83" s="28"/>
      <c r="B83" s="39">
        <f>IF($A83="","",IFERROR(IF(INDEX(Pledges!$D$5:$D$2500,MATCH($G83,Pledges!$K$5:$K$2500,0))="","⚠ no amount on Pledges",IF(INDEX(Pledges!$B$5:$B$2500,MATCH($G83,Pledges!$K$5:$K$2500,0))="","",INDEX(Pledges!$B$5:$B$2500,MATCH($G83,Pledges!$K$5:$K$2500,0)))),"⚠ phone not in Pledges"))</f>
      </c>
      <c r="C83" s="30"/>
      <c r="D83" s="31"/>
      <c r="E83" s="32"/>
      <c r="F83" s="29"/>
      <c r="G83">
        <f>IF($A83="","","#"&amp;TRIM(SUBSTITUTE(SUBSTITUTE(SUBSTITUTE(SUBSTITUTE(SUBSTITUTE(SUBSTITUTE($A83,"-",""),"(",""),")",""),".",""),"+","")," ","")))</f>
      </c>
    </row>
    <row r="84" spans="1:7" x14ac:dyDescent="0.3">
      <c r="A84" s="28"/>
      <c r="B84" s="39">
        <f>IF($A84="","",IFERROR(IF(INDEX(Pledges!$D$5:$D$2500,MATCH($G84,Pledges!$K$5:$K$2500,0))="","⚠ no amount on Pledges",IF(INDEX(Pledges!$B$5:$B$2500,MATCH($G84,Pledges!$K$5:$K$2500,0))="","",INDEX(Pledges!$B$5:$B$2500,MATCH($G84,Pledges!$K$5:$K$2500,0)))),"⚠ phone not in Pledges"))</f>
      </c>
      <c r="C84" s="30"/>
      <c r="D84" s="31"/>
      <c r="E84" s="32"/>
      <c r="F84" s="29"/>
      <c r="G84">
        <f>IF($A84="","","#"&amp;TRIM(SUBSTITUTE(SUBSTITUTE(SUBSTITUTE(SUBSTITUTE(SUBSTITUTE(SUBSTITUTE($A84,"-",""),"(",""),")",""),".",""),"+","")," ","")))</f>
      </c>
    </row>
    <row r="85" spans="1:7" x14ac:dyDescent="0.3">
      <c r="A85" s="28"/>
      <c r="B85" s="39">
        <f>IF($A85="","",IFERROR(IF(INDEX(Pledges!$D$5:$D$2500,MATCH($G85,Pledges!$K$5:$K$2500,0))="","⚠ no amount on Pledges",IF(INDEX(Pledges!$B$5:$B$2500,MATCH($G85,Pledges!$K$5:$K$2500,0))="","",INDEX(Pledges!$B$5:$B$2500,MATCH($G85,Pledges!$K$5:$K$2500,0)))),"⚠ phone not in Pledges"))</f>
      </c>
      <c r="C85" s="30"/>
      <c r="D85" s="31"/>
      <c r="E85" s="32"/>
      <c r="F85" s="29"/>
      <c r="G85">
        <f>IF($A85="","","#"&amp;TRIM(SUBSTITUTE(SUBSTITUTE(SUBSTITUTE(SUBSTITUTE(SUBSTITUTE(SUBSTITUTE($A85,"-",""),"(",""),")",""),".",""),"+","")," ","")))</f>
      </c>
    </row>
    <row r="86" spans="1:7" x14ac:dyDescent="0.3">
      <c r="A86" s="28"/>
      <c r="B86" s="39">
        <f>IF($A86="","",IFERROR(IF(INDEX(Pledges!$D$5:$D$2500,MATCH($G86,Pledges!$K$5:$K$2500,0))="","⚠ no amount on Pledges",IF(INDEX(Pledges!$B$5:$B$2500,MATCH($G86,Pledges!$K$5:$K$2500,0))="","",INDEX(Pledges!$B$5:$B$2500,MATCH($G86,Pledges!$K$5:$K$2500,0)))),"⚠ phone not in Pledges"))</f>
      </c>
      <c r="C86" s="30"/>
      <c r="D86" s="31"/>
      <c r="E86" s="32"/>
      <c r="F86" s="29"/>
      <c r="G86">
        <f>IF($A86="","","#"&amp;TRIM(SUBSTITUTE(SUBSTITUTE(SUBSTITUTE(SUBSTITUTE(SUBSTITUTE(SUBSTITUTE($A86,"-",""),"(",""),")",""),".",""),"+","")," ","")))</f>
      </c>
    </row>
    <row r="87" spans="1:7" x14ac:dyDescent="0.3">
      <c r="A87" s="28"/>
      <c r="B87" s="39">
        <f>IF($A87="","",IFERROR(IF(INDEX(Pledges!$D$5:$D$2500,MATCH($G87,Pledges!$K$5:$K$2500,0))="","⚠ no amount on Pledges",IF(INDEX(Pledges!$B$5:$B$2500,MATCH($G87,Pledges!$K$5:$K$2500,0))="","",INDEX(Pledges!$B$5:$B$2500,MATCH($G87,Pledges!$K$5:$K$2500,0)))),"⚠ phone not in Pledges"))</f>
      </c>
      <c r="C87" s="30"/>
      <c r="D87" s="31"/>
      <c r="E87" s="32"/>
      <c r="F87" s="29"/>
      <c r="G87">
        <f>IF($A87="","","#"&amp;TRIM(SUBSTITUTE(SUBSTITUTE(SUBSTITUTE(SUBSTITUTE(SUBSTITUTE(SUBSTITUTE($A87,"-",""),"(",""),")",""),".",""),"+","")," ","")))</f>
      </c>
    </row>
    <row r="88" spans="1:7" x14ac:dyDescent="0.3">
      <c r="A88" s="28"/>
      <c r="B88" s="39">
        <f>IF($A88="","",IFERROR(IF(INDEX(Pledges!$D$5:$D$2500,MATCH($G88,Pledges!$K$5:$K$2500,0))="","⚠ no amount on Pledges",IF(INDEX(Pledges!$B$5:$B$2500,MATCH($G88,Pledges!$K$5:$K$2500,0))="","",INDEX(Pledges!$B$5:$B$2500,MATCH($G88,Pledges!$K$5:$K$2500,0)))),"⚠ phone not in Pledges"))</f>
      </c>
      <c r="C88" s="30"/>
      <c r="D88" s="31"/>
      <c r="E88" s="32"/>
      <c r="F88" s="29"/>
      <c r="G88">
        <f>IF($A88="","","#"&amp;TRIM(SUBSTITUTE(SUBSTITUTE(SUBSTITUTE(SUBSTITUTE(SUBSTITUTE(SUBSTITUTE($A88,"-",""),"(",""),")",""),".",""),"+","")," ","")))</f>
      </c>
    </row>
    <row r="89" spans="1:7" x14ac:dyDescent="0.3">
      <c r="A89" s="28"/>
      <c r="B89" s="39">
        <f>IF($A89="","",IFERROR(IF(INDEX(Pledges!$D$5:$D$2500,MATCH($G89,Pledges!$K$5:$K$2500,0))="","⚠ no amount on Pledges",IF(INDEX(Pledges!$B$5:$B$2500,MATCH($G89,Pledges!$K$5:$K$2500,0))="","",INDEX(Pledges!$B$5:$B$2500,MATCH($G89,Pledges!$K$5:$K$2500,0)))),"⚠ phone not in Pledges"))</f>
      </c>
      <c r="C89" s="30"/>
      <c r="D89" s="31"/>
      <c r="E89" s="32"/>
      <c r="F89" s="29"/>
      <c r="G89">
        <f>IF($A89="","","#"&amp;TRIM(SUBSTITUTE(SUBSTITUTE(SUBSTITUTE(SUBSTITUTE(SUBSTITUTE(SUBSTITUTE($A89,"-",""),"(",""),")",""),".",""),"+","")," ","")))</f>
      </c>
    </row>
    <row r="90" spans="1:7" x14ac:dyDescent="0.3">
      <c r="A90" s="28"/>
      <c r="B90" s="39">
        <f>IF($A90="","",IFERROR(IF(INDEX(Pledges!$D$5:$D$2500,MATCH($G90,Pledges!$K$5:$K$2500,0))="","⚠ no amount on Pledges",IF(INDEX(Pledges!$B$5:$B$2500,MATCH($G90,Pledges!$K$5:$K$2500,0))="","",INDEX(Pledges!$B$5:$B$2500,MATCH($G90,Pledges!$K$5:$K$2500,0)))),"⚠ phone not in Pledges"))</f>
      </c>
      <c r="C90" s="30"/>
      <c r="D90" s="31"/>
      <c r="E90" s="32"/>
      <c r="F90" s="29"/>
      <c r="G90">
        <f>IF($A90="","","#"&amp;TRIM(SUBSTITUTE(SUBSTITUTE(SUBSTITUTE(SUBSTITUTE(SUBSTITUTE(SUBSTITUTE($A90,"-",""),"(",""),")",""),".",""),"+","")," ","")))</f>
      </c>
    </row>
    <row r="91" spans="1:7" x14ac:dyDescent="0.3">
      <c r="A91" s="28"/>
      <c r="B91" s="39">
        <f>IF($A91="","",IFERROR(IF(INDEX(Pledges!$D$5:$D$2500,MATCH($G91,Pledges!$K$5:$K$2500,0))="","⚠ no amount on Pledges",IF(INDEX(Pledges!$B$5:$B$2500,MATCH($G91,Pledges!$K$5:$K$2500,0))="","",INDEX(Pledges!$B$5:$B$2500,MATCH($G91,Pledges!$K$5:$K$2500,0)))),"⚠ phone not in Pledges"))</f>
      </c>
      <c r="C91" s="30"/>
      <c r="D91" s="31"/>
      <c r="E91" s="32"/>
      <c r="F91" s="29"/>
      <c r="G91">
        <f>IF($A91="","","#"&amp;TRIM(SUBSTITUTE(SUBSTITUTE(SUBSTITUTE(SUBSTITUTE(SUBSTITUTE(SUBSTITUTE($A91,"-",""),"(",""),")",""),".",""),"+","")," ","")))</f>
      </c>
    </row>
    <row r="92" spans="1:7" x14ac:dyDescent="0.3">
      <c r="A92" s="28"/>
      <c r="B92" s="39">
        <f>IF($A92="","",IFERROR(IF(INDEX(Pledges!$D$5:$D$2500,MATCH($G92,Pledges!$K$5:$K$2500,0))="","⚠ no amount on Pledges",IF(INDEX(Pledges!$B$5:$B$2500,MATCH($G92,Pledges!$K$5:$K$2500,0))="","",INDEX(Pledges!$B$5:$B$2500,MATCH($G92,Pledges!$K$5:$K$2500,0)))),"⚠ phone not in Pledges"))</f>
      </c>
      <c r="C92" s="30"/>
      <c r="D92" s="31"/>
      <c r="E92" s="32"/>
      <c r="F92" s="29"/>
      <c r="G92">
        <f>IF($A92="","","#"&amp;TRIM(SUBSTITUTE(SUBSTITUTE(SUBSTITUTE(SUBSTITUTE(SUBSTITUTE(SUBSTITUTE($A92,"-",""),"(",""),")",""),".",""),"+","")," ","")))</f>
      </c>
    </row>
    <row r="93" spans="1:7" x14ac:dyDescent="0.3">
      <c r="A93" s="28"/>
      <c r="B93" s="39">
        <f>IF($A93="","",IFERROR(IF(INDEX(Pledges!$D$5:$D$2500,MATCH($G93,Pledges!$K$5:$K$2500,0))="","⚠ no amount on Pledges",IF(INDEX(Pledges!$B$5:$B$2500,MATCH($G93,Pledges!$K$5:$K$2500,0))="","",INDEX(Pledges!$B$5:$B$2500,MATCH($G93,Pledges!$K$5:$K$2500,0)))),"⚠ phone not in Pledges"))</f>
      </c>
      <c r="C93" s="30"/>
      <c r="D93" s="31"/>
      <c r="E93" s="32"/>
      <c r="F93" s="29"/>
      <c r="G93">
        <f>IF($A93="","","#"&amp;TRIM(SUBSTITUTE(SUBSTITUTE(SUBSTITUTE(SUBSTITUTE(SUBSTITUTE(SUBSTITUTE($A93,"-",""),"(",""),")",""),".",""),"+","")," ","")))</f>
      </c>
    </row>
    <row r="94" spans="1:7" x14ac:dyDescent="0.3">
      <c r="A94" s="28"/>
      <c r="B94" s="39">
        <f>IF($A94="","",IFERROR(IF(INDEX(Pledges!$D$5:$D$2500,MATCH($G94,Pledges!$K$5:$K$2500,0))="","⚠ no amount on Pledges",IF(INDEX(Pledges!$B$5:$B$2500,MATCH($G94,Pledges!$K$5:$K$2500,0))="","",INDEX(Pledges!$B$5:$B$2500,MATCH($G94,Pledges!$K$5:$K$2500,0)))),"⚠ phone not in Pledges"))</f>
      </c>
      <c r="C94" s="30"/>
      <c r="D94" s="31"/>
      <c r="E94" s="32"/>
      <c r="F94" s="29"/>
      <c r="G94">
        <f>IF($A94="","","#"&amp;TRIM(SUBSTITUTE(SUBSTITUTE(SUBSTITUTE(SUBSTITUTE(SUBSTITUTE(SUBSTITUTE($A94,"-",""),"(",""),")",""),".",""),"+","")," ","")))</f>
      </c>
    </row>
    <row r="95" spans="1:7" x14ac:dyDescent="0.3">
      <c r="A95" s="28"/>
      <c r="B95" s="39">
        <f>IF($A95="","",IFERROR(IF(INDEX(Pledges!$D$5:$D$2500,MATCH($G95,Pledges!$K$5:$K$2500,0))="","⚠ no amount on Pledges",IF(INDEX(Pledges!$B$5:$B$2500,MATCH($G95,Pledges!$K$5:$K$2500,0))="","",INDEX(Pledges!$B$5:$B$2500,MATCH($G95,Pledges!$K$5:$K$2500,0)))),"⚠ phone not in Pledges"))</f>
      </c>
      <c r="C95" s="30"/>
      <c r="D95" s="31"/>
      <c r="E95" s="32"/>
      <c r="F95" s="29"/>
      <c r="G95">
        <f>IF($A95="","","#"&amp;TRIM(SUBSTITUTE(SUBSTITUTE(SUBSTITUTE(SUBSTITUTE(SUBSTITUTE(SUBSTITUTE($A95,"-",""),"(",""),")",""),".",""),"+","")," ","")))</f>
      </c>
    </row>
    <row r="96" spans="1:7" x14ac:dyDescent="0.3">
      <c r="A96" s="28"/>
      <c r="B96" s="39">
        <f>IF($A96="","",IFERROR(IF(INDEX(Pledges!$D$5:$D$2500,MATCH($G96,Pledges!$K$5:$K$2500,0))="","⚠ no amount on Pledges",IF(INDEX(Pledges!$B$5:$B$2500,MATCH($G96,Pledges!$K$5:$K$2500,0))="","",INDEX(Pledges!$B$5:$B$2500,MATCH($G96,Pledges!$K$5:$K$2500,0)))),"⚠ phone not in Pledges"))</f>
      </c>
      <c r="C96" s="30"/>
      <c r="D96" s="31"/>
      <c r="E96" s="32"/>
      <c r="F96" s="29"/>
      <c r="G96">
        <f>IF($A96="","","#"&amp;TRIM(SUBSTITUTE(SUBSTITUTE(SUBSTITUTE(SUBSTITUTE(SUBSTITUTE(SUBSTITUTE($A96,"-",""),"(",""),")",""),".",""),"+","")," ","")))</f>
      </c>
    </row>
    <row r="97" spans="1:7" x14ac:dyDescent="0.3">
      <c r="A97" s="28"/>
      <c r="B97" s="39">
        <f>IF($A97="","",IFERROR(IF(INDEX(Pledges!$D$5:$D$2500,MATCH($G97,Pledges!$K$5:$K$2500,0))="","⚠ no amount on Pledges",IF(INDEX(Pledges!$B$5:$B$2500,MATCH($G97,Pledges!$K$5:$K$2500,0))="","",INDEX(Pledges!$B$5:$B$2500,MATCH($G97,Pledges!$K$5:$K$2500,0)))),"⚠ phone not in Pledges"))</f>
      </c>
      <c r="C97" s="30"/>
      <c r="D97" s="31"/>
      <c r="E97" s="32"/>
      <c r="F97" s="29"/>
      <c r="G97">
        <f>IF($A97="","","#"&amp;TRIM(SUBSTITUTE(SUBSTITUTE(SUBSTITUTE(SUBSTITUTE(SUBSTITUTE(SUBSTITUTE($A97,"-",""),"(",""),")",""),".",""),"+","")," ","")))</f>
      </c>
    </row>
    <row r="98" spans="1:7" x14ac:dyDescent="0.3">
      <c r="A98" s="28"/>
      <c r="B98" s="39">
        <f>IF($A98="","",IFERROR(IF(INDEX(Pledges!$D$5:$D$2500,MATCH($G98,Pledges!$K$5:$K$2500,0))="","⚠ no amount on Pledges",IF(INDEX(Pledges!$B$5:$B$2500,MATCH($G98,Pledges!$K$5:$K$2500,0))="","",INDEX(Pledges!$B$5:$B$2500,MATCH($G98,Pledges!$K$5:$K$2500,0)))),"⚠ phone not in Pledges"))</f>
      </c>
      <c r="C98" s="30"/>
      <c r="D98" s="31"/>
      <c r="E98" s="32"/>
      <c r="F98" s="29"/>
      <c r="G98">
        <f>IF($A98="","","#"&amp;TRIM(SUBSTITUTE(SUBSTITUTE(SUBSTITUTE(SUBSTITUTE(SUBSTITUTE(SUBSTITUTE($A98,"-",""),"(",""),")",""),".",""),"+","")," ","")))</f>
      </c>
    </row>
    <row r="99" spans="1:7" x14ac:dyDescent="0.3">
      <c r="A99" s="28"/>
      <c r="B99" s="39">
        <f>IF($A99="","",IFERROR(IF(INDEX(Pledges!$D$5:$D$2500,MATCH($G99,Pledges!$K$5:$K$2500,0))="","⚠ no amount on Pledges",IF(INDEX(Pledges!$B$5:$B$2500,MATCH($G99,Pledges!$K$5:$K$2500,0))="","",INDEX(Pledges!$B$5:$B$2500,MATCH($G99,Pledges!$K$5:$K$2500,0)))),"⚠ phone not in Pledges"))</f>
      </c>
      <c r="C99" s="30"/>
      <c r="D99" s="31"/>
      <c r="E99" s="32"/>
      <c r="F99" s="29"/>
      <c r="G99">
        <f>IF($A99="","","#"&amp;TRIM(SUBSTITUTE(SUBSTITUTE(SUBSTITUTE(SUBSTITUTE(SUBSTITUTE(SUBSTITUTE($A99,"-",""),"(",""),")",""),".",""),"+","")," ","")))</f>
      </c>
    </row>
    <row r="100" spans="1:7" x14ac:dyDescent="0.3">
      <c r="A100" s="28"/>
      <c r="B100" s="39">
        <f>IF($A100="","",IFERROR(IF(INDEX(Pledges!$D$5:$D$2500,MATCH($G100,Pledges!$K$5:$K$2500,0))="","⚠ no amount on Pledges",IF(INDEX(Pledges!$B$5:$B$2500,MATCH($G100,Pledges!$K$5:$K$2500,0))="","",INDEX(Pledges!$B$5:$B$2500,MATCH($G100,Pledges!$K$5:$K$2500,0)))),"⚠ phone not in Pledges"))</f>
      </c>
      <c r="C100" s="30"/>
      <c r="D100" s="31"/>
      <c r="E100" s="32"/>
      <c r="F100" s="29"/>
      <c r="G100">
        <f>IF($A100="","","#"&amp;TRIM(SUBSTITUTE(SUBSTITUTE(SUBSTITUTE(SUBSTITUTE(SUBSTITUTE(SUBSTITUTE($A100,"-",""),"(",""),")",""),".",""),"+","")," ","")))</f>
      </c>
    </row>
    <row r="101" spans="1:7" x14ac:dyDescent="0.3">
      <c r="A101" s="28"/>
      <c r="B101" s="39">
        <f>IF($A101="","",IFERROR(IF(INDEX(Pledges!$D$5:$D$2500,MATCH($G101,Pledges!$K$5:$K$2500,0))="","⚠ no amount on Pledges",IF(INDEX(Pledges!$B$5:$B$2500,MATCH($G101,Pledges!$K$5:$K$2500,0))="","",INDEX(Pledges!$B$5:$B$2500,MATCH($G101,Pledges!$K$5:$K$2500,0)))),"⚠ phone not in Pledges"))</f>
      </c>
      <c r="C101" s="30"/>
      <c r="D101" s="31"/>
      <c r="E101" s="32"/>
      <c r="F101" s="29"/>
      <c r="G101">
        <f>IF($A101="","","#"&amp;TRIM(SUBSTITUTE(SUBSTITUTE(SUBSTITUTE(SUBSTITUTE(SUBSTITUTE(SUBSTITUTE($A101,"-",""),"(",""),")",""),".",""),"+","")," ","")))</f>
      </c>
    </row>
    <row r="102" spans="1:7" x14ac:dyDescent="0.3">
      <c r="A102" s="28"/>
      <c r="B102" s="39">
        <f>IF($A102="","",IFERROR(IF(INDEX(Pledges!$D$5:$D$2500,MATCH($G102,Pledges!$K$5:$K$2500,0))="","⚠ no amount on Pledges",IF(INDEX(Pledges!$B$5:$B$2500,MATCH($G102,Pledges!$K$5:$K$2500,0))="","",INDEX(Pledges!$B$5:$B$2500,MATCH($G102,Pledges!$K$5:$K$2500,0)))),"⚠ phone not in Pledges"))</f>
      </c>
      <c r="C102" s="30"/>
      <c r="D102" s="31"/>
      <c r="E102" s="32"/>
      <c r="F102" s="29"/>
      <c r="G102">
        <f>IF($A102="","","#"&amp;TRIM(SUBSTITUTE(SUBSTITUTE(SUBSTITUTE(SUBSTITUTE(SUBSTITUTE(SUBSTITUTE($A102,"-",""),"(",""),")",""),".",""),"+","")," ","")))</f>
      </c>
    </row>
    <row r="103" spans="1:7" x14ac:dyDescent="0.3">
      <c r="A103" s="28"/>
      <c r="B103" s="39">
        <f>IF($A103="","",IFERROR(IF(INDEX(Pledges!$D$5:$D$2500,MATCH($G103,Pledges!$K$5:$K$2500,0))="","⚠ no amount on Pledges",IF(INDEX(Pledges!$B$5:$B$2500,MATCH($G103,Pledges!$K$5:$K$2500,0))="","",INDEX(Pledges!$B$5:$B$2500,MATCH($G103,Pledges!$K$5:$K$2500,0)))),"⚠ phone not in Pledges"))</f>
      </c>
      <c r="C103" s="30"/>
      <c r="D103" s="31"/>
      <c r="E103" s="32"/>
      <c r="F103" s="29"/>
      <c r="G103">
        <f>IF($A103="","","#"&amp;TRIM(SUBSTITUTE(SUBSTITUTE(SUBSTITUTE(SUBSTITUTE(SUBSTITUTE(SUBSTITUTE($A103,"-",""),"(",""),")",""),".",""),"+","")," ","")))</f>
      </c>
    </row>
    <row r="104" spans="1:7" x14ac:dyDescent="0.3">
      <c r="A104" s="28"/>
      <c r="B104" s="39">
        <f>IF($A104="","",IFERROR(IF(INDEX(Pledges!$D$5:$D$2500,MATCH($G104,Pledges!$K$5:$K$2500,0))="","⚠ no amount on Pledges",IF(INDEX(Pledges!$B$5:$B$2500,MATCH($G104,Pledges!$K$5:$K$2500,0))="","",INDEX(Pledges!$B$5:$B$2500,MATCH($G104,Pledges!$K$5:$K$2500,0)))),"⚠ phone not in Pledges"))</f>
      </c>
      <c r="C104" s="30"/>
      <c r="D104" s="31"/>
      <c r="E104" s="32"/>
      <c r="F104" s="29"/>
      <c r="G104">
        <f>IF($A104="","","#"&amp;TRIM(SUBSTITUTE(SUBSTITUTE(SUBSTITUTE(SUBSTITUTE(SUBSTITUTE(SUBSTITUTE($A104,"-",""),"(",""),")",""),".",""),"+","")," ","")))</f>
      </c>
    </row>
    <row r="105" spans="1:7" x14ac:dyDescent="0.3">
      <c r="A105" s="28"/>
      <c r="B105" s="39">
        <f>IF($A105="","",IFERROR(IF(INDEX(Pledges!$D$5:$D$2500,MATCH($G105,Pledges!$K$5:$K$2500,0))="","⚠ no amount on Pledges",IF(INDEX(Pledges!$B$5:$B$2500,MATCH($G105,Pledges!$K$5:$K$2500,0))="","",INDEX(Pledges!$B$5:$B$2500,MATCH($G105,Pledges!$K$5:$K$2500,0)))),"⚠ phone not in Pledges"))</f>
      </c>
      <c r="C105" s="30"/>
      <c r="D105" s="31"/>
      <c r="E105" s="32"/>
      <c r="F105" s="29"/>
      <c r="G105">
        <f>IF($A105="","","#"&amp;TRIM(SUBSTITUTE(SUBSTITUTE(SUBSTITUTE(SUBSTITUTE(SUBSTITUTE(SUBSTITUTE($A105,"-",""),"(",""),")",""),".",""),"+","")," ","")))</f>
      </c>
    </row>
    <row r="106" spans="1:7" x14ac:dyDescent="0.3">
      <c r="A106" s="28"/>
      <c r="B106" s="39">
        <f>IF($A106="","",IFERROR(IF(INDEX(Pledges!$D$5:$D$2500,MATCH($G106,Pledges!$K$5:$K$2500,0))="","⚠ no amount on Pledges",IF(INDEX(Pledges!$B$5:$B$2500,MATCH($G106,Pledges!$K$5:$K$2500,0))="","",INDEX(Pledges!$B$5:$B$2500,MATCH($G106,Pledges!$K$5:$K$2500,0)))),"⚠ phone not in Pledges"))</f>
      </c>
      <c r="C106" s="30"/>
      <c r="D106" s="31"/>
      <c r="E106" s="32"/>
      <c r="F106" s="29"/>
      <c r="G106">
        <f>IF($A106="","","#"&amp;TRIM(SUBSTITUTE(SUBSTITUTE(SUBSTITUTE(SUBSTITUTE(SUBSTITUTE(SUBSTITUTE($A106,"-",""),"(",""),")",""),".",""),"+","")," ","")))</f>
      </c>
    </row>
    <row r="107" spans="1:7" x14ac:dyDescent="0.3">
      <c r="A107" s="28"/>
      <c r="B107" s="39">
        <f>IF($A107="","",IFERROR(IF(INDEX(Pledges!$D$5:$D$2500,MATCH($G107,Pledges!$K$5:$K$2500,0))="","⚠ no amount on Pledges",IF(INDEX(Pledges!$B$5:$B$2500,MATCH($G107,Pledges!$K$5:$K$2500,0))="","",INDEX(Pledges!$B$5:$B$2500,MATCH($G107,Pledges!$K$5:$K$2500,0)))),"⚠ phone not in Pledges"))</f>
      </c>
      <c r="C107" s="30"/>
      <c r="D107" s="31"/>
      <c r="E107" s="32"/>
      <c r="F107" s="29"/>
      <c r="G107">
        <f>IF($A107="","","#"&amp;TRIM(SUBSTITUTE(SUBSTITUTE(SUBSTITUTE(SUBSTITUTE(SUBSTITUTE(SUBSTITUTE($A107,"-",""),"(",""),")",""),".",""),"+","")," ","")))</f>
      </c>
    </row>
    <row r="108" spans="1:7" x14ac:dyDescent="0.3">
      <c r="A108" s="28"/>
      <c r="B108" s="39">
        <f>IF($A108="","",IFERROR(IF(INDEX(Pledges!$D$5:$D$2500,MATCH($G108,Pledges!$K$5:$K$2500,0))="","⚠ no amount on Pledges",IF(INDEX(Pledges!$B$5:$B$2500,MATCH($G108,Pledges!$K$5:$K$2500,0))="","",INDEX(Pledges!$B$5:$B$2500,MATCH($G108,Pledges!$K$5:$K$2500,0)))),"⚠ phone not in Pledges"))</f>
      </c>
      <c r="C108" s="30"/>
      <c r="D108" s="31"/>
      <c r="E108" s="32"/>
      <c r="F108" s="29"/>
      <c r="G108">
        <f>IF($A108="","","#"&amp;TRIM(SUBSTITUTE(SUBSTITUTE(SUBSTITUTE(SUBSTITUTE(SUBSTITUTE(SUBSTITUTE($A108,"-",""),"(",""),")",""),".",""),"+","")," ","")))</f>
      </c>
    </row>
    <row r="109" spans="1:7" x14ac:dyDescent="0.3">
      <c r="A109" s="28"/>
      <c r="B109" s="39">
        <f>IF($A109="","",IFERROR(IF(INDEX(Pledges!$D$5:$D$2500,MATCH($G109,Pledges!$K$5:$K$2500,0))="","⚠ no amount on Pledges",IF(INDEX(Pledges!$B$5:$B$2500,MATCH($G109,Pledges!$K$5:$K$2500,0))="","",INDEX(Pledges!$B$5:$B$2500,MATCH($G109,Pledges!$K$5:$K$2500,0)))),"⚠ phone not in Pledges"))</f>
      </c>
      <c r="C109" s="30"/>
      <c r="D109" s="31"/>
      <c r="E109" s="32"/>
      <c r="F109" s="29"/>
      <c r="G109">
        <f>IF($A109="","","#"&amp;TRIM(SUBSTITUTE(SUBSTITUTE(SUBSTITUTE(SUBSTITUTE(SUBSTITUTE(SUBSTITUTE($A109,"-",""),"(",""),")",""),".",""),"+","")," ","")))</f>
      </c>
    </row>
    <row r="110" spans="1:7" x14ac:dyDescent="0.3">
      <c r="A110" s="28"/>
      <c r="B110" s="39">
        <f>IF($A110="","",IFERROR(IF(INDEX(Pledges!$D$5:$D$2500,MATCH($G110,Pledges!$K$5:$K$2500,0))="","⚠ no amount on Pledges",IF(INDEX(Pledges!$B$5:$B$2500,MATCH($G110,Pledges!$K$5:$K$2500,0))="","",INDEX(Pledges!$B$5:$B$2500,MATCH($G110,Pledges!$K$5:$K$2500,0)))),"⚠ phone not in Pledges"))</f>
      </c>
      <c r="C110" s="30"/>
      <c r="D110" s="31"/>
      <c r="E110" s="32"/>
      <c r="F110" s="29"/>
      <c r="G110">
        <f>IF($A110="","","#"&amp;TRIM(SUBSTITUTE(SUBSTITUTE(SUBSTITUTE(SUBSTITUTE(SUBSTITUTE(SUBSTITUTE($A110,"-",""),"(",""),")",""),".",""),"+","")," ","")))</f>
      </c>
    </row>
    <row r="111" spans="1:7" x14ac:dyDescent="0.3">
      <c r="A111" s="28"/>
      <c r="B111" s="39">
        <f>IF($A111="","",IFERROR(IF(INDEX(Pledges!$D$5:$D$2500,MATCH($G111,Pledges!$K$5:$K$2500,0))="","⚠ no amount on Pledges",IF(INDEX(Pledges!$B$5:$B$2500,MATCH($G111,Pledges!$K$5:$K$2500,0))="","",INDEX(Pledges!$B$5:$B$2500,MATCH($G111,Pledges!$K$5:$K$2500,0)))),"⚠ phone not in Pledges"))</f>
      </c>
      <c r="C111" s="30"/>
      <c r="D111" s="31"/>
      <c r="E111" s="32"/>
      <c r="F111" s="29"/>
      <c r="G111">
        <f>IF($A111="","","#"&amp;TRIM(SUBSTITUTE(SUBSTITUTE(SUBSTITUTE(SUBSTITUTE(SUBSTITUTE(SUBSTITUTE($A111,"-",""),"(",""),")",""),".",""),"+","")," ","")))</f>
      </c>
    </row>
    <row r="112" spans="1:7" x14ac:dyDescent="0.3">
      <c r="A112" s="28"/>
      <c r="B112" s="39">
        <f>IF($A112="","",IFERROR(IF(INDEX(Pledges!$D$5:$D$2500,MATCH($G112,Pledges!$K$5:$K$2500,0))="","⚠ no amount on Pledges",IF(INDEX(Pledges!$B$5:$B$2500,MATCH($G112,Pledges!$K$5:$K$2500,0))="","",INDEX(Pledges!$B$5:$B$2500,MATCH($G112,Pledges!$K$5:$K$2500,0)))),"⚠ phone not in Pledges"))</f>
      </c>
      <c r="C112" s="30"/>
      <c r="D112" s="31"/>
      <c r="E112" s="32"/>
      <c r="F112" s="29"/>
      <c r="G112">
        <f>IF($A112="","","#"&amp;TRIM(SUBSTITUTE(SUBSTITUTE(SUBSTITUTE(SUBSTITUTE(SUBSTITUTE(SUBSTITUTE($A112,"-",""),"(",""),")",""),".",""),"+","")," ","")))</f>
      </c>
    </row>
    <row r="113" spans="1:7" x14ac:dyDescent="0.3">
      <c r="A113" s="28"/>
      <c r="B113" s="39">
        <f>IF($A113="","",IFERROR(IF(INDEX(Pledges!$D$5:$D$2500,MATCH($G113,Pledges!$K$5:$K$2500,0))="","⚠ no amount on Pledges",IF(INDEX(Pledges!$B$5:$B$2500,MATCH($G113,Pledges!$K$5:$K$2500,0))="","",INDEX(Pledges!$B$5:$B$2500,MATCH($G113,Pledges!$K$5:$K$2500,0)))),"⚠ phone not in Pledges"))</f>
      </c>
      <c r="C113" s="30"/>
      <c r="D113" s="31"/>
      <c r="E113" s="32"/>
      <c r="F113" s="29"/>
      <c r="G113">
        <f>IF($A113="","","#"&amp;TRIM(SUBSTITUTE(SUBSTITUTE(SUBSTITUTE(SUBSTITUTE(SUBSTITUTE(SUBSTITUTE($A113,"-",""),"(",""),")",""),".",""),"+","")," ","")))</f>
      </c>
    </row>
    <row r="114" spans="1:7" x14ac:dyDescent="0.3">
      <c r="A114" s="28"/>
      <c r="B114" s="39">
        <f>IF($A114="","",IFERROR(IF(INDEX(Pledges!$D$5:$D$2500,MATCH($G114,Pledges!$K$5:$K$2500,0))="","⚠ no amount on Pledges",IF(INDEX(Pledges!$B$5:$B$2500,MATCH($G114,Pledges!$K$5:$K$2500,0))="","",INDEX(Pledges!$B$5:$B$2500,MATCH($G114,Pledges!$K$5:$K$2500,0)))),"⚠ phone not in Pledges"))</f>
      </c>
      <c r="C114" s="30"/>
      <c r="D114" s="31"/>
      <c r="E114" s="32"/>
      <c r="F114" s="29"/>
      <c r="G114">
        <f>IF($A114="","","#"&amp;TRIM(SUBSTITUTE(SUBSTITUTE(SUBSTITUTE(SUBSTITUTE(SUBSTITUTE(SUBSTITUTE($A114,"-",""),"(",""),")",""),".",""),"+","")," ","")))</f>
      </c>
    </row>
    <row r="115" spans="1:7" x14ac:dyDescent="0.3">
      <c r="A115" s="28"/>
      <c r="B115" s="39">
        <f>IF($A115="","",IFERROR(IF(INDEX(Pledges!$D$5:$D$2500,MATCH($G115,Pledges!$K$5:$K$2500,0))="","⚠ no amount on Pledges",IF(INDEX(Pledges!$B$5:$B$2500,MATCH($G115,Pledges!$K$5:$K$2500,0))="","",INDEX(Pledges!$B$5:$B$2500,MATCH($G115,Pledges!$K$5:$K$2500,0)))),"⚠ phone not in Pledges"))</f>
      </c>
      <c r="C115" s="30"/>
      <c r="D115" s="31"/>
      <c r="E115" s="32"/>
      <c r="F115" s="29"/>
      <c r="G115">
        <f>IF($A115="","","#"&amp;TRIM(SUBSTITUTE(SUBSTITUTE(SUBSTITUTE(SUBSTITUTE(SUBSTITUTE(SUBSTITUTE($A115,"-",""),"(",""),")",""),".",""),"+","")," ","")))</f>
      </c>
    </row>
    <row r="116" spans="1:7" x14ac:dyDescent="0.3">
      <c r="A116" s="28"/>
      <c r="B116" s="39">
        <f>IF($A116="","",IFERROR(IF(INDEX(Pledges!$D$5:$D$2500,MATCH($G116,Pledges!$K$5:$K$2500,0))="","⚠ no amount on Pledges",IF(INDEX(Pledges!$B$5:$B$2500,MATCH($G116,Pledges!$K$5:$K$2500,0))="","",INDEX(Pledges!$B$5:$B$2500,MATCH($G116,Pledges!$K$5:$K$2500,0)))),"⚠ phone not in Pledges"))</f>
      </c>
      <c r="C116" s="30"/>
      <c r="D116" s="31"/>
      <c r="E116" s="32"/>
      <c r="F116" s="29"/>
      <c r="G116">
        <f>IF($A116="","","#"&amp;TRIM(SUBSTITUTE(SUBSTITUTE(SUBSTITUTE(SUBSTITUTE(SUBSTITUTE(SUBSTITUTE($A116,"-",""),"(",""),")",""),".",""),"+","")," ","")))</f>
      </c>
    </row>
    <row r="117" spans="1:7" x14ac:dyDescent="0.3">
      <c r="A117" s="28"/>
      <c r="B117" s="39">
        <f>IF($A117="","",IFERROR(IF(INDEX(Pledges!$D$5:$D$2500,MATCH($G117,Pledges!$K$5:$K$2500,0))="","⚠ no amount on Pledges",IF(INDEX(Pledges!$B$5:$B$2500,MATCH($G117,Pledges!$K$5:$K$2500,0))="","",INDEX(Pledges!$B$5:$B$2500,MATCH($G117,Pledges!$K$5:$K$2500,0)))),"⚠ phone not in Pledges"))</f>
      </c>
      <c r="C117" s="30"/>
      <c r="D117" s="31"/>
      <c r="E117" s="32"/>
      <c r="F117" s="29"/>
      <c r="G117">
        <f>IF($A117="","","#"&amp;TRIM(SUBSTITUTE(SUBSTITUTE(SUBSTITUTE(SUBSTITUTE(SUBSTITUTE(SUBSTITUTE($A117,"-",""),"(",""),")",""),".",""),"+","")," ","")))</f>
      </c>
    </row>
    <row r="118" spans="1:7" x14ac:dyDescent="0.3">
      <c r="A118" s="28"/>
      <c r="B118" s="39">
        <f>IF($A118="","",IFERROR(IF(INDEX(Pledges!$D$5:$D$2500,MATCH($G118,Pledges!$K$5:$K$2500,0))="","⚠ no amount on Pledges",IF(INDEX(Pledges!$B$5:$B$2500,MATCH($G118,Pledges!$K$5:$K$2500,0))="","",INDEX(Pledges!$B$5:$B$2500,MATCH($G118,Pledges!$K$5:$K$2500,0)))),"⚠ phone not in Pledges"))</f>
      </c>
      <c r="C118" s="30"/>
      <c r="D118" s="31"/>
      <c r="E118" s="32"/>
      <c r="F118" s="29"/>
      <c r="G118">
        <f>IF($A118="","","#"&amp;TRIM(SUBSTITUTE(SUBSTITUTE(SUBSTITUTE(SUBSTITUTE(SUBSTITUTE(SUBSTITUTE($A118,"-",""),"(",""),")",""),".",""),"+","")," ","")))</f>
      </c>
    </row>
    <row r="119" spans="1:7" x14ac:dyDescent="0.3">
      <c r="A119" s="28"/>
      <c r="B119" s="39">
        <f>IF($A119="","",IFERROR(IF(INDEX(Pledges!$D$5:$D$2500,MATCH($G119,Pledges!$K$5:$K$2500,0))="","⚠ no amount on Pledges",IF(INDEX(Pledges!$B$5:$B$2500,MATCH($G119,Pledges!$K$5:$K$2500,0))="","",INDEX(Pledges!$B$5:$B$2500,MATCH($G119,Pledges!$K$5:$K$2500,0)))),"⚠ phone not in Pledges"))</f>
      </c>
      <c r="C119" s="30"/>
      <c r="D119" s="31"/>
      <c r="E119" s="32"/>
      <c r="F119" s="29"/>
      <c r="G119">
        <f>IF($A119="","","#"&amp;TRIM(SUBSTITUTE(SUBSTITUTE(SUBSTITUTE(SUBSTITUTE(SUBSTITUTE(SUBSTITUTE($A119,"-",""),"(",""),")",""),".",""),"+","")," ","")))</f>
      </c>
    </row>
    <row r="120" spans="1:7" x14ac:dyDescent="0.3">
      <c r="A120" s="28"/>
      <c r="B120" s="39">
        <f>IF($A120="","",IFERROR(IF(INDEX(Pledges!$D$5:$D$2500,MATCH($G120,Pledges!$K$5:$K$2500,0))="","⚠ no amount on Pledges",IF(INDEX(Pledges!$B$5:$B$2500,MATCH($G120,Pledges!$K$5:$K$2500,0))="","",INDEX(Pledges!$B$5:$B$2500,MATCH($G120,Pledges!$K$5:$K$2500,0)))),"⚠ phone not in Pledges"))</f>
      </c>
      <c r="C120" s="30"/>
      <c r="D120" s="31"/>
      <c r="E120" s="32"/>
      <c r="F120" s="29"/>
      <c r="G120">
        <f>IF($A120="","","#"&amp;TRIM(SUBSTITUTE(SUBSTITUTE(SUBSTITUTE(SUBSTITUTE(SUBSTITUTE(SUBSTITUTE($A120,"-",""),"(",""),")",""),".",""),"+","")," ","")))</f>
      </c>
    </row>
    <row r="121" spans="1:7" x14ac:dyDescent="0.3">
      <c r="A121" s="28"/>
      <c r="B121" s="39">
        <f>IF($A121="","",IFERROR(IF(INDEX(Pledges!$D$5:$D$2500,MATCH($G121,Pledges!$K$5:$K$2500,0))="","⚠ no amount on Pledges",IF(INDEX(Pledges!$B$5:$B$2500,MATCH($G121,Pledges!$K$5:$K$2500,0))="","",INDEX(Pledges!$B$5:$B$2500,MATCH($G121,Pledges!$K$5:$K$2500,0)))),"⚠ phone not in Pledges"))</f>
      </c>
      <c r="C121" s="30"/>
      <c r="D121" s="31"/>
      <c r="E121" s="32"/>
      <c r="F121" s="29"/>
      <c r="G121">
        <f>IF($A121="","","#"&amp;TRIM(SUBSTITUTE(SUBSTITUTE(SUBSTITUTE(SUBSTITUTE(SUBSTITUTE(SUBSTITUTE($A121,"-",""),"(",""),")",""),".",""),"+","")," ","")))</f>
      </c>
    </row>
    <row r="122" spans="1:7" x14ac:dyDescent="0.3">
      <c r="A122" s="28"/>
      <c r="B122" s="39">
        <f>IF($A122="","",IFERROR(IF(INDEX(Pledges!$D$5:$D$2500,MATCH($G122,Pledges!$K$5:$K$2500,0))="","⚠ no amount on Pledges",IF(INDEX(Pledges!$B$5:$B$2500,MATCH($G122,Pledges!$K$5:$K$2500,0))="","",INDEX(Pledges!$B$5:$B$2500,MATCH($G122,Pledges!$K$5:$K$2500,0)))),"⚠ phone not in Pledges"))</f>
      </c>
      <c r="C122" s="30"/>
      <c r="D122" s="31"/>
      <c r="E122" s="32"/>
      <c r="F122" s="29"/>
      <c r="G122">
        <f>IF($A122="","","#"&amp;TRIM(SUBSTITUTE(SUBSTITUTE(SUBSTITUTE(SUBSTITUTE(SUBSTITUTE(SUBSTITUTE($A122,"-",""),"(",""),")",""),".",""),"+","")," ","")))</f>
      </c>
    </row>
    <row r="123" spans="1:7" x14ac:dyDescent="0.3">
      <c r="A123" s="28"/>
      <c r="B123" s="39">
        <f>IF($A123="","",IFERROR(IF(INDEX(Pledges!$D$5:$D$2500,MATCH($G123,Pledges!$K$5:$K$2500,0))="","⚠ no amount on Pledges",IF(INDEX(Pledges!$B$5:$B$2500,MATCH($G123,Pledges!$K$5:$K$2500,0))="","",INDEX(Pledges!$B$5:$B$2500,MATCH($G123,Pledges!$K$5:$K$2500,0)))),"⚠ phone not in Pledges"))</f>
      </c>
      <c r="C123" s="30"/>
      <c r="D123" s="31"/>
      <c r="E123" s="32"/>
      <c r="F123" s="29"/>
      <c r="G123">
        <f>IF($A123="","","#"&amp;TRIM(SUBSTITUTE(SUBSTITUTE(SUBSTITUTE(SUBSTITUTE(SUBSTITUTE(SUBSTITUTE($A123,"-",""),"(",""),")",""),".",""),"+","")," ","")))</f>
      </c>
    </row>
    <row r="124" spans="1:7" x14ac:dyDescent="0.3">
      <c r="A124" s="28"/>
      <c r="B124" s="39">
        <f>IF($A124="","",IFERROR(IF(INDEX(Pledges!$D$5:$D$2500,MATCH($G124,Pledges!$K$5:$K$2500,0))="","⚠ no amount on Pledges",IF(INDEX(Pledges!$B$5:$B$2500,MATCH($G124,Pledges!$K$5:$K$2500,0))="","",INDEX(Pledges!$B$5:$B$2500,MATCH($G124,Pledges!$K$5:$K$2500,0)))),"⚠ phone not in Pledges"))</f>
      </c>
      <c r="C124" s="30"/>
      <c r="D124" s="31"/>
      <c r="E124" s="32"/>
      <c r="F124" s="29"/>
      <c r="G124">
        <f>IF($A124="","","#"&amp;TRIM(SUBSTITUTE(SUBSTITUTE(SUBSTITUTE(SUBSTITUTE(SUBSTITUTE(SUBSTITUTE($A124,"-",""),"(",""),")",""),".",""),"+","")," ","")))</f>
      </c>
    </row>
    <row r="125" spans="1:7" x14ac:dyDescent="0.3">
      <c r="A125" s="28"/>
      <c r="B125" s="39">
        <f>IF($A125="","",IFERROR(IF(INDEX(Pledges!$D$5:$D$2500,MATCH($G125,Pledges!$K$5:$K$2500,0))="","⚠ no amount on Pledges",IF(INDEX(Pledges!$B$5:$B$2500,MATCH($G125,Pledges!$K$5:$K$2500,0))="","",INDEX(Pledges!$B$5:$B$2500,MATCH($G125,Pledges!$K$5:$K$2500,0)))),"⚠ phone not in Pledges"))</f>
      </c>
      <c r="C125" s="30"/>
      <c r="D125" s="31"/>
      <c r="E125" s="32"/>
      <c r="F125" s="29"/>
      <c r="G125">
        <f>IF($A125="","","#"&amp;TRIM(SUBSTITUTE(SUBSTITUTE(SUBSTITUTE(SUBSTITUTE(SUBSTITUTE(SUBSTITUTE($A125,"-",""),"(",""),")",""),".",""),"+","")," ","")))</f>
      </c>
    </row>
    <row r="126" spans="1:7" x14ac:dyDescent="0.3">
      <c r="A126" s="28"/>
      <c r="B126" s="39">
        <f>IF($A126="","",IFERROR(IF(INDEX(Pledges!$D$5:$D$2500,MATCH($G126,Pledges!$K$5:$K$2500,0))="","⚠ no amount on Pledges",IF(INDEX(Pledges!$B$5:$B$2500,MATCH($G126,Pledges!$K$5:$K$2500,0))="","",INDEX(Pledges!$B$5:$B$2500,MATCH($G126,Pledges!$K$5:$K$2500,0)))),"⚠ phone not in Pledges"))</f>
      </c>
      <c r="C126" s="30"/>
      <c r="D126" s="31"/>
      <c r="E126" s="32"/>
      <c r="F126" s="29"/>
      <c r="G126">
        <f>IF($A126="","","#"&amp;TRIM(SUBSTITUTE(SUBSTITUTE(SUBSTITUTE(SUBSTITUTE(SUBSTITUTE(SUBSTITUTE($A126,"-",""),"(",""),")",""),".",""),"+","")," ","")))</f>
      </c>
    </row>
    <row r="127" spans="1:7" x14ac:dyDescent="0.3">
      <c r="A127" s="28"/>
      <c r="B127" s="39">
        <f>IF($A127="","",IFERROR(IF(INDEX(Pledges!$D$5:$D$2500,MATCH($G127,Pledges!$K$5:$K$2500,0))="","⚠ no amount on Pledges",IF(INDEX(Pledges!$B$5:$B$2500,MATCH($G127,Pledges!$K$5:$K$2500,0))="","",INDEX(Pledges!$B$5:$B$2500,MATCH($G127,Pledges!$K$5:$K$2500,0)))),"⚠ phone not in Pledges"))</f>
      </c>
      <c r="C127" s="30"/>
      <c r="D127" s="31"/>
      <c r="E127" s="32"/>
      <c r="F127" s="29"/>
      <c r="G127">
        <f>IF($A127="","","#"&amp;TRIM(SUBSTITUTE(SUBSTITUTE(SUBSTITUTE(SUBSTITUTE(SUBSTITUTE(SUBSTITUTE($A127,"-",""),"(",""),")",""),".",""),"+","")," ","")))</f>
      </c>
    </row>
    <row r="128" spans="1:7" x14ac:dyDescent="0.3">
      <c r="A128" s="28"/>
      <c r="B128" s="39">
        <f>IF($A128="","",IFERROR(IF(INDEX(Pledges!$D$5:$D$2500,MATCH($G128,Pledges!$K$5:$K$2500,0))="","⚠ no amount on Pledges",IF(INDEX(Pledges!$B$5:$B$2500,MATCH($G128,Pledges!$K$5:$K$2500,0))="","",INDEX(Pledges!$B$5:$B$2500,MATCH($G128,Pledges!$K$5:$K$2500,0)))),"⚠ phone not in Pledges"))</f>
      </c>
      <c r="C128" s="30"/>
      <c r="D128" s="31"/>
      <c r="E128" s="32"/>
      <c r="F128" s="29"/>
      <c r="G128">
        <f>IF($A128="","","#"&amp;TRIM(SUBSTITUTE(SUBSTITUTE(SUBSTITUTE(SUBSTITUTE(SUBSTITUTE(SUBSTITUTE($A128,"-",""),"(",""),")",""),".",""),"+","")," ","")))</f>
      </c>
    </row>
    <row r="129" spans="1:7" x14ac:dyDescent="0.3">
      <c r="A129" s="28"/>
      <c r="B129" s="39">
        <f>IF($A129="","",IFERROR(IF(INDEX(Pledges!$D$5:$D$2500,MATCH($G129,Pledges!$K$5:$K$2500,0))="","⚠ no amount on Pledges",IF(INDEX(Pledges!$B$5:$B$2500,MATCH($G129,Pledges!$K$5:$K$2500,0))="","",INDEX(Pledges!$B$5:$B$2500,MATCH($G129,Pledges!$K$5:$K$2500,0)))),"⚠ phone not in Pledges"))</f>
      </c>
      <c r="C129" s="30"/>
      <c r="D129" s="31"/>
      <c r="E129" s="32"/>
      <c r="F129" s="29"/>
      <c r="G129">
        <f>IF($A129="","","#"&amp;TRIM(SUBSTITUTE(SUBSTITUTE(SUBSTITUTE(SUBSTITUTE(SUBSTITUTE(SUBSTITUTE($A129,"-",""),"(",""),")",""),".",""),"+","")," ","")))</f>
      </c>
    </row>
    <row r="130" spans="1:7" x14ac:dyDescent="0.3">
      <c r="A130" s="28"/>
      <c r="B130" s="39">
        <f>IF($A130="","",IFERROR(IF(INDEX(Pledges!$D$5:$D$2500,MATCH($G130,Pledges!$K$5:$K$2500,0))="","⚠ no amount on Pledges",IF(INDEX(Pledges!$B$5:$B$2500,MATCH($G130,Pledges!$K$5:$K$2500,0))="","",INDEX(Pledges!$B$5:$B$2500,MATCH($G130,Pledges!$K$5:$K$2500,0)))),"⚠ phone not in Pledges"))</f>
      </c>
      <c r="C130" s="30"/>
      <c r="D130" s="31"/>
      <c r="E130" s="32"/>
      <c r="F130" s="29"/>
      <c r="G130">
        <f>IF($A130="","","#"&amp;TRIM(SUBSTITUTE(SUBSTITUTE(SUBSTITUTE(SUBSTITUTE(SUBSTITUTE(SUBSTITUTE($A130,"-",""),"(",""),")",""),".",""),"+","")," ","")))</f>
      </c>
    </row>
    <row r="131" spans="1:7" x14ac:dyDescent="0.3">
      <c r="A131" s="28"/>
      <c r="B131" s="39">
        <f>IF($A131="","",IFERROR(IF(INDEX(Pledges!$D$5:$D$2500,MATCH($G131,Pledges!$K$5:$K$2500,0))="","⚠ no amount on Pledges",IF(INDEX(Pledges!$B$5:$B$2500,MATCH($G131,Pledges!$K$5:$K$2500,0))="","",INDEX(Pledges!$B$5:$B$2500,MATCH($G131,Pledges!$K$5:$K$2500,0)))),"⚠ phone not in Pledges"))</f>
      </c>
      <c r="C131" s="30"/>
      <c r="D131" s="31"/>
      <c r="E131" s="32"/>
      <c r="F131" s="29"/>
      <c r="G131">
        <f>IF($A131="","","#"&amp;TRIM(SUBSTITUTE(SUBSTITUTE(SUBSTITUTE(SUBSTITUTE(SUBSTITUTE(SUBSTITUTE($A131,"-",""),"(",""),")",""),".",""),"+","")," ","")))</f>
      </c>
    </row>
    <row r="132" spans="1:7" x14ac:dyDescent="0.3">
      <c r="A132" s="28"/>
      <c r="B132" s="39">
        <f>IF($A132="","",IFERROR(IF(INDEX(Pledges!$D$5:$D$2500,MATCH($G132,Pledges!$K$5:$K$2500,0))="","⚠ no amount on Pledges",IF(INDEX(Pledges!$B$5:$B$2500,MATCH($G132,Pledges!$K$5:$K$2500,0))="","",INDEX(Pledges!$B$5:$B$2500,MATCH($G132,Pledges!$K$5:$K$2500,0)))),"⚠ phone not in Pledges"))</f>
      </c>
      <c r="C132" s="30"/>
      <c r="D132" s="31"/>
      <c r="E132" s="32"/>
      <c r="F132" s="29"/>
      <c r="G132">
        <f>IF($A132="","","#"&amp;TRIM(SUBSTITUTE(SUBSTITUTE(SUBSTITUTE(SUBSTITUTE(SUBSTITUTE(SUBSTITUTE($A132,"-",""),"(",""),")",""),".",""),"+","")," ","")))</f>
      </c>
    </row>
    <row r="133" spans="1:7" x14ac:dyDescent="0.3">
      <c r="A133" s="28"/>
      <c r="B133" s="39">
        <f>IF($A133="","",IFERROR(IF(INDEX(Pledges!$D$5:$D$2500,MATCH($G133,Pledges!$K$5:$K$2500,0))="","⚠ no amount on Pledges",IF(INDEX(Pledges!$B$5:$B$2500,MATCH($G133,Pledges!$K$5:$K$2500,0))="","",INDEX(Pledges!$B$5:$B$2500,MATCH($G133,Pledges!$K$5:$K$2500,0)))),"⚠ phone not in Pledges"))</f>
      </c>
      <c r="C133" s="30"/>
      <c r="D133" s="31"/>
      <c r="E133" s="32"/>
      <c r="F133" s="29"/>
      <c r="G133">
        <f>IF($A133="","","#"&amp;TRIM(SUBSTITUTE(SUBSTITUTE(SUBSTITUTE(SUBSTITUTE(SUBSTITUTE(SUBSTITUTE($A133,"-",""),"(",""),")",""),".",""),"+","")," ","")))</f>
      </c>
    </row>
    <row r="134" spans="1:7" x14ac:dyDescent="0.3">
      <c r="A134" s="28"/>
      <c r="B134" s="39">
        <f>IF($A134="","",IFERROR(IF(INDEX(Pledges!$D$5:$D$2500,MATCH($G134,Pledges!$K$5:$K$2500,0))="","⚠ no amount on Pledges",IF(INDEX(Pledges!$B$5:$B$2500,MATCH($G134,Pledges!$K$5:$K$2500,0))="","",INDEX(Pledges!$B$5:$B$2500,MATCH($G134,Pledges!$K$5:$K$2500,0)))),"⚠ phone not in Pledges"))</f>
      </c>
      <c r="C134" s="30"/>
      <c r="D134" s="31"/>
      <c r="E134" s="32"/>
      <c r="F134" s="29"/>
      <c r="G134">
        <f>IF($A134="","","#"&amp;TRIM(SUBSTITUTE(SUBSTITUTE(SUBSTITUTE(SUBSTITUTE(SUBSTITUTE(SUBSTITUTE($A134,"-",""),"(",""),")",""),".",""),"+","")," ","")))</f>
      </c>
    </row>
    <row r="135" spans="1:7" x14ac:dyDescent="0.3">
      <c r="A135" s="28"/>
      <c r="B135" s="39">
        <f>IF($A135="","",IFERROR(IF(INDEX(Pledges!$D$5:$D$2500,MATCH($G135,Pledges!$K$5:$K$2500,0))="","⚠ no amount on Pledges",IF(INDEX(Pledges!$B$5:$B$2500,MATCH($G135,Pledges!$K$5:$K$2500,0))="","",INDEX(Pledges!$B$5:$B$2500,MATCH($G135,Pledges!$K$5:$K$2500,0)))),"⚠ phone not in Pledges"))</f>
      </c>
      <c r="C135" s="30"/>
      <c r="D135" s="31"/>
      <c r="E135" s="32"/>
      <c r="F135" s="29"/>
      <c r="G135">
        <f>IF($A135="","","#"&amp;TRIM(SUBSTITUTE(SUBSTITUTE(SUBSTITUTE(SUBSTITUTE(SUBSTITUTE(SUBSTITUTE($A135,"-",""),"(",""),")",""),".",""),"+","")," ","")))</f>
      </c>
    </row>
    <row r="136" spans="1:7" x14ac:dyDescent="0.3">
      <c r="A136" s="28"/>
      <c r="B136" s="39">
        <f>IF($A136="","",IFERROR(IF(INDEX(Pledges!$D$5:$D$2500,MATCH($G136,Pledges!$K$5:$K$2500,0))="","⚠ no amount on Pledges",IF(INDEX(Pledges!$B$5:$B$2500,MATCH($G136,Pledges!$K$5:$K$2500,0))="","",INDEX(Pledges!$B$5:$B$2500,MATCH($G136,Pledges!$K$5:$K$2500,0)))),"⚠ phone not in Pledges"))</f>
      </c>
      <c r="C136" s="30"/>
      <c r="D136" s="31"/>
      <c r="E136" s="32"/>
      <c r="F136" s="29"/>
      <c r="G136">
        <f>IF($A136="","","#"&amp;TRIM(SUBSTITUTE(SUBSTITUTE(SUBSTITUTE(SUBSTITUTE(SUBSTITUTE(SUBSTITUTE($A136,"-",""),"(",""),")",""),".",""),"+","")," ","")))</f>
      </c>
    </row>
    <row r="137" spans="1:7" x14ac:dyDescent="0.3">
      <c r="A137" s="28"/>
      <c r="B137" s="39">
        <f>IF($A137="","",IFERROR(IF(INDEX(Pledges!$D$5:$D$2500,MATCH($G137,Pledges!$K$5:$K$2500,0))="","⚠ no amount on Pledges",IF(INDEX(Pledges!$B$5:$B$2500,MATCH($G137,Pledges!$K$5:$K$2500,0))="","",INDEX(Pledges!$B$5:$B$2500,MATCH($G137,Pledges!$K$5:$K$2500,0)))),"⚠ phone not in Pledges"))</f>
      </c>
      <c r="C137" s="30"/>
      <c r="D137" s="31"/>
      <c r="E137" s="32"/>
      <c r="F137" s="29"/>
      <c r="G137">
        <f>IF($A137="","","#"&amp;TRIM(SUBSTITUTE(SUBSTITUTE(SUBSTITUTE(SUBSTITUTE(SUBSTITUTE(SUBSTITUTE($A137,"-",""),"(",""),")",""),".",""),"+","")," ","")))</f>
      </c>
    </row>
    <row r="138" spans="1:7" x14ac:dyDescent="0.3">
      <c r="A138" s="28"/>
      <c r="B138" s="39">
        <f>IF($A138="","",IFERROR(IF(INDEX(Pledges!$D$5:$D$2500,MATCH($G138,Pledges!$K$5:$K$2500,0))="","⚠ no amount on Pledges",IF(INDEX(Pledges!$B$5:$B$2500,MATCH($G138,Pledges!$K$5:$K$2500,0))="","",INDEX(Pledges!$B$5:$B$2500,MATCH($G138,Pledges!$K$5:$K$2500,0)))),"⚠ phone not in Pledges"))</f>
      </c>
      <c r="C138" s="30"/>
      <c r="D138" s="31"/>
      <c r="E138" s="32"/>
      <c r="F138" s="29"/>
      <c r="G138">
        <f>IF($A138="","","#"&amp;TRIM(SUBSTITUTE(SUBSTITUTE(SUBSTITUTE(SUBSTITUTE(SUBSTITUTE(SUBSTITUTE($A138,"-",""),"(",""),")",""),".",""),"+","")," ","")))</f>
      </c>
    </row>
    <row r="139" spans="1:7" x14ac:dyDescent="0.3">
      <c r="A139" s="28"/>
      <c r="B139" s="39">
        <f>IF($A139="","",IFERROR(IF(INDEX(Pledges!$D$5:$D$2500,MATCH($G139,Pledges!$K$5:$K$2500,0))="","⚠ no amount on Pledges",IF(INDEX(Pledges!$B$5:$B$2500,MATCH($G139,Pledges!$K$5:$K$2500,0))="","",INDEX(Pledges!$B$5:$B$2500,MATCH($G139,Pledges!$K$5:$K$2500,0)))),"⚠ phone not in Pledges"))</f>
      </c>
      <c r="C139" s="30"/>
      <c r="D139" s="31"/>
      <c r="E139" s="32"/>
      <c r="F139" s="29"/>
      <c r="G139">
        <f>IF($A139="","","#"&amp;TRIM(SUBSTITUTE(SUBSTITUTE(SUBSTITUTE(SUBSTITUTE(SUBSTITUTE(SUBSTITUTE($A139,"-",""),"(",""),")",""),".",""),"+","")," ","")))</f>
      </c>
    </row>
    <row r="140" spans="1:7" x14ac:dyDescent="0.3">
      <c r="A140" s="28"/>
      <c r="B140" s="39">
        <f>IF($A140="","",IFERROR(IF(INDEX(Pledges!$D$5:$D$2500,MATCH($G140,Pledges!$K$5:$K$2500,0))="","⚠ no amount on Pledges",IF(INDEX(Pledges!$B$5:$B$2500,MATCH($G140,Pledges!$K$5:$K$2500,0))="","",INDEX(Pledges!$B$5:$B$2500,MATCH($G140,Pledges!$K$5:$K$2500,0)))),"⚠ phone not in Pledges"))</f>
      </c>
      <c r="C140" s="30"/>
      <c r="D140" s="31"/>
      <c r="E140" s="32"/>
      <c r="F140" s="29"/>
      <c r="G140">
        <f>IF($A140="","","#"&amp;TRIM(SUBSTITUTE(SUBSTITUTE(SUBSTITUTE(SUBSTITUTE(SUBSTITUTE(SUBSTITUTE($A140,"-",""),"(",""),")",""),".",""),"+","")," ","")))</f>
      </c>
    </row>
    <row r="141" spans="1:7" x14ac:dyDescent="0.3">
      <c r="A141" s="28"/>
      <c r="B141" s="39">
        <f>IF($A141="","",IFERROR(IF(INDEX(Pledges!$D$5:$D$2500,MATCH($G141,Pledges!$K$5:$K$2500,0))="","⚠ no amount on Pledges",IF(INDEX(Pledges!$B$5:$B$2500,MATCH($G141,Pledges!$K$5:$K$2500,0))="","",INDEX(Pledges!$B$5:$B$2500,MATCH($G141,Pledges!$K$5:$K$2500,0)))),"⚠ phone not in Pledges"))</f>
      </c>
      <c r="C141" s="30"/>
      <c r="D141" s="31"/>
      <c r="E141" s="32"/>
      <c r="F141" s="29"/>
      <c r="G141">
        <f>IF($A141="","","#"&amp;TRIM(SUBSTITUTE(SUBSTITUTE(SUBSTITUTE(SUBSTITUTE(SUBSTITUTE(SUBSTITUTE($A141,"-",""),"(",""),")",""),".",""),"+","")," ","")))</f>
      </c>
    </row>
    <row r="142" spans="1:7" x14ac:dyDescent="0.3">
      <c r="A142" s="28"/>
      <c r="B142" s="39">
        <f>IF($A142="","",IFERROR(IF(INDEX(Pledges!$D$5:$D$2500,MATCH($G142,Pledges!$K$5:$K$2500,0))="","⚠ no amount on Pledges",IF(INDEX(Pledges!$B$5:$B$2500,MATCH($G142,Pledges!$K$5:$K$2500,0))="","",INDEX(Pledges!$B$5:$B$2500,MATCH($G142,Pledges!$K$5:$K$2500,0)))),"⚠ phone not in Pledges"))</f>
      </c>
      <c r="C142" s="30"/>
      <c r="D142" s="31"/>
      <c r="E142" s="32"/>
      <c r="F142" s="29"/>
      <c r="G142">
        <f>IF($A142="","","#"&amp;TRIM(SUBSTITUTE(SUBSTITUTE(SUBSTITUTE(SUBSTITUTE(SUBSTITUTE(SUBSTITUTE($A142,"-",""),"(",""),")",""),".",""),"+","")," ","")))</f>
      </c>
    </row>
    <row r="143" spans="1:7" x14ac:dyDescent="0.3">
      <c r="A143" s="28"/>
      <c r="B143" s="39">
        <f>IF($A143="","",IFERROR(IF(INDEX(Pledges!$D$5:$D$2500,MATCH($G143,Pledges!$K$5:$K$2500,0))="","⚠ no amount on Pledges",IF(INDEX(Pledges!$B$5:$B$2500,MATCH($G143,Pledges!$K$5:$K$2500,0))="","",INDEX(Pledges!$B$5:$B$2500,MATCH($G143,Pledges!$K$5:$K$2500,0)))),"⚠ phone not in Pledges"))</f>
      </c>
      <c r="C143" s="30"/>
      <c r="D143" s="31"/>
      <c r="E143" s="32"/>
      <c r="F143" s="29"/>
      <c r="G143">
        <f>IF($A143="","","#"&amp;TRIM(SUBSTITUTE(SUBSTITUTE(SUBSTITUTE(SUBSTITUTE(SUBSTITUTE(SUBSTITUTE($A143,"-",""),"(",""),")",""),".",""),"+","")," ","")))</f>
      </c>
    </row>
    <row r="144" spans="1:7" x14ac:dyDescent="0.3">
      <c r="A144" s="28"/>
      <c r="B144" s="39">
        <f>IF($A144="","",IFERROR(IF(INDEX(Pledges!$D$5:$D$2500,MATCH($G144,Pledges!$K$5:$K$2500,0))="","⚠ no amount on Pledges",IF(INDEX(Pledges!$B$5:$B$2500,MATCH($G144,Pledges!$K$5:$K$2500,0))="","",INDEX(Pledges!$B$5:$B$2500,MATCH($G144,Pledges!$K$5:$K$2500,0)))),"⚠ phone not in Pledges"))</f>
      </c>
      <c r="C144" s="30"/>
      <c r="D144" s="31"/>
      <c r="E144" s="32"/>
      <c r="F144" s="29"/>
      <c r="G144">
        <f>IF($A144="","","#"&amp;TRIM(SUBSTITUTE(SUBSTITUTE(SUBSTITUTE(SUBSTITUTE(SUBSTITUTE(SUBSTITUTE($A144,"-",""),"(",""),")",""),".",""),"+","")," ","")))</f>
      </c>
    </row>
    <row r="145" spans="1:7" x14ac:dyDescent="0.3">
      <c r="A145" s="28"/>
      <c r="B145" s="39">
        <f>IF($A145="","",IFERROR(IF(INDEX(Pledges!$D$5:$D$2500,MATCH($G145,Pledges!$K$5:$K$2500,0))="","⚠ no amount on Pledges",IF(INDEX(Pledges!$B$5:$B$2500,MATCH($G145,Pledges!$K$5:$K$2500,0))="","",INDEX(Pledges!$B$5:$B$2500,MATCH($G145,Pledges!$K$5:$K$2500,0)))),"⚠ phone not in Pledges"))</f>
      </c>
      <c r="C145" s="30"/>
      <c r="D145" s="31"/>
      <c r="E145" s="32"/>
      <c r="F145" s="29"/>
      <c r="G145">
        <f>IF($A145="","","#"&amp;TRIM(SUBSTITUTE(SUBSTITUTE(SUBSTITUTE(SUBSTITUTE(SUBSTITUTE(SUBSTITUTE($A145,"-",""),"(",""),")",""),".",""),"+","")," ","")))</f>
      </c>
    </row>
    <row r="146" spans="1:7" x14ac:dyDescent="0.3">
      <c r="A146" s="28"/>
      <c r="B146" s="39">
        <f>IF($A146="","",IFERROR(IF(INDEX(Pledges!$D$5:$D$2500,MATCH($G146,Pledges!$K$5:$K$2500,0))="","⚠ no amount on Pledges",IF(INDEX(Pledges!$B$5:$B$2500,MATCH($G146,Pledges!$K$5:$K$2500,0))="","",INDEX(Pledges!$B$5:$B$2500,MATCH($G146,Pledges!$K$5:$K$2500,0)))),"⚠ phone not in Pledges"))</f>
      </c>
      <c r="C146" s="30"/>
      <c r="D146" s="31"/>
      <c r="E146" s="32"/>
      <c r="F146" s="29"/>
      <c r="G146">
        <f>IF($A146="","","#"&amp;TRIM(SUBSTITUTE(SUBSTITUTE(SUBSTITUTE(SUBSTITUTE(SUBSTITUTE(SUBSTITUTE($A146,"-",""),"(",""),")",""),".",""),"+","")," ","")))</f>
      </c>
    </row>
    <row r="147" spans="1:7" x14ac:dyDescent="0.3">
      <c r="A147" s="28"/>
      <c r="B147" s="39">
        <f>IF($A147="","",IFERROR(IF(INDEX(Pledges!$D$5:$D$2500,MATCH($G147,Pledges!$K$5:$K$2500,0))="","⚠ no amount on Pledges",IF(INDEX(Pledges!$B$5:$B$2500,MATCH($G147,Pledges!$K$5:$K$2500,0))="","",INDEX(Pledges!$B$5:$B$2500,MATCH($G147,Pledges!$K$5:$K$2500,0)))),"⚠ phone not in Pledges"))</f>
      </c>
      <c r="C147" s="30"/>
      <c r="D147" s="31"/>
      <c r="E147" s="32"/>
      <c r="F147" s="29"/>
      <c r="G147">
        <f>IF($A147="","","#"&amp;TRIM(SUBSTITUTE(SUBSTITUTE(SUBSTITUTE(SUBSTITUTE(SUBSTITUTE(SUBSTITUTE($A147,"-",""),"(",""),")",""),".",""),"+","")," ","")))</f>
      </c>
    </row>
    <row r="148" spans="1:7" x14ac:dyDescent="0.3">
      <c r="A148" s="28"/>
      <c r="B148" s="39">
        <f>IF($A148="","",IFERROR(IF(INDEX(Pledges!$D$5:$D$2500,MATCH($G148,Pledges!$K$5:$K$2500,0))="","⚠ no amount on Pledges",IF(INDEX(Pledges!$B$5:$B$2500,MATCH($G148,Pledges!$K$5:$K$2500,0))="","",INDEX(Pledges!$B$5:$B$2500,MATCH($G148,Pledges!$K$5:$K$2500,0)))),"⚠ phone not in Pledges"))</f>
      </c>
      <c r="C148" s="30"/>
      <c r="D148" s="31"/>
      <c r="E148" s="32"/>
      <c r="F148" s="29"/>
      <c r="G148">
        <f>IF($A148="","","#"&amp;TRIM(SUBSTITUTE(SUBSTITUTE(SUBSTITUTE(SUBSTITUTE(SUBSTITUTE(SUBSTITUTE($A148,"-",""),"(",""),")",""),".",""),"+","")," ","")))</f>
      </c>
    </row>
    <row r="149" spans="1:7" x14ac:dyDescent="0.3">
      <c r="A149" s="28"/>
      <c r="B149" s="39">
        <f>IF($A149="","",IFERROR(IF(INDEX(Pledges!$D$5:$D$2500,MATCH($G149,Pledges!$K$5:$K$2500,0))="","⚠ no amount on Pledges",IF(INDEX(Pledges!$B$5:$B$2500,MATCH($G149,Pledges!$K$5:$K$2500,0))="","",INDEX(Pledges!$B$5:$B$2500,MATCH($G149,Pledges!$K$5:$K$2500,0)))),"⚠ phone not in Pledges"))</f>
      </c>
      <c r="C149" s="30"/>
      <c r="D149" s="31"/>
      <c r="E149" s="32"/>
      <c r="F149" s="29"/>
      <c r="G149">
        <f>IF($A149="","","#"&amp;TRIM(SUBSTITUTE(SUBSTITUTE(SUBSTITUTE(SUBSTITUTE(SUBSTITUTE(SUBSTITUTE($A149,"-",""),"(",""),")",""),".",""),"+","")," ","")))</f>
      </c>
    </row>
    <row r="150" spans="1:7" x14ac:dyDescent="0.3">
      <c r="A150" s="28"/>
      <c r="B150" s="39">
        <f>IF($A150="","",IFERROR(IF(INDEX(Pledges!$D$5:$D$2500,MATCH($G150,Pledges!$K$5:$K$2500,0))="","⚠ no amount on Pledges",IF(INDEX(Pledges!$B$5:$B$2500,MATCH($G150,Pledges!$K$5:$K$2500,0))="","",INDEX(Pledges!$B$5:$B$2500,MATCH($G150,Pledges!$K$5:$K$2500,0)))),"⚠ phone not in Pledges"))</f>
      </c>
      <c r="C150" s="30"/>
      <c r="D150" s="31"/>
      <c r="E150" s="32"/>
      <c r="F150" s="29"/>
      <c r="G150">
        <f>IF($A150="","","#"&amp;TRIM(SUBSTITUTE(SUBSTITUTE(SUBSTITUTE(SUBSTITUTE(SUBSTITUTE(SUBSTITUTE($A150,"-",""),"(",""),")",""),".",""),"+","")," ","")))</f>
      </c>
    </row>
    <row r="151" spans="1:7" x14ac:dyDescent="0.3">
      <c r="A151" s="28"/>
      <c r="B151" s="39">
        <f>IF($A151="","",IFERROR(IF(INDEX(Pledges!$D$5:$D$2500,MATCH($G151,Pledges!$K$5:$K$2500,0))="","⚠ no amount on Pledges",IF(INDEX(Pledges!$B$5:$B$2500,MATCH($G151,Pledges!$K$5:$K$2500,0))="","",INDEX(Pledges!$B$5:$B$2500,MATCH($G151,Pledges!$K$5:$K$2500,0)))),"⚠ phone not in Pledges"))</f>
      </c>
      <c r="C151" s="30"/>
      <c r="D151" s="31"/>
      <c r="E151" s="32"/>
      <c r="F151" s="29"/>
      <c r="G151">
        <f>IF($A151="","","#"&amp;TRIM(SUBSTITUTE(SUBSTITUTE(SUBSTITUTE(SUBSTITUTE(SUBSTITUTE(SUBSTITUTE($A151,"-",""),"(",""),")",""),".",""),"+","")," ","")))</f>
      </c>
    </row>
    <row r="152" spans="1:7" x14ac:dyDescent="0.3">
      <c r="A152" s="28"/>
      <c r="B152" s="39">
        <f>IF($A152="","",IFERROR(IF(INDEX(Pledges!$D$5:$D$2500,MATCH($G152,Pledges!$K$5:$K$2500,0))="","⚠ no amount on Pledges",IF(INDEX(Pledges!$B$5:$B$2500,MATCH($G152,Pledges!$K$5:$K$2500,0))="","",INDEX(Pledges!$B$5:$B$2500,MATCH($G152,Pledges!$K$5:$K$2500,0)))),"⚠ phone not in Pledges"))</f>
      </c>
      <c r="C152" s="30"/>
      <c r="D152" s="31"/>
      <c r="E152" s="32"/>
      <c r="F152" s="29"/>
      <c r="G152">
        <f>IF($A152="","","#"&amp;TRIM(SUBSTITUTE(SUBSTITUTE(SUBSTITUTE(SUBSTITUTE(SUBSTITUTE(SUBSTITUTE($A152,"-",""),"(",""),")",""),".",""),"+","")," ","")))</f>
      </c>
    </row>
    <row r="153" spans="1:7" x14ac:dyDescent="0.3">
      <c r="A153" s="28"/>
      <c r="B153" s="39">
        <f>IF($A153="","",IFERROR(IF(INDEX(Pledges!$D$5:$D$2500,MATCH($G153,Pledges!$K$5:$K$2500,0))="","⚠ no amount on Pledges",IF(INDEX(Pledges!$B$5:$B$2500,MATCH($G153,Pledges!$K$5:$K$2500,0))="","",INDEX(Pledges!$B$5:$B$2500,MATCH($G153,Pledges!$K$5:$K$2500,0)))),"⚠ phone not in Pledges"))</f>
      </c>
      <c r="C153" s="30"/>
      <c r="D153" s="31"/>
      <c r="E153" s="32"/>
      <c r="F153" s="29"/>
      <c r="G153">
        <f>IF($A153="","","#"&amp;TRIM(SUBSTITUTE(SUBSTITUTE(SUBSTITUTE(SUBSTITUTE(SUBSTITUTE(SUBSTITUTE($A153,"-",""),"(",""),")",""),".",""),"+","")," ","")))</f>
      </c>
    </row>
    <row r="154" spans="1:7" x14ac:dyDescent="0.3">
      <c r="A154" s="28"/>
      <c r="B154" s="39">
        <f>IF($A154="","",IFERROR(IF(INDEX(Pledges!$D$5:$D$2500,MATCH($G154,Pledges!$K$5:$K$2500,0))="","⚠ no amount on Pledges",IF(INDEX(Pledges!$B$5:$B$2500,MATCH($G154,Pledges!$K$5:$K$2500,0))="","",INDEX(Pledges!$B$5:$B$2500,MATCH($G154,Pledges!$K$5:$K$2500,0)))),"⚠ phone not in Pledges"))</f>
      </c>
      <c r="C154" s="30"/>
      <c r="D154" s="31"/>
      <c r="E154" s="32"/>
      <c r="F154" s="29"/>
      <c r="G154">
        <f>IF($A154="","","#"&amp;TRIM(SUBSTITUTE(SUBSTITUTE(SUBSTITUTE(SUBSTITUTE(SUBSTITUTE(SUBSTITUTE($A154,"-",""),"(",""),")",""),".",""),"+","")," ","")))</f>
      </c>
    </row>
    <row r="155" spans="1:7" x14ac:dyDescent="0.3">
      <c r="A155" s="28"/>
      <c r="B155" s="39">
        <f>IF($A155="","",IFERROR(IF(INDEX(Pledges!$D$5:$D$2500,MATCH($G155,Pledges!$K$5:$K$2500,0))="","⚠ no amount on Pledges",IF(INDEX(Pledges!$B$5:$B$2500,MATCH($G155,Pledges!$K$5:$K$2500,0))="","",INDEX(Pledges!$B$5:$B$2500,MATCH($G155,Pledges!$K$5:$K$2500,0)))),"⚠ phone not in Pledges"))</f>
      </c>
      <c r="C155" s="30"/>
      <c r="D155" s="31"/>
      <c r="E155" s="32"/>
      <c r="F155" s="29"/>
      <c r="G155">
        <f>IF($A155="","","#"&amp;TRIM(SUBSTITUTE(SUBSTITUTE(SUBSTITUTE(SUBSTITUTE(SUBSTITUTE(SUBSTITUTE($A155,"-",""),"(",""),")",""),".",""),"+","")," ","")))</f>
      </c>
    </row>
    <row r="156" spans="1:7" x14ac:dyDescent="0.3">
      <c r="A156" s="28"/>
      <c r="B156" s="39">
        <f>IF($A156="","",IFERROR(IF(INDEX(Pledges!$D$5:$D$2500,MATCH($G156,Pledges!$K$5:$K$2500,0))="","⚠ no amount on Pledges",IF(INDEX(Pledges!$B$5:$B$2500,MATCH($G156,Pledges!$K$5:$K$2500,0))="","",INDEX(Pledges!$B$5:$B$2500,MATCH($G156,Pledges!$K$5:$K$2500,0)))),"⚠ phone not in Pledges"))</f>
      </c>
      <c r="C156" s="30"/>
      <c r="D156" s="31"/>
      <c r="E156" s="32"/>
      <c r="F156" s="29"/>
      <c r="G156">
        <f>IF($A156="","","#"&amp;TRIM(SUBSTITUTE(SUBSTITUTE(SUBSTITUTE(SUBSTITUTE(SUBSTITUTE(SUBSTITUTE($A156,"-",""),"(",""),")",""),".",""),"+","")," ","")))</f>
      </c>
    </row>
    <row r="157" spans="1:7" x14ac:dyDescent="0.3">
      <c r="A157" s="28"/>
      <c r="B157" s="39">
        <f>IF($A157="","",IFERROR(IF(INDEX(Pledges!$D$5:$D$2500,MATCH($G157,Pledges!$K$5:$K$2500,0))="","⚠ no amount on Pledges",IF(INDEX(Pledges!$B$5:$B$2500,MATCH($G157,Pledges!$K$5:$K$2500,0))="","",INDEX(Pledges!$B$5:$B$2500,MATCH($G157,Pledges!$K$5:$K$2500,0)))),"⚠ phone not in Pledges"))</f>
      </c>
      <c r="C157" s="30"/>
      <c r="D157" s="31"/>
      <c r="E157" s="32"/>
      <c r="F157" s="29"/>
      <c r="G157">
        <f>IF($A157="","","#"&amp;TRIM(SUBSTITUTE(SUBSTITUTE(SUBSTITUTE(SUBSTITUTE(SUBSTITUTE(SUBSTITUTE($A157,"-",""),"(",""),")",""),".",""),"+","")," ","")))</f>
      </c>
    </row>
    <row r="158" spans="1:7" x14ac:dyDescent="0.3">
      <c r="A158" s="28"/>
      <c r="B158" s="39">
        <f>IF($A158="","",IFERROR(IF(INDEX(Pledges!$D$5:$D$2500,MATCH($G158,Pledges!$K$5:$K$2500,0))="","⚠ no amount on Pledges",IF(INDEX(Pledges!$B$5:$B$2500,MATCH($G158,Pledges!$K$5:$K$2500,0))="","",INDEX(Pledges!$B$5:$B$2500,MATCH($G158,Pledges!$K$5:$K$2500,0)))),"⚠ phone not in Pledges"))</f>
      </c>
      <c r="C158" s="30"/>
      <c r="D158" s="31"/>
      <c r="E158" s="32"/>
      <c r="F158" s="29"/>
      <c r="G158">
        <f>IF($A158="","","#"&amp;TRIM(SUBSTITUTE(SUBSTITUTE(SUBSTITUTE(SUBSTITUTE(SUBSTITUTE(SUBSTITUTE($A158,"-",""),"(",""),")",""),".",""),"+","")," ","")))</f>
      </c>
    </row>
    <row r="159" spans="1:7" x14ac:dyDescent="0.3">
      <c r="A159" s="28"/>
      <c r="B159" s="39">
        <f>IF($A159="","",IFERROR(IF(INDEX(Pledges!$D$5:$D$2500,MATCH($G159,Pledges!$K$5:$K$2500,0))="","⚠ no amount on Pledges",IF(INDEX(Pledges!$B$5:$B$2500,MATCH($G159,Pledges!$K$5:$K$2500,0))="","",INDEX(Pledges!$B$5:$B$2500,MATCH($G159,Pledges!$K$5:$K$2500,0)))),"⚠ phone not in Pledges"))</f>
      </c>
      <c r="C159" s="30"/>
      <c r="D159" s="31"/>
      <c r="E159" s="32"/>
      <c r="F159" s="29"/>
      <c r="G159">
        <f>IF($A159="","","#"&amp;TRIM(SUBSTITUTE(SUBSTITUTE(SUBSTITUTE(SUBSTITUTE(SUBSTITUTE(SUBSTITUTE($A159,"-",""),"(",""),")",""),".",""),"+","")," ","")))</f>
      </c>
    </row>
    <row r="160" spans="1:7" x14ac:dyDescent="0.3">
      <c r="A160" s="28"/>
      <c r="B160" s="39">
        <f>IF($A160="","",IFERROR(IF(INDEX(Pledges!$D$5:$D$2500,MATCH($G160,Pledges!$K$5:$K$2500,0))="","⚠ no amount on Pledges",IF(INDEX(Pledges!$B$5:$B$2500,MATCH($G160,Pledges!$K$5:$K$2500,0))="","",INDEX(Pledges!$B$5:$B$2500,MATCH($G160,Pledges!$K$5:$K$2500,0)))),"⚠ phone not in Pledges"))</f>
      </c>
      <c r="C160" s="30"/>
      <c r="D160" s="31"/>
      <c r="E160" s="32"/>
      <c r="F160" s="29"/>
      <c r="G160">
        <f>IF($A160="","","#"&amp;TRIM(SUBSTITUTE(SUBSTITUTE(SUBSTITUTE(SUBSTITUTE(SUBSTITUTE(SUBSTITUTE($A160,"-",""),"(",""),")",""),".",""),"+","")," ","")))</f>
      </c>
    </row>
    <row r="161" spans="1:7" x14ac:dyDescent="0.3">
      <c r="A161" s="28"/>
      <c r="B161" s="39">
        <f>IF($A161="","",IFERROR(IF(INDEX(Pledges!$D$5:$D$2500,MATCH($G161,Pledges!$K$5:$K$2500,0))="","⚠ no amount on Pledges",IF(INDEX(Pledges!$B$5:$B$2500,MATCH($G161,Pledges!$K$5:$K$2500,0))="","",INDEX(Pledges!$B$5:$B$2500,MATCH($G161,Pledges!$K$5:$K$2500,0)))),"⚠ phone not in Pledges"))</f>
      </c>
      <c r="C161" s="30"/>
      <c r="D161" s="31"/>
      <c r="E161" s="32"/>
      <c r="F161" s="29"/>
      <c r="G161">
        <f>IF($A161="","","#"&amp;TRIM(SUBSTITUTE(SUBSTITUTE(SUBSTITUTE(SUBSTITUTE(SUBSTITUTE(SUBSTITUTE($A161,"-",""),"(",""),")",""),".",""),"+","")," ","")))</f>
      </c>
    </row>
    <row r="162" spans="1:7" x14ac:dyDescent="0.3">
      <c r="A162" s="28"/>
      <c r="B162" s="39">
        <f>IF($A162="","",IFERROR(IF(INDEX(Pledges!$D$5:$D$2500,MATCH($G162,Pledges!$K$5:$K$2500,0))="","⚠ no amount on Pledges",IF(INDEX(Pledges!$B$5:$B$2500,MATCH($G162,Pledges!$K$5:$K$2500,0))="","",INDEX(Pledges!$B$5:$B$2500,MATCH($G162,Pledges!$K$5:$K$2500,0)))),"⚠ phone not in Pledges"))</f>
      </c>
      <c r="C162" s="30"/>
      <c r="D162" s="31"/>
      <c r="E162" s="32"/>
      <c r="F162" s="29"/>
      <c r="G162">
        <f>IF($A162="","","#"&amp;TRIM(SUBSTITUTE(SUBSTITUTE(SUBSTITUTE(SUBSTITUTE(SUBSTITUTE(SUBSTITUTE($A162,"-",""),"(",""),")",""),".",""),"+","")," ","")))</f>
      </c>
    </row>
    <row r="163" spans="1:7" x14ac:dyDescent="0.3">
      <c r="A163" s="28"/>
      <c r="B163" s="39">
        <f>IF($A163="","",IFERROR(IF(INDEX(Pledges!$D$5:$D$2500,MATCH($G163,Pledges!$K$5:$K$2500,0))="","⚠ no amount on Pledges",IF(INDEX(Pledges!$B$5:$B$2500,MATCH($G163,Pledges!$K$5:$K$2500,0))="","",INDEX(Pledges!$B$5:$B$2500,MATCH($G163,Pledges!$K$5:$K$2500,0)))),"⚠ phone not in Pledges"))</f>
      </c>
      <c r="C163" s="30"/>
      <c r="D163" s="31"/>
      <c r="E163" s="32"/>
      <c r="F163" s="29"/>
      <c r="G163">
        <f>IF($A163="","","#"&amp;TRIM(SUBSTITUTE(SUBSTITUTE(SUBSTITUTE(SUBSTITUTE(SUBSTITUTE(SUBSTITUTE($A163,"-",""),"(",""),")",""),".",""),"+","")," ","")))</f>
      </c>
    </row>
    <row r="164" spans="1:7" x14ac:dyDescent="0.3">
      <c r="A164" s="28"/>
      <c r="B164" s="39">
        <f>IF($A164="","",IFERROR(IF(INDEX(Pledges!$D$5:$D$2500,MATCH($G164,Pledges!$K$5:$K$2500,0))="","⚠ no amount on Pledges",IF(INDEX(Pledges!$B$5:$B$2500,MATCH($G164,Pledges!$K$5:$K$2500,0))="","",INDEX(Pledges!$B$5:$B$2500,MATCH($G164,Pledges!$K$5:$K$2500,0)))),"⚠ phone not in Pledges"))</f>
      </c>
      <c r="C164" s="30"/>
      <c r="D164" s="31"/>
      <c r="E164" s="32"/>
      <c r="F164" s="29"/>
      <c r="G164">
        <f>IF($A164="","","#"&amp;TRIM(SUBSTITUTE(SUBSTITUTE(SUBSTITUTE(SUBSTITUTE(SUBSTITUTE(SUBSTITUTE($A164,"-",""),"(",""),")",""),".",""),"+","")," ","")))</f>
      </c>
    </row>
    <row r="165" spans="1:7" x14ac:dyDescent="0.3">
      <c r="A165" s="28"/>
      <c r="B165" s="39">
        <f>IF($A165="","",IFERROR(IF(INDEX(Pledges!$D$5:$D$2500,MATCH($G165,Pledges!$K$5:$K$2500,0))="","⚠ no amount on Pledges",IF(INDEX(Pledges!$B$5:$B$2500,MATCH($G165,Pledges!$K$5:$K$2500,0))="","",INDEX(Pledges!$B$5:$B$2500,MATCH($G165,Pledges!$K$5:$K$2500,0)))),"⚠ phone not in Pledges"))</f>
      </c>
      <c r="C165" s="30"/>
      <c r="D165" s="31"/>
      <c r="E165" s="32"/>
      <c r="F165" s="29"/>
      <c r="G165">
        <f>IF($A165="","","#"&amp;TRIM(SUBSTITUTE(SUBSTITUTE(SUBSTITUTE(SUBSTITUTE(SUBSTITUTE(SUBSTITUTE($A165,"-",""),"(",""),")",""),".",""),"+","")," ","")))</f>
      </c>
    </row>
    <row r="166" spans="1:7" x14ac:dyDescent="0.3">
      <c r="A166" s="28"/>
      <c r="B166" s="39">
        <f>IF($A166="","",IFERROR(IF(INDEX(Pledges!$D$5:$D$2500,MATCH($G166,Pledges!$K$5:$K$2500,0))="","⚠ no amount on Pledges",IF(INDEX(Pledges!$B$5:$B$2500,MATCH($G166,Pledges!$K$5:$K$2500,0))="","",INDEX(Pledges!$B$5:$B$2500,MATCH($G166,Pledges!$K$5:$K$2500,0)))),"⚠ phone not in Pledges"))</f>
      </c>
      <c r="C166" s="30"/>
      <c r="D166" s="31"/>
      <c r="E166" s="32"/>
      <c r="F166" s="29"/>
      <c r="G166">
        <f>IF($A166="","","#"&amp;TRIM(SUBSTITUTE(SUBSTITUTE(SUBSTITUTE(SUBSTITUTE(SUBSTITUTE(SUBSTITUTE($A166,"-",""),"(",""),")",""),".",""),"+","")," ","")))</f>
      </c>
    </row>
    <row r="167" spans="1:7" x14ac:dyDescent="0.3">
      <c r="A167" s="28"/>
      <c r="B167" s="39">
        <f>IF($A167="","",IFERROR(IF(INDEX(Pledges!$D$5:$D$2500,MATCH($G167,Pledges!$K$5:$K$2500,0))="","⚠ no amount on Pledges",IF(INDEX(Pledges!$B$5:$B$2500,MATCH($G167,Pledges!$K$5:$K$2500,0))="","",INDEX(Pledges!$B$5:$B$2500,MATCH($G167,Pledges!$K$5:$K$2500,0)))),"⚠ phone not in Pledges"))</f>
      </c>
      <c r="C167" s="30"/>
      <c r="D167" s="31"/>
      <c r="E167" s="32"/>
      <c r="F167" s="29"/>
      <c r="G167">
        <f>IF($A167="","","#"&amp;TRIM(SUBSTITUTE(SUBSTITUTE(SUBSTITUTE(SUBSTITUTE(SUBSTITUTE(SUBSTITUTE($A167,"-",""),"(",""),")",""),".",""),"+","")," ","")))</f>
      </c>
    </row>
    <row r="168" spans="1:7" x14ac:dyDescent="0.3">
      <c r="A168" s="28"/>
      <c r="B168" s="39">
        <f>IF($A168="","",IFERROR(IF(INDEX(Pledges!$D$5:$D$2500,MATCH($G168,Pledges!$K$5:$K$2500,0))="","⚠ no amount on Pledges",IF(INDEX(Pledges!$B$5:$B$2500,MATCH($G168,Pledges!$K$5:$K$2500,0))="","",INDEX(Pledges!$B$5:$B$2500,MATCH($G168,Pledges!$K$5:$K$2500,0)))),"⚠ phone not in Pledges"))</f>
      </c>
      <c r="C168" s="30"/>
      <c r="D168" s="31"/>
      <c r="E168" s="32"/>
      <c r="F168" s="29"/>
      <c r="G168">
        <f>IF($A168="","","#"&amp;TRIM(SUBSTITUTE(SUBSTITUTE(SUBSTITUTE(SUBSTITUTE(SUBSTITUTE(SUBSTITUTE($A168,"-",""),"(",""),")",""),".",""),"+","")," ","")))</f>
      </c>
    </row>
    <row r="169" spans="1:7" x14ac:dyDescent="0.3">
      <c r="A169" s="28"/>
      <c r="B169" s="39">
        <f>IF($A169="","",IFERROR(IF(INDEX(Pledges!$D$5:$D$2500,MATCH($G169,Pledges!$K$5:$K$2500,0))="","⚠ no amount on Pledges",IF(INDEX(Pledges!$B$5:$B$2500,MATCH($G169,Pledges!$K$5:$K$2500,0))="","",INDEX(Pledges!$B$5:$B$2500,MATCH($G169,Pledges!$K$5:$K$2500,0)))),"⚠ phone not in Pledges"))</f>
      </c>
      <c r="C169" s="30"/>
      <c r="D169" s="31"/>
      <c r="E169" s="32"/>
      <c r="F169" s="29"/>
      <c r="G169">
        <f>IF($A169="","","#"&amp;TRIM(SUBSTITUTE(SUBSTITUTE(SUBSTITUTE(SUBSTITUTE(SUBSTITUTE(SUBSTITUTE($A169,"-",""),"(",""),")",""),".",""),"+","")," ","")))</f>
      </c>
    </row>
    <row r="170" spans="1:7" x14ac:dyDescent="0.3">
      <c r="A170" s="28"/>
      <c r="B170" s="39">
        <f>IF($A170="","",IFERROR(IF(INDEX(Pledges!$D$5:$D$2500,MATCH($G170,Pledges!$K$5:$K$2500,0))="","⚠ no amount on Pledges",IF(INDEX(Pledges!$B$5:$B$2500,MATCH($G170,Pledges!$K$5:$K$2500,0))="","",INDEX(Pledges!$B$5:$B$2500,MATCH($G170,Pledges!$K$5:$K$2500,0)))),"⚠ phone not in Pledges"))</f>
      </c>
      <c r="C170" s="30"/>
      <c r="D170" s="31"/>
      <c r="E170" s="32"/>
      <c r="F170" s="29"/>
      <c r="G170">
        <f>IF($A170="","","#"&amp;TRIM(SUBSTITUTE(SUBSTITUTE(SUBSTITUTE(SUBSTITUTE(SUBSTITUTE(SUBSTITUTE($A170,"-",""),"(",""),")",""),".",""),"+","")," ","")))</f>
      </c>
    </row>
    <row r="171" spans="1:7" x14ac:dyDescent="0.3">
      <c r="A171" s="28"/>
      <c r="B171" s="39">
        <f>IF($A171="","",IFERROR(IF(INDEX(Pledges!$D$5:$D$2500,MATCH($G171,Pledges!$K$5:$K$2500,0))="","⚠ no amount on Pledges",IF(INDEX(Pledges!$B$5:$B$2500,MATCH($G171,Pledges!$K$5:$K$2500,0))="","",INDEX(Pledges!$B$5:$B$2500,MATCH($G171,Pledges!$K$5:$K$2500,0)))),"⚠ phone not in Pledges"))</f>
      </c>
      <c r="C171" s="30"/>
      <c r="D171" s="31"/>
      <c r="E171" s="32"/>
      <c r="F171" s="29"/>
      <c r="G171">
        <f>IF($A171="","","#"&amp;TRIM(SUBSTITUTE(SUBSTITUTE(SUBSTITUTE(SUBSTITUTE(SUBSTITUTE(SUBSTITUTE($A171,"-",""),"(",""),")",""),".",""),"+","")," ","")))</f>
      </c>
    </row>
    <row r="172" spans="1:7" x14ac:dyDescent="0.3">
      <c r="A172" s="28"/>
      <c r="B172" s="39">
        <f>IF($A172="","",IFERROR(IF(INDEX(Pledges!$D$5:$D$2500,MATCH($G172,Pledges!$K$5:$K$2500,0))="","⚠ no amount on Pledges",IF(INDEX(Pledges!$B$5:$B$2500,MATCH($G172,Pledges!$K$5:$K$2500,0))="","",INDEX(Pledges!$B$5:$B$2500,MATCH($G172,Pledges!$K$5:$K$2500,0)))),"⚠ phone not in Pledges"))</f>
      </c>
      <c r="C172" s="30"/>
      <c r="D172" s="31"/>
      <c r="E172" s="32"/>
      <c r="F172" s="29"/>
      <c r="G172">
        <f>IF($A172="","","#"&amp;TRIM(SUBSTITUTE(SUBSTITUTE(SUBSTITUTE(SUBSTITUTE(SUBSTITUTE(SUBSTITUTE($A172,"-",""),"(",""),")",""),".",""),"+","")," ","")))</f>
      </c>
    </row>
    <row r="173" spans="1:7" x14ac:dyDescent="0.3">
      <c r="A173" s="28"/>
      <c r="B173" s="39">
        <f>IF($A173="","",IFERROR(IF(INDEX(Pledges!$D$5:$D$2500,MATCH($G173,Pledges!$K$5:$K$2500,0))="","⚠ no amount on Pledges",IF(INDEX(Pledges!$B$5:$B$2500,MATCH($G173,Pledges!$K$5:$K$2500,0))="","",INDEX(Pledges!$B$5:$B$2500,MATCH($G173,Pledges!$K$5:$K$2500,0)))),"⚠ phone not in Pledges"))</f>
      </c>
      <c r="C173" s="30"/>
      <c r="D173" s="31"/>
      <c r="E173" s="32"/>
      <c r="F173" s="29"/>
      <c r="G173">
        <f>IF($A173="","","#"&amp;TRIM(SUBSTITUTE(SUBSTITUTE(SUBSTITUTE(SUBSTITUTE(SUBSTITUTE(SUBSTITUTE($A173,"-",""),"(",""),")",""),".",""),"+","")," ","")))</f>
      </c>
    </row>
    <row r="174" spans="1:7" x14ac:dyDescent="0.3">
      <c r="A174" s="28"/>
      <c r="B174" s="39">
        <f>IF($A174="","",IFERROR(IF(INDEX(Pledges!$D$5:$D$2500,MATCH($G174,Pledges!$K$5:$K$2500,0))="","⚠ no amount on Pledges",IF(INDEX(Pledges!$B$5:$B$2500,MATCH($G174,Pledges!$K$5:$K$2500,0))="","",INDEX(Pledges!$B$5:$B$2500,MATCH($G174,Pledges!$K$5:$K$2500,0)))),"⚠ phone not in Pledges"))</f>
      </c>
      <c r="C174" s="30"/>
      <c r="D174" s="31"/>
      <c r="E174" s="32"/>
      <c r="F174" s="29"/>
      <c r="G174">
        <f>IF($A174="","","#"&amp;TRIM(SUBSTITUTE(SUBSTITUTE(SUBSTITUTE(SUBSTITUTE(SUBSTITUTE(SUBSTITUTE($A174,"-",""),"(",""),")",""),".",""),"+","")," ","")))</f>
      </c>
    </row>
    <row r="175" spans="1:7" x14ac:dyDescent="0.3">
      <c r="A175" s="28"/>
      <c r="B175" s="39">
        <f>IF($A175="","",IFERROR(IF(INDEX(Pledges!$D$5:$D$2500,MATCH($G175,Pledges!$K$5:$K$2500,0))="","⚠ no amount on Pledges",IF(INDEX(Pledges!$B$5:$B$2500,MATCH($G175,Pledges!$K$5:$K$2500,0))="","",INDEX(Pledges!$B$5:$B$2500,MATCH($G175,Pledges!$K$5:$K$2500,0)))),"⚠ phone not in Pledges"))</f>
      </c>
      <c r="C175" s="30"/>
      <c r="D175" s="31"/>
      <c r="E175" s="32"/>
      <c r="F175" s="29"/>
      <c r="G175">
        <f>IF($A175="","","#"&amp;TRIM(SUBSTITUTE(SUBSTITUTE(SUBSTITUTE(SUBSTITUTE(SUBSTITUTE(SUBSTITUTE($A175,"-",""),"(",""),")",""),".",""),"+","")," ","")))</f>
      </c>
    </row>
    <row r="176" spans="1:7" x14ac:dyDescent="0.3">
      <c r="A176" s="28"/>
      <c r="B176" s="39">
        <f>IF($A176="","",IFERROR(IF(INDEX(Pledges!$D$5:$D$2500,MATCH($G176,Pledges!$K$5:$K$2500,0))="","⚠ no amount on Pledges",IF(INDEX(Pledges!$B$5:$B$2500,MATCH($G176,Pledges!$K$5:$K$2500,0))="","",INDEX(Pledges!$B$5:$B$2500,MATCH($G176,Pledges!$K$5:$K$2500,0)))),"⚠ phone not in Pledges"))</f>
      </c>
      <c r="C176" s="30"/>
      <c r="D176" s="31"/>
      <c r="E176" s="32"/>
      <c r="F176" s="29"/>
      <c r="G176">
        <f>IF($A176="","","#"&amp;TRIM(SUBSTITUTE(SUBSTITUTE(SUBSTITUTE(SUBSTITUTE(SUBSTITUTE(SUBSTITUTE($A176,"-",""),"(",""),")",""),".",""),"+","")," ","")))</f>
      </c>
    </row>
    <row r="177" spans="1:7" x14ac:dyDescent="0.3">
      <c r="A177" s="28"/>
      <c r="B177" s="39">
        <f>IF($A177="","",IFERROR(IF(INDEX(Pledges!$D$5:$D$2500,MATCH($G177,Pledges!$K$5:$K$2500,0))="","⚠ no amount on Pledges",IF(INDEX(Pledges!$B$5:$B$2500,MATCH($G177,Pledges!$K$5:$K$2500,0))="","",INDEX(Pledges!$B$5:$B$2500,MATCH($G177,Pledges!$K$5:$K$2500,0)))),"⚠ phone not in Pledges"))</f>
      </c>
      <c r="C177" s="30"/>
      <c r="D177" s="31"/>
      <c r="E177" s="32"/>
      <c r="F177" s="29"/>
      <c r="G177">
        <f>IF($A177="","","#"&amp;TRIM(SUBSTITUTE(SUBSTITUTE(SUBSTITUTE(SUBSTITUTE(SUBSTITUTE(SUBSTITUTE($A177,"-",""),"(",""),")",""),".",""),"+","")," ","")))</f>
      </c>
    </row>
    <row r="178" spans="1:7" x14ac:dyDescent="0.3">
      <c r="A178" s="28"/>
      <c r="B178" s="39">
        <f>IF($A178="","",IFERROR(IF(INDEX(Pledges!$D$5:$D$2500,MATCH($G178,Pledges!$K$5:$K$2500,0))="","⚠ no amount on Pledges",IF(INDEX(Pledges!$B$5:$B$2500,MATCH($G178,Pledges!$K$5:$K$2500,0))="","",INDEX(Pledges!$B$5:$B$2500,MATCH($G178,Pledges!$K$5:$K$2500,0)))),"⚠ phone not in Pledges"))</f>
      </c>
      <c r="C178" s="30"/>
      <c r="D178" s="31"/>
      <c r="E178" s="32"/>
      <c r="F178" s="29"/>
      <c r="G178">
        <f>IF($A178="","","#"&amp;TRIM(SUBSTITUTE(SUBSTITUTE(SUBSTITUTE(SUBSTITUTE(SUBSTITUTE(SUBSTITUTE($A178,"-",""),"(",""),")",""),".",""),"+","")," ","")))</f>
      </c>
    </row>
    <row r="179" spans="1:7" x14ac:dyDescent="0.3">
      <c r="A179" s="28"/>
      <c r="B179" s="39">
        <f>IF($A179="","",IFERROR(IF(INDEX(Pledges!$D$5:$D$2500,MATCH($G179,Pledges!$K$5:$K$2500,0))="","⚠ no amount on Pledges",IF(INDEX(Pledges!$B$5:$B$2500,MATCH($G179,Pledges!$K$5:$K$2500,0))="","",INDEX(Pledges!$B$5:$B$2500,MATCH($G179,Pledges!$K$5:$K$2500,0)))),"⚠ phone not in Pledges"))</f>
      </c>
      <c r="C179" s="30"/>
      <c r="D179" s="31"/>
      <c r="E179" s="32"/>
      <c r="F179" s="29"/>
      <c r="G179">
        <f>IF($A179="","","#"&amp;TRIM(SUBSTITUTE(SUBSTITUTE(SUBSTITUTE(SUBSTITUTE(SUBSTITUTE(SUBSTITUTE($A179,"-",""),"(",""),")",""),".",""),"+","")," ","")))</f>
      </c>
    </row>
    <row r="180" spans="1:7" x14ac:dyDescent="0.3">
      <c r="A180" s="28"/>
      <c r="B180" s="39">
        <f>IF($A180="","",IFERROR(IF(INDEX(Pledges!$D$5:$D$2500,MATCH($G180,Pledges!$K$5:$K$2500,0))="","⚠ no amount on Pledges",IF(INDEX(Pledges!$B$5:$B$2500,MATCH($G180,Pledges!$K$5:$K$2500,0))="","",INDEX(Pledges!$B$5:$B$2500,MATCH($G180,Pledges!$K$5:$K$2500,0)))),"⚠ phone not in Pledges"))</f>
      </c>
      <c r="C180" s="30"/>
      <c r="D180" s="31"/>
      <c r="E180" s="32"/>
      <c r="F180" s="29"/>
      <c r="G180">
        <f>IF($A180="","","#"&amp;TRIM(SUBSTITUTE(SUBSTITUTE(SUBSTITUTE(SUBSTITUTE(SUBSTITUTE(SUBSTITUTE($A180,"-",""),"(",""),")",""),".",""),"+","")," ","")))</f>
      </c>
    </row>
    <row r="181" spans="1:7" x14ac:dyDescent="0.3">
      <c r="A181" s="28"/>
      <c r="B181" s="39">
        <f>IF($A181="","",IFERROR(IF(INDEX(Pledges!$D$5:$D$2500,MATCH($G181,Pledges!$K$5:$K$2500,0))="","⚠ no amount on Pledges",IF(INDEX(Pledges!$B$5:$B$2500,MATCH($G181,Pledges!$K$5:$K$2500,0))="","",INDEX(Pledges!$B$5:$B$2500,MATCH($G181,Pledges!$K$5:$K$2500,0)))),"⚠ phone not in Pledges"))</f>
      </c>
      <c r="C181" s="30"/>
      <c r="D181" s="31"/>
      <c r="E181" s="32"/>
      <c r="F181" s="29"/>
      <c r="G181">
        <f>IF($A181="","","#"&amp;TRIM(SUBSTITUTE(SUBSTITUTE(SUBSTITUTE(SUBSTITUTE(SUBSTITUTE(SUBSTITUTE($A181,"-",""),"(",""),")",""),".",""),"+","")," ","")))</f>
      </c>
    </row>
    <row r="182" spans="1:7" x14ac:dyDescent="0.3">
      <c r="A182" s="28"/>
      <c r="B182" s="39">
        <f>IF($A182="","",IFERROR(IF(INDEX(Pledges!$D$5:$D$2500,MATCH($G182,Pledges!$K$5:$K$2500,0))="","⚠ no amount on Pledges",IF(INDEX(Pledges!$B$5:$B$2500,MATCH($G182,Pledges!$K$5:$K$2500,0))="","",INDEX(Pledges!$B$5:$B$2500,MATCH($G182,Pledges!$K$5:$K$2500,0)))),"⚠ phone not in Pledges"))</f>
      </c>
      <c r="C182" s="30"/>
      <c r="D182" s="31"/>
      <c r="E182" s="32"/>
      <c r="F182" s="29"/>
      <c r="G182">
        <f>IF($A182="","","#"&amp;TRIM(SUBSTITUTE(SUBSTITUTE(SUBSTITUTE(SUBSTITUTE(SUBSTITUTE(SUBSTITUTE($A182,"-",""),"(",""),")",""),".",""),"+","")," ","")))</f>
      </c>
    </row>
    <row r="183" spans="1:7" x14ac:dyDescent="0.3">
      <c r="A183" s="28"/>
      <c r="B183" s="39">
        <f>IF($A183="","",IFERROR(IF(INDEX(Pledges!$D$5:$D$2500,MATCH($G183,Pledges!$K$5:$K$2500,0))="","⚠ no amount on Pledges",IF(INDEX(Pledges!$B$5:$B$2500,MATCH($G183,Pledges!$K$5:$K$2500,0))="","",INDEX(Pledges!$B$5:$B$2500,MATCH($G183,Pledges!$K$5:$K$2500,0)))),"⚠ phone not in Pledges"))</f>
      </c>
      <c r="C183" s="30"/>
      <c r="D183" s="31"/>
      <c r="E183" s="32"/>
      <c r="F183" s="29"/>
      <c r="G183">
        <f>IF($A183="","","#"&amp;TRIM(SUBSTITUTE(SUBSTITUTE(SUBSTITUTE(SUBSTITUTE(SUBSTITUTE(SUBSTITUTE($A183,"-",""),"(",""),")",""),".",""),"+","")," ","")))</f>
      </c>
    </row>
    <row r="184" spans="1:7" x14ac:dyDescent="0.3">
      <c r="A184" s="28"/>
      <c r="B184" s="39">
        <f>IF($A184="","",IFERROR(IF(INDEX(Pledges!$D$5:$D$2500,MATCH($G184,Pledges!$K$5:$K$2500,0))="","⚠ no amount on Pledges",IF(INDEX(Pledges!$B$5:$B$2500,MATCH($G184,Pledges!$K$5:$K$2500,0))="","",INDEX(Pledges!$B$5:$B$2500,MATCH($G184,Pledges!$K$5:$K$2500,0)))),"⚠ phone not in Pledges"))</f>
      </c>
      <c r="C184" s="30"/>
      <c r="D184" s="31"/>
      <c r="E184" s="32"/>
      <c r="F184" s="29"/>
      <c r="G184">
        <f>IF($A184="","","#"&amp;TRIM(SUBSTITUTE(SUBSTITUTE(SUBSTITUTE(SUBSTITUTE(SUBSTITUTE(SUBSTITUTE($A184,"-",""),"(",""),")",""),".",""),"+","")," ","")))</f>
      </c>
    </row>
    <row r="185" spans="1:7" x14ac:dyDescent="0.3">
      <c r="A185" s="28"/>
      <c r="B185" s="39">
        <f>IF($A185="","",IFERROR(IF(INDEX(Pledges!$D$5:$D$2500,MATCH($G185,Pledges!$K$5:$K$2500,0))="","⚠ no amount on Pledges",IF(INDEX(Pledges!$B$5:$B$2500,MATCH($G185,Pledges!$K$5:$K$2500,0))="","",INDEX(Pledges!$B$5:$B$2500,MATCH($G185,Pledges!$K$5:$K$2500,0)))),"⚠ phone not in Pledges"))</f>
      </c>
      <c r="C185" s="30"/>
      <c r="D185" s="31"/>
      <c r="E185" s="32"/>
      <c r="F185" s="29"/>
      <c r="G185">
        <f>IF($A185="","","#"&amp;TRIM(SUBSTITUTE(SUBSTITUTE(SUBSTITUTE(SUBSTITUTE(SUBSTITUTE(SUBSTITUTE($A185,"-",""),"(",""),")",""),".",""),"+","")," ","")))</f>
      </c>
    </row>
    <row r="186" spans="1:7" x14ac:dyDescent="0.3">
      <c r="A186" s="28"/>
      <c r="B186" s="39">
        <f>IF($A186="","",IFERROR(IF(INDEX(Pledges!$D$5:$D$2500,MATCH($G186,Pledges!$K$5:$K$2500,0))="","⚠ no amount on Pledges",IF(INDEX(Pledges!$B$5:$B$2500,MATCH($G186,Pledges!$K$5:$K$2500,0))="","",INDEX(Pledges!$B$5:$B$2500,MATCH($G186,Pledges!$K$5:$K$2500,0)))),"⚠ phone not in Pledges"))</f>
      </c>
      <c r="C186" s="30"/>
      <c r="D186" s="31"/>
      <c r="E186" s="32"/>
      <c r="F186" s="29"/>
      <c r="G186">
        <f>IF($A186="","","#"&amp;TRIM(SUBSTITUTE(SUBSTITUTE(SUBSTITUTE(SUBSTITUTE(SUBSTITUTE(SUBSTITUTE($A186,"-",""),"(",""),")",""),".",""),"+","")," ","")))</f>
      </c>
    </row>
    <row r="187" spans="1:7" x14ac:dyDescent="0.3">
      <c r="A187" s="28"/>
      <c r="B187" s="39">
        <f>IF($A187="","",IFERROR(IF(INDEX(Pledges!$D$5:$D$2500,MATCH($G187,Pledges!$K$5:$K$2500,0))="","⚠ no amount on Pledges",IF(INDEX(Pledges!$B$5:$B$2500,MATCH($G187,Pledges!$K$5:$K$2500,0))="","",INDEX(Pledges!$B$5:$B$2500,MATCH($G187,Pledges!$K$5:$K$2500,0)))),"⚠ phone not in Pledges"))</f>
      </c>
      <c r="C187" s="30"/>
      <c r="D187" s="31"/>
      <c r="E187" s="32"/>
      <c r="F187" s="29"/>
      <c r="G187">
        <f>IF($A187="","","#"&amp;TRIM(SUBSTITUTE(SUBSTITUTE(SUBSTITUTE(SUBSTITUTE(SUBSTITUTE(SUBSTITUTE($A187,"-",""),"(",""),")",""),".",""),"+","")," ","")))</f>
      </c>
    </row>
    <row r="188" spans="1:7" x14ac:dyDescent="0.3">
      <c r="A188" s="28"/>
      <c r="B188" s="39">
        <f>IF($A188="","",IFERROR(IF(INDEX(Pledges!$D$5:$D$2500,MATCH($G188,Pledges!$K$5:$K$2500,0))="","⚠ no amount on Pledges",IF(INDEX(Pledges!$B$5:$B$2500,MATCH($G188,Pledges!$K$5:$K$2500,0))="","",INDEX(Pledges!$B$5:$B$2500,MATCH($G188,Pledges!$K$5:$K$2500,0)))),"⚠ phone not in Pledges"))</f>
      </c>
      <c r="C188" s="30"/>
      <c r="D188" s="31"/>
      <c r="E188" s="32"/>
      <c r="F188" s="29"/>
      <c r="G188">
        <f>IF($A188="","","#"&amp;TRIM(SUBSTITUTE(SUBSTITUTE(SUBSTITUTE(SUBSTITUTE(SUBSTITUTE(SUBSTITUTE($A188,"-",""),"(",""),")",""),".",""),"+","")," ","")))</f>
      </c>
    </row>
    <row r="189" spans="1:7" x14ac:dyDescent="0.3">
      <c r="A189" s="28"/>
      <c r="B189" s="39">
        <f>IF($A189="","",IFERROR(IF(INDEX(Pledges!$D$5:$D$2500,MATCH($G189,Pledges!$K$5:$K$2500,0))="","⚠ no amount on Pledges",IF(INDEX(Pledges!$B$5:$B$2500,MATCH($G189,Pledges!$K$5:$K$2500,0))="","",INDEX(Pledges!$B$5:$B$2500,MATCH($G189,Pledges!$K$5:$K$2500,0)))),"⚠ phone not in Pledges"))</f>
      </c>
      <c r="C189" s="30"/>
      <c r="D189" s="31"/>
      <c r="E189" s="32"/>
      <c r="F189" s="29"/>
      <c r="G189">
        <f>IF($A189="","","#"&amp;TRIM(SUBSTITUTE(SUBSTITUTE(SUBSTITUTE(SUBSTITUTE(SUBSTITUTE(SUBSTITUTE($A189,"-",""),"(",""),")",""),".",""),"+","")," ","")))</f>
      </c>
    </row>
    <row r="190" spans="1:7" x14ac:dyDescent="0.3">
      <c r="A190" s="28"/>
      <c r="B190" s="39">
        <f>IF($A190="","",IFERROR(IF(INDEX(Pledges!$D$5:$D$2500,MATCH($G190,Pledges!$K$5:$K$2500,0))="","⚠ no amount on Pledges",IF(INDEX(Pledges!$B$5:$B$2500,MATCH($G190,Pledges!$K$5:$K$2500,0))="","",INDEX(Pledges!$B$5:$B$2500,MATCH($G190,Pledges!$K$5:$K$2500,0)))),"⚠ phone not in Pledges"))</f>
      </c>
      <c r="C190" s="30"/>
      <c r="D190" s="31"/>
      <c r="E190" s="32"/>
      <c r="F190" s="29"/>
      <c r="G190">
        <f>IF($A190="","","#"&amp;TRIM(SUBSTITUTE(SUBSTITUTE(SUBSTITUTE(SUBSTITUTE(SUBSTITUTE(SUBSTITUTE($A190,"-",""),"(",""),")",""),".",""),"+","")," ","")))</f>
      </c>
    </row>
    <row r="191" spans="1:7" x14ac:dyDescent="0.3">
      <c r="A191" s="28"/>
      <c r="B191" s="39">
        <f>IF($A191="","",IFERROR(IF(INDEX(Pledges!$D$5:$D$2500,MATCH($G191,Pledges!$K$5:$K$2500,0))="","⚠ no amount on Pledges",IF(INDEX(Pledges!$B$5:$B$2500,MATCH($G191,Pledges!$K$5:$K$2500,0))="","",INDEX(Pledges!$B$5:$B$2500,MATCH($G191,Pledges!$K$5:$K$2500,0)))),"⚠ phone not in Pledges"))</f>
      </c>
      <c r="C191" s="30"/>
      <c r="D191" s="31"/>
      <c r="E191" s="32"/>
      <c r="F191" s="29"/>
      <c r="G191">
        <f>IF($A191="","","#"&amp;TRIM(SUBSTITUTE(SUBSTITUTE(SUBSTITUTE(SUBSTITUTE(SUBSTITUTE(SUBSTITUTE($A191,"-",""),"(",""),")",""),".",""),"+","")," ","")))</f>
      </c>
    </row>
    <row r="192" spans="1:7" x14ac:dyDescent="0.3">
      <c r="A192" s="28"/>
      <c r="B192" s="39">
        <f>IF($A192="","",IFERROR(IF(INDEX(Pledges!$D$5:$D$2500,MATCH($G192,Pledges!$K$5:$K$2500,0))="","⚠ no amount on Pledges",IF(INDEX(Pledges!$B$5:$B$2500,MATCH($G192,Pledges!$K$5:$K$2500,0))="","",INDEX(Pledges!$B$5:$B$2500,MATCH($G192,Pledges!$K$5:$K$2500,0)))),"⚠ phone not in Pledges"))</f>
      </c>
      <c r="C192" s="30"/>
      <c r="D192" s="31"/>
      <c r="E192" s="32"/>
      <c r="F192" s="29"/>
      <c r="G192">
        <f>IF($A192="","","#"&amp;TRIM(SUBSTITUTE(SUBSTITUTE(SUBSTITUTE(SUBSTITUTE(SUBSTITUTE(SUBSTITUTE($A192,"-",""),"(",""),")",""),".",""),"+","")," ","")))</f>
      </c>
    </row>
    <row r="193" spans="1:7" x14ac:dyDescent="0.3">
      <c r="A193" s="28"/>
      <c r="B193" s="39">
        <f>IF($A193="","",IFERROR(IF(INDEX(Pledges!$D$5:$D$2500,MATCH($G193,Pledges!$K$5:$K$2500,0))="","⚠ no amount on Pledges",IF(INDEX(Pledges!$B$5:$B$2500,MATCH($G193,Pledges!$K$5:$K$2500,0))="","",INDEX(Pledges!$B$5:$B$2500,MATCH($G193,Pledges!$K$5:$K$2500,0)))),"⚠ phone not in Pledges"))</f>
      </c>
      <c r="C193" s="30"/>
      <c r="D193" s="31"/>
      <c r="E193" s="32"/>
      <c r="F193" s="29"/>
      <c r="G193">
        <f>IF($A193="","","#"&amp;TRIM(SUBSTITUTE(SUBSTITUTE(SUBSTITUTE(SUBSTITUTE(SUBSTITUTE(SUBSTITUTE($A193,"-",""),"(",""),")",""),".",""),"+","")," ","")))</f>
      </c>
    </row>
    <row r="194" spans="1:7" x14ac:dyDescent="0.3">
      <c r="A194" s="28"/>
      <c r="B194" s="39">
        <f>IF($A194="","",IFERROR(IF(INDEX(Pledges!$D$5:$D$2500,MATCH($G194,Pledges!$K$5:$K$2500,0))="","⚠ no amount on Pledges",IF(INDEX(Pledges!$B$5:$B$2500,MATCH($G194,Pledges!$K$5:$K$2500,0))="","",INDEX(Pledges!$B$5:$B$2500,MATCH($G194,Pledges!$K$5:$K$2500,0)))),"⚠ phone not in Pledges"))</f>
      </c>
      <c r="C194" s="30"/>
      <c r="D194" s="31"/>
      <c r="E194" s="32"/>
      <c r="F194" s="29"/>
      <c r="G194">
        <f>IF($A194="","","#"&amp;TRIM(SUBSTITUTE(SUBSTITUTE(SUBSTITUTE(SUBSTITUTE(SUBSTITUTE(SUBSTITUTE($A194,"-",""),"(",""),")",""),".",""),"+","")," ","")))</f>
      </c>
    </row>
    <row r="195" spans="1:7" x14ac:dyDescent="0.3">
      <c r="A195" s="28"/>
      <c r="B195" s="39">
        <f>IF($A195="","",IFERROR(IF(INDEX(Pledges!$D$5:$D$2500,MATCH($G195,Pledges!$K$5:$K$2500,0))="","⚠ no amount on Pledges",IF(INDEX(Pledges!$B$5:$B$2500,MATCH($G195,Pledges!$K$5:$K$2500,0))="","",INDEX(Pledges!$B$5:$B$2500,MATCH($G195,Pledges!$K$5:$K$2500,0)))),"⚠ phone not in Pledges"))</f>
      </c>
      <c r="C195" s="30"/>
      <c r="D195" s="31"/>
      <c r="E195" s="32"/>
      <c r="F195" s="29"/>
      <c r="G195">
        <f>IF($A195="","","#"&amp;TRIM(SUBSTITUTE(SUBSTITUTE(SUBSTITUTE(SUBSTITUTE(SUBSTITUTE(SUBSTITUTE($A195,"-",""),"(",""),")",""),".",""),"+","")," ","")))</f>
      </c>
    </row>
    <row r="196" spans="1:7" x14ac:dyDescent="0.3">
      <c r="A196" s="28"/>
      <c r="B196" s="39">
        <f>IF($A196="","",IFERROR(IF(INDEX(Pledges!$D$5:$D$2500,MATCH($G196,Pledges!$K$5:$K$2500,0))="","⚠ no amount on Pledges",IF(INDEX(Pledges!$B$5:$B$2500,MATCH($G196,Pledges!$K$5:$K$2500,0))="","",INDEX(Pledges!$B$5:$B$2500,MATCH($G196,Pledges!$K$5:$K$2500,0)))),"⚠ phone not in Pledges"))</f>
      </c>
      <c r="C196" s="30"/>
      <c r="D196" s="31"/>
      <c r="E196" s="32"/>
      <c r="F196" s="29"/>
      <c r="G196">
        <f>IF($A196="","","#"&amp;TRIM(SUBSTITUTE(SUBSTITUTE(SUBSTITUTE(SUBSTITUTE(SUBSTITUTE(SUBSTITUTE($A196,"-",""),"(",""),")",""),".",""),"+","")," ","")))</f>
      </c>
    </row>
    <row r="197" spans="1:7" x14ac:dyDescent="0.3">
      <c r="A197" s="28"/>
      <c r="B197" s="39">
        <f>IF($A197="","",IFERROR(IF(INDEX(Pledges!$D$5:$D$2500,MATCH($G197,Pledges!$K$5:$K$2500,0))="","⚠ no amount on Pledges",IF(INDEX(Pledges!$B$5:$B$2500,MATCH($G197,Pledges!$K$5:$K$2500,0))="","",INDEX(Pledges!$B$5:$B$2500,MATCH($G197,Pledges!$K$5:$K$2500,0)))),"⚠ phone not in Pledges"))</f>
      </c>
      <c r="C197" s="30"/>
      <c r="D197" s="31"/>
      <c r="E197" s="32"/>
      <c r="F197" s="29"/>
      <c r="G197">
        <f>IF($A197="","","#"&amp;TRIM(SUBSTITUTE(SUBSTITUTE(SUBSTITUTE(SUBSTITUTE(SUBSTITUTE(SUBSTITUTE($A197,"-",""),"(",""),")",""),".",""),"+","")," ","")))</f>
      </c>
    </row>
    <row r="198" spans="1:7" x14ac:dyDescent="0.3">
      <c r="A198" s="28"/>
      <c r="B198" s="39">
        <f>IF($A198="","",IFERROR(IF(INDEX(Pledges!$D$5:$D$2500,MATCH($G198,Pledges!$K$5:$K$2500,0))="","⚠ no amount on Pledges",IF(INDEX(Pledges!$B$5:$B$2500,MATCH($G198,Pledges!$K$5:$K$2500,0))="","",INDEX(Pledges!$B$5:$B$2500,MATCH($G198,Pledges!$K$5:$K$2500,0)))),"⚠ phone not in Pledges"))</f>
      </c>
      <c r="C198" s="30"/>
      <c r="D198" s="31"/>
      <c r="E198" s="32"/>
      <c r="F198" s="29"/>
      <c r="G198">
        <f>IF($A198="","","#"&amp;TRIM(SUBSTITUTE(SUBSTITUTE(SUBSTITUTE(SUBSTITUTE(SUBSTITUTE(SUBSTITUTE($A198,"-",""),"(",""),")",""),".",""),"+","")," ","")))</f>
      </c>
    </row>
    <row r="199" spans="1:7" x14ac:dyDescent="0.3">
      <c r="A199" s="28"/>
      <c r="B199" s="39">
        <f>IF($A199="","",IFERROR(IF(INDEX(Pledges!$D$5:$D$2500,MATCH($G199,Pledges!$K$5:$K$2500,0))="","⚠ no amount on Pledges",IF(INDEX(Pledges!$B$5:$B$2500,MATCH($G199,Pledges!$K$5:$K$2500,0))="","",INDEX(Pledges!$B$5:$B$2500,MATCH($G199,Pledges!$K$5:$K$2500,0)))),"⚠ phone not in Pledges"))</f>
      </c>
      <c r="C199" s="30"/>
      <c r="D199" s="31"/>
      <c r="E199" s="32"/>
      <c r="F199" s="29"/>
      <c r="G199">
        <f>IF($A199="","","#"&amp;TRIM(SUBSTITUTE(SUBSTITUTE(SUBSTITUTE(SUBSTITUTE(SUBSTITUTE(SUBSTITUTE($A199,"-",""),"(",""),")",""),".",""),"+","")," ","")))</f>
      </c>
    </row>
    <row r="200" spans="1:7" x14ac:dyDescent="0.3">
      <c r="A200" s="28"/>
      <c r="B200" s="39">
        <f>IF($A200="","",IFERROR(IF(INDEX(Pledges!$D$5:$D$2500,MATCH($G200,Pledges!$K$5:$K$2500,0))="","⚠ no amount on Pledges",IF(INDEX(Pledges!$B$5:$B$2500,MATCH($G200,Pledges!$K$5:$K$2500,0))="","",INDEX(Pledges!$B$5:$B$2500,MATCH($G200,Pledges!$K$5:$K$2500,0)))),"⚠ phone not in Pledges"))</f>
      </c>
      <c r="C200" s="30"/>
      <c r="D200" s="31"/>
      <c r="E200" s="32"/>
      <c r="F200" s="29"/>
      <c r="G200">
        <f>IF($A200="","","#"&amp;TRIM(SUBSTITUTE(SUBSTITUTE(SUBSTITUTE(SUBSTITUTE(SUBSTITUTE(SUBSTITUTE($A200,"-",""),"(",""),")",""),".",""),"+","")," ","")))</f>
      </c>
    </row>
    <row r="201" spans="1:7" x14ac:dyDescent="0.3">
      <c r="A201" s="28"/>
      <c r="B201" s="39">
        <f>IF($A201="","",IFERROR(IF(INDEX(Pledges!$D$5:$D$2500,MATCH($G201,Pledges!$K$5:$K$2500,0))="","⚠ no amount on Pledges",IF(INDEX(Pledges!$B$5:$B$2500,MATCH($G201,Pledges!$K$5:$K$2500,0))="","",INDEX(Pledges!$B$5:$B$2500,MATCH($G201,Pledges!$K$5:$K$2500,0)))),"⚠ phone not in Pledges"))</f>
      </c>
      <c r="C201" s="30"/>
      <c r="D201" s="31"/>
      <c r="E201" s="32"/>
      <c r="F201" s="29"/>
      <c r="G201">
        <f>IF($A201="","","#"&amp;TRIM(SUBSTITUTE(SUBSTITUTE(SUBSTITUTE(SUBSTITUTE(SUBSTITUTE(SUBSTITUTE($A201,"-",""),"(",""),")",""),".",""),"+","")," ","")))</f>
      </c>
    </row>
    <row r="202" spans="1:7" x14ac:dyDescent="0.3">
      <c r="A202" s="28"/>
      <c r="B202" s="39">
        <f>IF($A202="","",IFERROR(IF(INDEX(Pledges!$D$5:$D$2500,MATCH($G202,Pledges!$K$5:$K$2500,0))="","⚠ no amount on Pledges",IF(INDEX(Pledges!$B$5:$B$2500,MATCH($G202,Pledges!$K$5:$K$2500,0))="","",INDEX(Pledges!$B$5:$B$2500,MATCH($G202,Pledges!$K$5:$K$2500,0)))),"⚠ phone not in Pledges"))</f>
      </c>
      <c r="C202" s="30"/>
      <c r="D202" s="31"/>
      <c r="E202" s="32"/>
      <c r="F202" s="29"/>
      <c r="G202">
        <f>IF($A202="","","#"&amp;TRIM(SUBSTITUTE(SUBSTITUTE(SUBSTITUTE(SUBSTITUTE(SUBSTITUTE(SUBSTITUTE($A202,"-",""),"(",""),")",""),".",""),"+","")," ","")))</f>
      </c>
    </row>
    <row r="203" spans="1:7" x14ac:dyDescent="0.3">
      <c r="A203" s="28"/>
      <c r="B203" s="39">
        <f>IF($A203="","",IFERROR(IF(INDEX(Pledges!$D$5:$D$2500,MATCH($G203,Pledges!$K$5:$K$2500,0))="","⚠ no amount on Pledges",IF(INDEX(Pledges!$B$5:$B$2500,MATCH($G203,Pledges!$K$5:$K$2500,0))="","",INDEX(Pledges!$B$5:$B$2500,MATCH($G203,Pledges!$K$5:$K$2500,0)))),"⚠ phone not in Pledges"))</f>
      </c>
      <c r="C203" s="30"/>
      <c r="D203" s="31"/>
      <c r="E203" s="32"/>
      <c r="F203" s="29"/>
      <c r="G203">
        <f>IF($A203="","","#"&amp;TRIM(SUBSTITUTE(SUBSTITUTE(SUBSTITUTE(SUBSTITUTE(SUBSTITUTE(SUBSTITUTE($A203,"-",""),"(",""),")",""),".",""),"+","")," ","")))</f>
      </c>
    </row>
    <row r="204" spans="1:7" x14ac:dyDescent="0.3">
      <c r="A204" s="28"/>
      <c r="B204" s="39">
        <f>IF($A204="","",IFERROR(IF(INDEX(Pledges!$D$5:$D$2500,MATCH($G204,Pledges!$K$5:$K$2500,0))="","⚠ no amount on Pledges",IF(INDEX(Pledges!$B$5:$B$2500,MATCH($G204,Pledges!$K$5:$K$2500,0))="","",INDEX(Pledges!$B$5:$B$2500,MATCH($G204,Pledges!$K$5:$K$2500,0)))),"⚠ phone not in Pledges"))</f>
      </c>
      <c r="C204" s="30"/>
      <c r="D204" s="31"/>
      <c r="E204" s="32"/>
      <c r="F204" s="29"/>
      <c r="G204">
        <f>IF($A204="","","#"&amp;TRIM(SUBSTITUTE(SUBSTITUTE(SUBSTITUTE(SUBSTITUTE(SUBSTITUTE(SUBSTITUTE($A204,"-",""),"(",""),")",""),".",""),"+","")," ","")))</f>
      </c>
    </row>
    <row r="205" spans="1:7" x14ac:dyDescent="0.3">
      <c r="A205" s="28"/>
      <c r="B205" s="39">
        <f>IF($A205="","",IFERROR(IF(INDEX(Pledges!$D$5:$D$2500,MATCH($G205,Pledges!$K$5:$K$2500,0))="","⚠ no amount on Pledges",IF(INDEX(Pledges!$B$5:$B$2500,MATCH($G205,Pledges!$K$5:$K$2500,0))="","",INDEX(Pledges!$B$5:$B$2500,MATCH($G205,Pledges!$K$5:$K$2500,0)))),"⚠ phone not in Pledges"))</f>
      </c>
      <c r="C205" s="30"/>
      <c r="D205" s="31"/>
      <c r="E205" s="32"/>
      <c r="F205" s="29"/>
      <c r="G205">
        <f>IF($A205="","","#"&amp;TRIM(SUBSTITUTE(SUBSTITUTE(SUBSTITUTE(SUBSTITUTE(SUBSTITUTE(SUBSTITUTE($A205,"-",""),"(",""),")",""),".",""),"+","")," ","")))</f>
      </c>
    </row>
    <row r="206" spans="1:7" x14ac:dyDescent="0.3">
      <c r="A206" s="28"/>
      <c r="B206" s="39">
        <f>IF($A206="","",IFERROR(IF(INDEX(Pledges!$D$5:$D$2500,MATCH($G206,Pledges!$K$5:$K$2500,0))="","⚠ no amount on Pledges",IF(INDEX(Pledges!$B$5:$B$2500,MATCH($G206,Pledges!$K$5:$K$2500,0))="","",INDEX(Pledges!$B$5:$B$2500,MATCH($G206,Pledges!$K$5:$K$2500,0)))),"⚠ phone not in Pledges"))</f>
      </c>
      <c r="C206" s="30"/>
      <c r="D206" s="31"/>
      <c r="E206" s="32"/>
      <c r="F206" s="29"/>
      <c r="G206">
        <f>IF($A206="","","#"&amp;TRIM(SUBSTITUTE(SUBSTITUTE(SUBSTITUTE(SUBSTITUTE(SUBSTITUTE(SUBSTITUTE($A206,"-",""),"(",""),")",""),".",""),"+","")," ","")))</f>
      </c>
    </row>
    <row r="207" spans="1:7" x14ac:dyDescent="0.3">
      <c r="A207" s="28"/>
      <c r="B207" s="39">
        <f>IF($A207="","",IFERROR(IF(INDEX(Pledges!$D$5:$D$2500,MATCH($G207,Pledges!$K$5:$K$2500,0))="","⚠ no amount on Pledges",IF(INDEX(Pledges!$B$5:$B$2500,MATCH($G207,Pledges!$K$5:$K$2500,0))="","",INDEX(Pledges!$B$5:$B$2500,MATCH($G207,Pledges!$K$5:$K$2500,0)))),"⚠ phone not in Pledges"))</f>
      </c>
      <c r="C207" s="30"/>
      <c r="D207" s="31"/>
      <c r="E207" s="32"/>
      <c r="F207" s="29"/>
      <c r="G207">
        <f>IF($A207="","","#"&amp;TRIM(SUBSTITUTE(SUBSTITUTE(SUBSTITUTE(SUBSTITUTE(SUBSTITUTE(SUBSTITUTE($A207,"-",""),"(",""),")",""),".",""),"+","")," ","")))</f>
      </c>
    </row>
    <row r="208" spans="1:7" x14ac:dyDescent="0.3">
      <c r="A208" s="28"/>
      <c r="B208" s="39">
        <f>IF($A208="","",IFERROR(IF(INDEX(Pledges!$D$5:$D$2500,MATCH($G208,Pledges!$K$5:$K$2500,0))="","⚠ no amount on Pledges",IF(INDEX(Pledges!$B$5:$B$2500,MATCH($G208,Pledges!$K$5:$K$2500,0))="","",INDEX(Pledges!$B$5:$B$2500,MATCH($G208,Pledges!$K$5:$K$2500,0)))),"⚠ phone not in Pledges"))</f>
      </c>
      <c r="C208" s="30"/>
      <c r="D208" s="31"/>
      <c r="E208" s="32"/>
      <c r="F208" s="29"/>
      <c r="G208">
        <f>IF($A208="","","#"&amp;TRIM(SUBSTITUTE(SUBSTITUTE(SUBSTITUTE(SUBSTITUTE(SUBSTITUTE(SUBSTITUTE($A208,"-",""),"(",""),")",""),".",""),"+","")," ","")))</f>
      </c>
    </row>
    <row r="209" spans="1:7" x14ac:dyDescent="0.3">
      <c r="A209" s="28"/>
      <c r="B209" s="39">
        <f>IF($A209="","",IFERROR(IF(INDEX(Pledges!$D$5:$D$2500,MATCH($G209,Pledges!$K$5:$K$2500,0))="","⚠ no amount on Pledges",IF(INDEX(Pledges!$B$5:$B$2500,MATCH($G209,Pledges!$K$5:$K$2500,0))="","",INDEX(Pledges!$B$5:$B$2500,MATCH($G209,Pledges!$K$5:$K$2500,0)))),"⚠ phone not in Pledges"))</f>
      </c>
      <c r="C209" s="30"/>
      <c r="D209" s="31"/>
      <c r="E209" s="32"/>
      <c r="F209" s="29"/>
      <c r="G209">
        <f>IF($A209="","","#"&amp;TRIM(SUBSTITUTE(SUBSTITUTE(SUBSTITUTE(SUBSTITUTE(SUBSTITUTE(SUBSTITUTE($A209,"-",""),"(",""),")",""),".",""),"+","")," ","")))</f>
      </c>
    </row>
    <row r="210" spans="1:7" x14ac:dyDescent="0.3">
      <c r="A210" s="28"/>
      <c r="B210" s="39">
        <f>IF($A210="","",IFERROR(IF(INDEX(Pledges!$D$5:$D$2500,MATCH($G210,Pledges!$K$5:$K$2500,0))="","⚠ no amount on Pledges",IF(INDEX(Pledges!$B$5:$B$2500,MATCH($G210,Pledges!$K$5:$K$2500,0))="","",INDEX(Pledges!$B$5:$B$2500,MATCH($G210,Pledges!$K$5:$K$2500,0)))),"⚠ phone not in Pledges"))</f>
      </c>
      <c r="C210" s="30"/>
      <c r="D210" s="31"/>
      <c r="E210" s="32"/>
      <c r="F210" s="29"/>
      <c r="G210">
        <f>IF($A210="","","#"&amp;TRIM(SUBSTITUTE(SUBSTITUTE(SUBSTITUTE(SUBSTITUTE(SUBSTITUTE(SUBSTITUTE($A210,"-",""),"(",""),")",""),".",""),"+","")," ","")))</f>
      </c>
    </row>
    <row r="211" spans="1:7" x14ac:dyDescent="0.3">
      <c r="A211" s="28"/>
      <c r="B211" s="39">
        <f>IF($A211="","",IFERROR(IF(INDEX(Pledges!$D$5:$D$2500,MATCH($G211,Pledges!$K$5:$K$2500,0))="","⚠ no amount on Pledges",IF(INDEX(Pledges!$B$5:$B$2500,MATCH($G211,Pledges!$K$5:$K$2500,0))="","",INDEX(Pledges!$B$5:$B$2500,MATCH($G211,Pledges!$K$5:$K$2500,0)))),"⚠ phone not in Pledges"))</f>
      </c>
      <c r="C211" s="30"/>
      <c r="D211" s="31"/>
      <c r="E211" s="32"/>
      <c r="F211" s="29"/>
      <c r="G211">
        <f>IF($A211="","","#"&amp;TRIM(SUBSTITUTE(SUBSTITUTE(SUBSTITUTE(SUBSTITUTE(SUBSTITUTE(SUBSTITUTE($A211,"-",""),"(",""),")",""),".",""),"+","")," ","")))</f>
      </c>
    </row>
    <row r="212" spans="1:7" x14ac:dyDescent="0.3">
      <c r="A212" s="28"/>
      <c r="B212" s="39">
        <f>IF($A212="","",IFERROR(IF(INDEX(Pledges!$D$5:$D$2500,MATCH($G212,Pledges!$K$5:$K$2500,0))="","⚠ no amount on Pledges",IF(INDEX(Pledges!$B$5:$B$2500,MATCH($G212,Pledges!$K$5:$K$2500,0))="","",INDEX(Pledges!$B$5:$B$2500,MATCH($G212,Pledges!$K$5:$K$2500,0)))),"⚠ phone not in Pledges"))</f>
      </c>
      <c r="C212" s="30"/>
      <c r="D212" s="31"/>
      <c r="E212" s="32"/>
      <c r="F212" s="29"/>
      <c r="G212">
        <f>IF($A212="","","#"&amp;TRIM(SUBSTITUTE(SUBSTITUTE(SUBSTITUTE(SUBSTITUTE(SUBSTITUTE(SUBSTITUTE($A212,"-",""),"(",""),")",""),".",""),"+","")," ","")))</f>
      </c>
    </row>
    <row r="213" spans="1:7" x14ac:dyDescent="0.3">
      <c r="A213" s="28"/>
      <c r="B213" s="39">
        <f>IF($A213="","",IFERROR(IF(INDEX(Pledges!$D$5:$D$2500,MATCH($G213,Pledges!$K$5:$K$2500,0))="","⚠ no amount on Pledges",IF(INDEX(Pledges!$B$5:$B$2500,MATCH($G213,Pledges!$K$5:$K$2500,0))="","",INDEX(Pledges!$B$5:$B$2500,MATCH($G213,Pledges!$K$5:$K$2500,0)))),"⚠ phone not in Pledges"))</f>
      </c>
      <c r="C213" s="30"/>
      <c r="D213" s="31"/>
      <c r="E213" s="32"/>
      <c r="F213" s="29"/>
      <c r="G213">
        <f>IF($A213="","","#"&amp;TRIM(SUBSTITUTE(SUBSTITUTE(SUBSTITUTE(SUBSTITUTE(SUBSTITUTE(SUBSTITUTE($A213,"-",""),"(",""),")",""),".",""),"+","")," ","")))</f>
      </c>
    </row>
    <row r="214" spans="1:7" x14ac:dyDescent="0.3">
      <c r="A214" s="28"/>
      <c r="B214" s="39">
        <f>IF($A214="","",IFERROR(IF(INDEX(Pledges!$D$5:$D$2500,MATCH($G214,Pledges!$K$5:$K$2500,0))="","⚠ no amount on Pledges",IF(INDEX(Pledges!$B$5:$B$2500,MATCH($G214,Pledges!$K$5:$K$2500,0))="","",INDEX(Pledges!$B$5:$B$2500,MATCH($G214,Pledges!$K$5:$K$2500,0)))),"⚠ phone not in Pledges"))</f>
      </c>
      <c r="C214" s="30"/>
      <c r="D214" s="31"/>
      <c r="E214" s="32"/>
      <c r="F214" s="29"/>
      <c r="G214">
        <f>IF($A214="","","#"&amp;TRIM(SUBSTITUTE(SUBSTITUTE(SUBSTITUTE(SUBSTITUTE(SUBSTITUTE(SUBSTITUTE($A214,"-",""),"(",""),")",""),".",""),"+","")," ","")))</f>
      </c>
    </row>
    <row r="215" spans="1:7" x14ac:dyDescent="0.3">
      <c r="A215" s="28"/>
      <c r="B215" s="39">
        <f>IF($A215="","",IFERROR(IF(INDEX(Pledges!$D$5:$D$2500,MATCH($G215,Pledges!$K$5:$K$2500,0))="","⚠ no amount on Pledges",IF(INDEX(Pledges!$B$5:$B$2500,MATCH($G215,Pledges!$K$5:$K$2500,0))="","",INDEX(Pledges!$B$5:$B$2500,MATCH($G215,Pledges!$K$5:$K$2500,0)))),"⚠ phone not in Pledges"))</f>
      </c>
      <c r="C215" s="30"/>
      <c r="D215" s="31"/>
      <c r="E215" s="32"/>
      <c r="F215" s="29"/>
      <c r="G215">
        <f>IF($A215="","","#"&amp;TRIM(SUBSTITUTE(SUBSTITUTE(SUBSTITUTE(SUBSTITUTE(SUBSTITUTE(SUBSTITUTE($A215,"-",""),"(",""),")",""),".",""),"+","")," ","")))</f>
      </c>
    </row>
    <row r="216" spans="1:7" x14ac:dyDescent="0.3">
      <c r="A216" s="28"/>
      <c r="B216" s="39">
        <f>IF($A216="","",IFERROR(IF(INDEX(Pledges!$D$5:$D$2500,MATCH($G216,Pledges!$K$5:$K$2500,0))="","⚠ no amount on Pledges",IF(INDEX(Pledges!$B$5:$B$2500,MATCH($G216,Pledges!$K$5:$K$2500,0))="","",INDEX(Pledges!$B$5:$B$2500,MATCH($G216,Pledges!$K$5:$K$2500,0)))),"⚠ phone not in Pledges"))</f>
      </c>
      <c r="C216" s="30"/>
      <c r="D216" s="31"/>
      <c r="E216" s="32"/>
      <c r="F216" s="29"/>
      <c r="G216">
        <f>IF($A216="","","#"&amp;TRIM(SUBSTITUTE(SUBSTITUTE(SUBSTITUTE(SUBSTITUTE(SUBSTITUTE(SUBSTITUTE($A216,"-",""),"(",""),")",""),".",""),"+","")," ","")))</f>
      </c>
    </row>
    <row r="217" spans="1:7" x14ac:dyDescent="0.3">
      <c r="A217" s="28"/>
      <c r="B217" s="39">
        <f>IF($A217="","",IFERROR(IF(INDEX(Pledges!$D$5:$D$2500,MATCH($G217,Pledges!$K$5:$K$2500,0))="","⚠ no amount on Pledges",IF(INDEX(Pledges!$B$5:$B$2500,MATCH($G217,Pledges!$K$5:$K$2500,0))="","",INDEX(Pledges!$B$5:$B$2500,MATCH($G217,Pledges!$K$5:$K$2500,0)))),"⚠ phone not in Pledges"))</f>
      </c>
      <c r="C217" s="30"/>
      <c r="D217" s="31"/>
      <c r="E217" s="32"/>
      <c r="F217" s="29"/>
      <c r="G217">
        <f>IF($A217="","","#"&amp;TRIM(SUBSTITUTE(SUBSTITUTE(SUBSTITUTE(SUBSTITUTE(SUBSTITUTE(SUBSTITUTE($A217,"-",""),"(",""),")",""),".",""),"+","")," ","")))</f>
      </c>
    </row>
    <row r="218" spans="1:7" x14ac:dyDescent="0.3">
      <c r="A218" s="28"/>
      <c r="B218" s="39">
        <f>IF($A218="","",IFERROR(IF(INDEX(Pledges!$D$5:$D$2500,MATCH($G218,Pledges!$K$5:$K$2500,0))="","⚠ no amount on Pledges",IF(INDEX(Pledges!$B$5:$B$2500,MATCH($G218,Pledges!$K$5:$K$2500,0))="","",INDEX(Pledges!$B$5:$B$2500,MATCH($G218,Pledges!$K$5:$K$2500,0)))),"⚠ phone not in Pledges"))</f>
      </c>
      <c r="C218" s="30"/>
      <c r="D218" s="31"/>
      <c r="E218" s="32"/>
      <c r="F218" s="29"/>
      <c r="G218">
        <f>IF($A218="","","#"&amp;TRIM(SUBSTITUTE(SUBSTITUTE(SUBSTITUTE(SUBSTITUTE(SUBSTITUTE(SUBSTITUTE($A218,"-",""),"(",""),")",""),".",""),"+","")," ","")))</f>
      </c>
    </row>
    <row r="219" spans="1:7" x14ac:dyDescent="0.3">
      <c r="A219" s="28"/>
      <c r="B219" s="39">
        <f>IF($A219="","",IFERROR(IF(INDEX(Pledges!$D$5:$D$2500,MATCH($G219,Pledges!$K$5:$K$2500,0))="","⚠ no amount on Pledges",IF(INDEX(Pledges!$B$5:$B$2500,MATCH($G219,Pledges!$K$5:$K$2500,0))="","",INDEX(Pledges!$B$5:$B$2500,MATCH($G219,Pledges!$K$5:$K$2500,0)))),"⚠ phone not in Pledges"))</f>
      </c>
      <c r="C219" s="30"/>
      <c r="D219" s="31"/>
      <c r="E219" s="32"/>
      <c r="F219" s="29"/>
      <c r="G219">
        <f>IF($A219="","","#"&amp;TRIM(SUBSTITUTE(SUBSTITUTE(SUBSTITUTE(SUBSTITUTE(SUBSTITUTE(SUBSTITUTE($A219,"-",""),"(",""),")",""),".",""),"+","")," ","")))</f>
      </c>
    </row>
    <row r="220" spans="1:7" x14ac:dyDescent="0.3">
      <c r="A220" s="28"/>
      <c r="B220" s="39">
        <f>IF($A220="","",IFERROR(IF(INDEX(Pledges!$D$5:$D$2500,MATCH($G220,Pledges!$K$5:$K$2500,0))="","⚠ no amount on Pledges",IF(INDEX(Pledges!$B$5:$B$2500,MATCH($G220,Pledges!$K$5:$K$2500,0))="","",INDEX(Pledges!$B$5:$B$2500,MATCH($G220,Pledges!$K$5:$K$2500,0)))),"⚠ phone not in Pledges"))</f>
      </c>
      <c r="C220" s="30"/>
      <c r="D220" s="31"/>
      <c r="E220" s="32"/>
      <c r="F220" s="29"/>
      <c r="G220">
        <f>IF($A220="","","#"&amp;TRIM(SUBSTITUTE(SUBSTITUTE(SUBSTITUTE(SUBSTITUTE(SUBSTITUTE(SUBSTITUTE($A220,"-",""),"(",""),")",""),".",""),"+","")," ","")))</f>
      </c>
    </row>
    <row r="221" spans="1:7" x14ac:dyDescent="0.3">
      <c r="A221" s="28"/>
      <c r="B221" s="39">
        <f>IF($A221="","",IFERROR(IF(INDEX(Pledges!$D$5:$D$2500,MATCH($G221,Pledges!$K$5:$K$2500,0))="","⚠ no amount on Pledges",IF(INDEX(Pledges!$B$5:$B$2500,MATCH($G221,Pledges!$K$5:$K$2500,0))="","",INDEX(Pledges!$B$5:$B$2500,MATCH($G221,Pledges!$K$5:$K$2500,0)))),"⚠ phone not in Pledges"))</f>
      </c>
      <c r="C221" s="30"/>
      <c r="D221" s="31"/>
      <c r="E221" s="32"/>
      <c r="F221" s="29"/>
      <c r="G221">
        <f>IF($A221="","","#"&amp;TRIM(SUBSTITUTE(SUBSTITUTE(SUBSTITUTE(SUBSTITUTE(SUBSTITUTE(SUBSTITUTE($A221,"-",""),"(",""),")",""),".",""),"+","")," ","")))</f>
      </c>
    </row>
    <row r="222" spans="1:7" x14ac:dyDescent="0.3">
      <c r="A222" s="28"/>
      <c r="B222" s="39">
        <f>IF($A222="","",IFERROR(IF(INDEX(Pledges!$D$5:$D$2500,MATCH($G222,Pledges!$K$5:$K$2500,0))="","⚠ no amount on Pledges",IF(INDEX(Pledges!$B$5:$B$2500,MATCH($G222,Pledges!$K$5:$K$2500,0))="","",INDEX(Pledges!$B$5:$B$2500,MATCH($G222,Pledges!$K$5:$K$2500,0)))),"⚠ phone not in Pledges"))</f>
      </c>
      <c r="C222" s="30"/>
      <c r="D222" s="31"/>
      <c r="E222" s="32"/>
      <c r="F222" s="29"/>
      <c r="G222">
        <f>IF($A222="","","#"&amp;TRIM(SUBSTITUTE(SUBSTITUTE(SUBSTITUTE(SUBSTITUTE(SUBSTITUTE(SUBSTITUTE($A222,"-",""),"(",""),")",""),".",""),"+","")," ","")))</f>
      </c>
    </row>
    <row r="223" spans="1:7" x14ac:dyDescent="0.3">
      <c r="A223" s="28"/>
      <c r="B223" s="39">
        <f>IF($A223="","",IFERROR(IF(INDEX(Pledges!$D$5:$D$2500,MATCH($G223,Pledges!$K$5:$K$2500,0))="","⚠ no amount on Pledges",IF(INDEX(Pledges!$B$5:$B$2500,MATCH($G223,Pledges!$K$5:$K$2500,0))="","",INDEX(Pledges!$B$5:$B$2500,MATCH($G223,Pledges!$K$5:$K$2500,0)))),"⚠ phone not in Pledges"))</f>
      </c>
      <c r="C223" s="30"/>
      <c r="D223" s="31"/>
      <c r="E223" s="32"/>
      <c r="F223" s="29"/>
      <c r="G223">
        <f>IF($A223="","","#"&amp;TRIM(SUBSTITUTE(SUBSTITUTE(SUBSTITUTE(SUBSTITUTE(SUBSTITUTE(SUBSTITUTE($A223,"-",""),"(",""),")",""),".",""),"+","")," ","")))</f>
      </c>
    </row>
    <row r="224" spans="1:7" x14ac:dyDescent="0.3">
      <c r="A224" s="28"/>
      <c r="B224" s="39">
        <f>IF($A224="","",IFERROR(IF(INDEX(Pledges!$D$5:$D$2500,MATCH($G224,Pledges!$K$5:$K$2500,0))="","⚠ no amount on Pledges",IF(INDEX(Pledges!$B$5:$B$2500,MATCH($G224,Pledges!$K$5:$K$2500,0))="","",INDEX(Pledges!$B$5:$B$2500,MATCH($G224,Pledges!$K$5:$K$2500,0)))),"⚠ phone not in Pledges"))</f>
      </c>
      <c r="C224" s="30"/>
      <c r="D224" s="31"/>
      <c r="E224" s="32"/>
      <c r="F224" s="29"/>
      <c r="G224">
        <f>IF($A224="","","#"&amp;TRIM(SUBSTITUTE(SUBSTITUTE(SUBSTITUTE(SUBSTITUTE(SUBSTITUTE(SUBSTITUTE($A224,"-",""),"(",""),")",""),".",""),"+","")," ","")))</f>
      </c>
    </row>
    <row r="225" spans="1:7" x14ac:dyDescent="0.3">
      <c r="A225" s="28"/>
      <c r="B225" s="39">
        <f>IF($A225="","",IFERROR(IF(INDEX(Pledges!$D$5:$D$2500,MATCH($G225,Pledges!$K$5:$K$2500,0))="","⚠ no amount on Pledges",IF(INDEX(Pledges!$B$5:$B$2500,MATCH($G225,Pledges!$K$5:$K$2500,0))="","",INDEX(Pledges!$B$5:$B$2500,MATCH($G225,Pledges!$K$5:$K$2500,0)))),"⚠ phone not in Pledges"))</f>
      </c>
      <c r="C225" s="30"/>
      <c r="D225" s="31"/>
      <c r="E225" s="32"/>
      <c r="F225" s="29"/>
      <c r="G225">
        <f>IF($A225="","","#"&amp;TRIM(SUBSTITUTE(SUBSTITUTE(SUBSTITUTE(SUBSTITUTE(SUBSTITUTE(SUBSTITUTE($A225,"-",""),"(",""),")",""),".",""),"+","")," ","")))</f>
      </c>
    </row>
    <row r="226" spans="1:7" x14ac:dyDescent="0.3">
      <c r="A226" s="28"/>
      <c r="B226" s="39">
        <f>IF($A226="","",IFERROR(IF(INDEX(Pledges!$D$5:$D$2500,MATCH($G226,Pledges!$K$5:$K$2500,0))="","⚠ no amount on Pledges",IF(INDEX(Pledges!$B$5:$B$2500,MATCH($G226,Pledges!$K$5:$K$2500,0))="","",INDEX(Pledges!$B$5:$B$2500,MATCH($G226,Pledges!$K$5:$K$2500,0)))),"⚠ phone not in Pledges"))</f>
      </c>
      <c r="C226" s="30"/>
      <c r="D226" s="31"/>
      <c r="E226" s="32"/>
      <c r="F226" s="29"/>
      <c r="G226">
        <f>IF($A226="","","#"&amp;TRIM(SUBSTITUTE(SUBSTITUTE(SUBSTITUTE(SUBSTITUTE(SUBSTITUTE(SUBSTITUTE($A226,"-",""),"(",""),")",""),".",""),"+","")," ","")))</f>
      </c>
    </row>
    <row r="227" spans="1:7" x14ac:dyDescent="0.3">
      <c r="A227" s="28"/>
      <c r="B227" s="39">
        <f>IF($A227="","",IFERROR(IF(INDEX(Pledges!$D$5:$D$2500,MATCH($G227,Pledges!$K$5:$K$2500,0))="","⚠ no amount on Pledges",IF(INDEX(Pledges!$B$5:$B$2500,MATCH($G227,Pledges!$K$5:$K$2500,0))="","",INDEX(Pledges!$B$5:$B$2500,MATCH($G227,Pledges!$K$5:$K$2500,0)))),"⚠ phone not in Pledges"))</f>
      </c>
      <c r="C227" s="30"/>
      <c r="D227" s="31"/>
      <c r="E227" s="32"/>
      <c r="F227" s="29"/>
      <c r="G227">
        <f>IF($A227="","","#"&amp;TRIM(SUBSTITUTE(SUBSTITUTE(SUBSTITUTE(SUBSTITUTE(SUBSTITUTE(SUBSTITUTE($A227,"-",""),"(",""),")",""),".",""),"+","")," ","")))</f>
      </c>
    </row>
    <row r="228" spans="1:7" x14ac:dyDescent="0.3">
      <c r="A228" s="28"/>
      <c r="B228" s="39">
        <f>IF($A228="","",IFERROR(IF(INDEX(Pledges!$D$5:$D$2500,MATCH($G228,Pledges!$K$5:$K$2500,0))="","⚠ no amount on Pledges",IF(INDEX(Pledges!$B$5:$B$2500,MATCH($G228,Pledges!$K$5:$K$2500,0))="","",INDEX(Pledges!$B$5:$B$2500,MATCH($G228,Pledges!$K$5:$K$2500,0)))),"⚠ phone not in Pledges"))</f>
      </c>
      <c r="C228" s="30"/>
      <c r="D228" s="31"/>
      <c r="E228" s="32"/>
      <c r="F228" s="29"/>
      <c r="G228">
        <f>IF($A228="","","#"&amp;TRIM(SUBSTITUTE(SUBSTITUTE(SUBSTITUTE(SUBSTITUTE(SUBSTITUTE(SUBSTITUTE($A228,"-",""),"(",""),")",""),".",""),"+","")," ","")))</f>
      </c>
    </row>
    <row r="229" spans="1:7" x14ac:dyDescent="0.3">
      <c r="A229" s="28"/>
      <c r="B229" s="39">
        <f>IF($A229="","",IFERROR(IF(INDEX(Pledges!$D$5:$D$2500,MATCH($G229,Pledges!$K$5:$K$2500,0))="","⚠ no amount on Pledges",IF(INDEX(Pledges!$B$5:$B$2500,MATCH($G229,Pledges!$K$5:$K$2500,0))="","",INDEX(Pledges!$B$5:$B$2500,MATCH($G229,Pledges!$K$5:$K$2500,0)))),"⚠ phone not in Pledges"))</f>
      </c>
      <c r="C229" s="30"/>
      <c r="D229" s="31"/>
      <c r="E229" s="32"/>
      <c r="F229" s="29"/>
      <c r="G229">
        <f>IF($A229="","","#"&amp;TRIM(SUBSTITUTE(SUBSTITUTE(SUBSTITUTE(SUBSTITUTE(SUBSTITUTE(SUBSTITUTE($A229,"-",""),"(",""),")",""),".",""),"+","")," ","")))</f>
      </c>
    </row>
    <row r="230" spans="1:7" x14ac:dyDescent="0.3">
      <c r="A230" s="28"/>
      <c r="B230" s="39">
        <f>IF($A230="","",IFERROR(IF(INDEX(Pledges!$D$5:$D$2500,MATCH($G230,Pledges!$K$5:$K$2500,0))="","⚠ no amount on Pledges",IF(INDEX(Pledges!$B$5:$B$2500,MATCH($G230,Pledges!$K$5:$K$2500,0))="","",INDEX(Pledges!$B$5:$B$2500,MATCH($G230,Pledges!$K$5:$K$2500,0)))),"⚠ phone not in Pledges"))</f>
      </c>
      <c r="C230" s="30"/>
      <c r="D230" s="31"/>
      <c r="E230" s="32"/>
      <c r="F230" s="29"/>
      <c r="G230">
        <f>IF($A230="","","#"&amp;TRIM(SUBSTITUTE(SUBSTITUTE(SUBSTITUTE(SUBSTITUTE(SUBSTITUTE(SUBSTITUTE($A230,"-",""),"(",""),")",""),".",""),"+","")," ","")))</f>
      </c>
    </row>
    <row r="231" spans="1:7" x14ac:dyDescent="0.3">
      <c r="A231" s="28"/>
      <c r="B231" s="39">
        <f>IF($A231="","",IFERROR(IF(INDEX(Pledges!$D$5:$D$2500,MATCH($G231,Pledges!$K$5:$K$2500,0))="","⚠ no amount on Pledges",IF(INDEX(Pledges!$B$5:$B$2500,MATCH($G231,Pledges!$K$5:$K$2500,0))="","",INDEX(Pledges!$B$5:$B$2500,MATCH($G231,Pledges!$K$5:$K$2500,0)))),"⚠ phone not in Pledges"))</f>
      </c>
      <c r="C231" s="30"/>
      <c r="D231" s="31"/>
      <c r="E231" s="32"/>
      <c r="F231" s="29"/>
      <c r="G231">
        <f>IF($A231="","","#"&amp;TRIM(SUBSTITUTE(SUBSTITUTE(SUBSTITUTE(SUBSTITUTE(SUBSTITUTE(SUBSTITUTE($A231,"-",""),"(",""),")",""),".",""),"+","")," ","")))</f>
      </c>
    </row>
    <row r="232" spans="1:7" x14ac:dyDescent="0.3">
      <c r="A232" s="28"/>
      <c r="B232" s="39">
        <f>IF($A232="","",IFERROR(IF(INDEX(Pledges!$D$5:$D$2500,MATCH($G232,Pledges!$K$5:$K$2500,0))="","⚠ no amount on Pledges",IF(INDEX(Pledges!$B$5:$B$2500,MATCH($G232,Pledges!$K$5:$K$2500,0))="","",INDEX(Pledges!$B$5:$B$2500,MATCH($G232,Pledges!$K$5:$K$2500,0)))),"⚠ phone not in Pledges"))</f>
      </c>
      <c r="C232" s="30"/>
      <c r="D232" s="31"/>
      <c r="E232" s="32"/>
      <c r="F232" s="29"/>
      <c r="G232">
        <f>IF($A232="","","#"&amp;TRIM(SUBSTITUTE(SUBSTITUTE(SUBSTITUTE(SUBSTITUTE(SUBSTITUTE(SUBSTITUTE($A232,"-",""),"(",""),")",""),".",""),"+","")," ","")))</f>
      </c>
    </row>
    <row r="233" spans="1:7" x14ac:dyDescent="0.3">
      <c r="A233" s="28"/>
      <c r="B233" s="39">
        <f>IF($A233="","",IFERROR(IF(INDEX(Pledges!$D$5:$D$2500,MATCH($G233,Pledges!$K$5:$K$2500,0))="","⚠ no amount on Pledges",IF(INDEX(Pledges!$B$5:$B$2500,MATCH($G233,Pledges!$K$5:$K$2500,0))="","",INDEX(Pledges!$B$5:$B$2500,MATCH($G233,Pledges!$K$5:$K$2500,0)))),"⚠ phone not in Pledges"))</f>
      </c>
      <c r="C233" s="30"/>
      <c r="D233" s="31"/>
      <c r="E233" s="32"/>
      <c r="F233" s="29"/>
      <c r="G233">
        <f>IF($A233="","","#"&amp;TRIM(SUBSTITUTE(SUBSTITUTE(SUBSTITUTE(SUBSTITUTE(SUBSTITUTE(SUBSTITUTE($A233,"-",""),"(",""),")",""),".",""),"+","")," ","")))</f>
      </c>
    </row>
    <row r="234" spans="1:7" x14ac:dyDescent="0.3">
      <c r="A234" s="28"/>
      <c r="B234" s="39">
        <f>IF($A234="","",IFERROR(IF(INDEX(Pledges!$D$5:$D$2500,MATCH($G234,Pledges!$K$5:$K$2500,0))="","⚠ no amount on Pledges",IF(INDEX(Pledges!$B$5:$B$2500,MATCH($G234,Pledges!$K$5:$K$2500,0))="","",INDEX(Pledges!$B$5:$B$2500,MATCH($G234,Pledges!$K$5:$K$2500,0)))),"⚠ phone not in Pledges"))</f>
      </c>
      <c r="C234" s="30"/>
      <c r="D234" s="31"/>
      <c r="E234" s="32"/>
      <c r="F234" s="29"/>
      <c r="G234">
        <f>IF($A234="","","#"&amp;TRIM(SUBSTITUTE(SUBSTITUTE(SUBSTITUTE(SUBSTITUTE(SUBSTITUTE(SUBSTITUTE($A234,"-",""),"(",""),")",""),".",""),"+","")," ","")))</f>
      </c>
    </row>
    <row r="235" spans="1:7" x14ac:dyDescent="0.3">
      <c r="A235" s="28"/>
      <c r="B235" s="39">
        <f>IF($A235="","",IFERROR(IF(INDEX(Pledges!$D$5:$D$2500,MATCH($G235,Pledges!$K$5:$K$2500,0))="","⚠ no amount on Pledges",IF(INDEX(Pledges!$B$5:$B$2500,MATCH($G235,Pledges!$K$5:$K$2500,0))="","",INDEX(Pledges!$B$5:$B$2500,MATCH($G235,Pledges!$K$5:$K$2500,0)))),"⚠ phone not in Pledges"))</f>
      </c>
      <c r="C235" s="30"/>
      <c r="D235" s="31"/>
      <c r="E235" s="32"/>
      <c r="F235" s="29"/>
      <c r="G235">
        <f>IF($A235="","","#"&amp;TRIM(SUBSTITUTE(SUBSTITUTE(SUBSTITUTE(SUBSTITUTE(SUBSTITUTE(SUBSTITUTE($A235,"-",""),"(",""),")",""),".",""),"+","")," ","")))</f>
      </c>
    </row>
    <row r="236" spans="1:7" x14ac:dyDescent="0.3">
      <c r="A236" s="28"/>
      <c r="B236" s="39">
        <f>IF($A236="","",IFERROR(IF(INDEX(Pledges!$D$5:$D$2500,MATCH($G236,Pledges!$K$5:$K$2500,0))="","⚠ no amount on Pledges",IF(INDEX(Pledges!$B$5:$B$2500,MATCH($G236,Pledges!$K$5:$K$2500,0))="","",INDEX(Pledges!$B$5:$B$2500,MATCH($G236,Pledges!$K$5:$K$2500,0)))),"⚠ phone not in Pledges"))</f>
      </c>
      <c r="C236" s="30"/>
      <c r="D236" s="31"/>
      <c r="E236" s="32"/>
      <c r="F236" s="29"/>
      <c r="G236">
        <f>IF($A236="","","#"&amp;TRIM(SUBSTITUTE(SUBSTITUTE(SUBSTITUTE(SUBSTITUTE(SUBSTITUTE(SUBSTITUTE($A236,"-",""),"(",""),")",""),".",""),"+","")," ","")))</f>
      </c>
    </row>
    <row r="237" spans="1:7" x14ac:dyDescent="0.3">
      <c r="A237" s="28"/>
      <c r="B237" s="39">
        <f>IF($A237="","",IFERROR(IF(INDEX(Pledges!$D$5:$D$2500,MATCH($G237,Pledges!$K$5:$K$2500,0))="","⚠ no amount on Pledges",IF(INDEX(Pledges!$B$5:$B$2500,MATCH($G237,Pledges!$K$5:$K$2500,0))="","",INDEX(Pledges!$B$5:$B$2500,MATCH($G237,Pledges!$K$5:$K$2500,0)))),"⚠ phone not in Pledges"))</f>
      </c>
      <c r="C237" s="30"/>
      <c r="D237" s="31"/>
      <c r="E237" s="32"/>
      <c r="F237" s="29"/>
      <c r="G237">
        <f>IF($A237="","","#"&amp;TRIM(SUBSTITUTE(SUBSTITUTE(SUBSTITUTE(SUBSTITUTE(SUBSTITUTE(SUBSTITUTE($A237,"-",""),"(",""),")",""),".",""),"+","")," ","")))</f>
      </c>
    </row>
    <row r="238" spans="1:7" x14ac:dyDescent="0.3">
      <c r="A238" s="28"/>
      <c r="B238" s="39">
        <f>IF($A238="","",IFERROR(IF(INDEX(Pledges!$D$5:$D$2500,MATCH($G238,Pledges!$K$5:$K$2500,0))="","⚠ no amount on Pledges",IF(INDEX(Pledges!$B$5:$B$2500,MATCH($G238,Pledges!$K$5:$K$2500,0))="","",INDEX(Pledges!$B$5:$B$2500,MATCH($G238,Pledges!$K$5:$K$2500,0)))),"⚠ phone not in Pledges"))</f>
      </c>
      <c r="C238" s="30"/>
      <c r="D238" s="31"/>
      <c r="E238" s="32"/>
      <c r="F238" s="29"/>
      <c r="G238">
        <f>IF($A238="","","#"&amp;TRIM(SUBSTITUTE(SUBSTITUTE(SUBSTITUTE(SUBSTITUTE(SUBSTITUTE(SUBSTITUTE($A238,"-",""),"(",""),")",""),".",""),"+","")," ","")))</f>
      </c>
    </row>
    <row r="239" spans="1:7" x14ac:dyDescent="0.3">
      <c r="A239" s="28"/>
      <c r="B239" s="39">
        <f>IF($A239="","",IFERROR(IF(INDEX(Pledges!$D$5:$D$2500,MATCH($G239,Pledges!$K$5:$K$2500,0))="","⚠ no amount on Pledges",IF(INDEX(Pledges!$B$5:$B$2500,MATCH($G239,Pledges!$K$5:$K$2500,0))="","",INDEX(Pledges!$B$5:$B$2500,MATCH($G239,Pledges!$K$5:$K$2500,0)))),"⚠ phone not in Pledges"))</f>
      </c>
      <c r="C239" s="30"/>
      <c r="D239" s="31"/>
      <c r="E239" s="32"/>
      <c r="F239" s="29"/>
      <c r="G239">
        <f>IF($A239="","","#"&amp;TRIM(SUBSTITUTE(SUBSTITUTE(SUBSTITUTE(SUBSTITUTE(SUBSTITUTE(SUBSTITUTE($A239,"-",""),"(",""),")",""),".",""),"+","")," ","")))</f>
      </c>
    </row>
    <row r="240" spans="1:7" x14ac:dyDescent="0.3">
      <c r="A240" s="28"/>
      <c r="B240" s="39">
        <f>IF($A240="","",IFERROR(IF(INDEX(Pledges!$D$5:$D$2500,MATCH($G240,Pledges!$K$5:$K$2500,0))="","⚠ no amount on Pledges",IF(INDEX(Pledges!$B$5:$B$2500,MATCH($G240,Pledges!$K$5:$K$2500,0))="","",INDEX(Pledges!$B$5:$B$2500,MATCH($G240,Pledges!$K$5:$K$2500,0)))),"⚠ phone not in Pledges"))</f>
      </c>
      <c r="C240" s="30"/>
      <c r="D240" s="31"/>
      <c r="E240" s="32"/>
      <c r="F240" s="29"/>
      <c r="G240">
        <f>IF($A240="","","#"&amp;TRIM(SUBSTITUTE(SUBSTITUTE(SUBSTITUTE(SUBSTITUTE(SUBSTITUTE(SUBSTITUTE($A240,"-",""),"(",""),")",""),".",""),"+","")," ","")))</f>
      </c>
    </row>
    <row r="241" spans="1:7" x14ac:dyDescent="0.3">
      <c r="A241" s="28"/>
      <c r="B241" s="39">
        <f>IF($A241="","",IFERROR(IF(INDEX(Pledges!$D$5:$D$2500,MATCH($G241,Pledges!$K$5:$K$2500,0))="","⚠ no amount on Pledges",IF(INDEX(Pledges!$B$5:$B$2500,MATCH($G241,Pledges!$K$5:$K$2500,0))="","",INDEX(Pledges!$B$5:$B$2500,MATCH($G241,Pledges!$K$5:$K$2500,0)))),"⚠ phone not in Pledges"))</f>
      </c>
      <c r="C241" s="30"/>
      <c r="D241" s="31"/>
      <c r="E241" s="32"/>
      <c r="F241" s="29"/>
      <c r="G241">
        <f>IF($A241="","","#"&amp;TRIM(SUBSTITUTE(SUBSTITUTE(SUBSTITUTE(SUBSTITUTE(SUBSTITUTE(SUBSTITUTE($A241,"-",""),"(",""),")",""),".",""),"+","")," ","")))</f>
      </c>
    </row>
    <row r="242" spans="1:7" x14ac:dyDescent="0.3">
      <c r="A242" s="28"/>
      <c r="B242" s="39">
        <f>IF($A242="","",IFERROR(IF(INDEX(Pledges!$D$5:$D$2500,MATCH($G242,Pledges!$K$5:$K$2500,0))="","⚠ no amount on Pledges",IF(INDEX(Pledges!$B$5:$B$2500,MATCH($G242,Pledges!$K$5:$K$2500,0))="","",INDEX(Pledges!$B$5:$B$2500,MATCH($G242,Pledges!$K$5:$K$2500,0)))),"⚠ phone not in Pledges"))</f>
      </c>
      <c r="C242" s="30"/>
      <c r="D242" s="31"/>
      <c r="E242" s="32"/>
      <c r="F242" s="29"/>
      <c r="G242">
        <f>IF($A242="","","#"&amp;TRIM(SUBSTITUTE(SUBSTITUTE(SUBSTITUTE(SUBSTITUTE(SUBSTITUTE(SUBSTITUTE($A242,"-",""),"(",""),")",""),".",""),"+","")," ","")))</f>
      </c>
    </row>
    <row r="243" spans="1:7" x14ac:dyDescent="0.3">
      <c r="A243" s="28"/>
      <c r="B243" s="39">
        <f>IF($A243="","",IFERROR(IF(INDEX(Pledges!$D$5:$D$2500,MATCH($G243,Pledges!$K$5:$K$2500,0))="","⚠ no amount on Pledges",IF(INDEX(Pledges!$B$5:$B$2500,MATCH($G243,Pledges!$K$5:$K$2500,0))="","",INDEX(Pledges!$B$5:$B$2500,MATCH($G243,Pledges!$K$5:$K$2500,0)))),"⚠ phone not in Pledges"))</f>
      </c>
      <c r="C243" s="30"/>
      <c r="D243" s="31"/>
      <c r="E243" s="32"/>
      <c r="F243" s="29"/>
      <c r="G243">
        <f>IF($A243="","","#"&amp;TRIM(SUBSTITUTE(SUBSTITUTE(SUBSTITUTE(SUBSTITUTE(SUBSTITUTE(SUBSTITUTE($A243,"-",""),"(",""),")",""),".",""),"+","")," ","")))</f>
      </c>
    </row>
    <row r="244" spans="1:7" x14ac:dyDescent="0.3">
      <c r="A244" s="28"/>
      <c r="B244" s="39">
        <f>IF($A244="","",IFERROR(IF(INDEX(Pledges!$D$5:$D$2500,MATCH($G244,Pledges!$K$5:$K$2500,0))="","⚠ no amount on Pledges",IF(INDEX(Pledges!$B$5:$B$2500,MATCH($G244,Pledges!$K$5:$K$2500,0))="","",INDEX(Pledges!$B$5:$B$2500,MATCH($G244,Pledges!$K$5:$K$2500,0)))),"⚠ phone not in Pledges"))</f>
      </c>
      <c r="C244" s="30"/>
      <c r="D244" s="31"/>
      <c r="E244" s="32"/>
      <c r="F244" s="29"/>
      <c r="G244">
        <f>IF($A244="","","#"&amp;TRIM(SUBSTITUTE(SUBSTITUTE(SUBSTITUTE(SUBSTITUTE(SUBSTITUTE(SUBSTITUTE($A244,"-",""),"(",""),")",""),".",""),"+","")," ","")))</f>
      </c>
    </row>
    <row r="245" spans="1:7" x14ac:dyDescent="0.3">
      <c r="A245" s="28"/>
      <c r="B245" s="39">
        <f>IF($A245="","",IFERROR(IF(INDEX(Pledges!$D$5:$D$2500,MATCH($G245,Pledges!$K$5:$K$2500,0))="","⚠ no amount on Pledges",IF(INDEX(Pledges!$B$5:$B$2500,MATCH($G245,Pledges!$K$5:$K$2500,0))="","",INDEX(Pledges!$B$5:$B$2500,MATCH($G245,Pledges!$K$5:$K$2500,0)))),"⚠ phone not in Pledges"))</f>
      </c>
      <c r="C245" s="30"/>
      <c r="D245" s="31"/>
      <c r="E245" s="32"/>
      <c r="F245" s="29"/>
      <c r="G245">
        <f>IF($A245="","","#"&amp;TRIM(SUBSTITUTE(SUBSTITUTE(SUBSTITUTE(SUBSTITUTE(SUBSTITUTE(SUBSTITUTE($A245,"-",""),"(",""),")",""),".",""),"+","")," ","")))</f>
      </c>
    </row>
    <row r="246" spans="1:7" x14ac:dyDescent="0.3">
      <c r="A246" s="28"/>
      <c r="B246" s="39">
        <f>IF($A246="","",IFERROR(IF(INDEX(Pledges!$D$5:$D$2500,MATCH($G246,Pledges!$K$5:$K$2500,0))="","⚠ no amount on Pledges",IF(INDEX(Pledges!$B$5:$B$2500,MATCH($G246,Pledges!$K$5:$K$2500,0))="","",INDEX(Pledges!$B$5:$B$2500,MATCH($G246,Pledges!$K$5:$K$2500,0)))),"⚠ phone not in Pledges"))</f>
      </c>
      <c r="C246" s="30"/>
      <c r="D246" s="31"/>
      <c r="E246" s="32"/>
      <c r="F246" s="29"/>
      <c r="G246">
        <f>IF($A246="","","#"&amp;TRIM(SUBSTITUTE(SUBSTITUTE(SUBSTITUTE(SUBSTITUTE(SUBSTITUTE(SUBSTITUTE($A246,"-",""),"(",""),")",""),".",""),"+","")," ","")))</f>
      </c>
    </row>
    <row r="247" spans="1:7" x14ac:dyDescent="0.3">
      <c r="A247" s="28"/>
      <c r="B247" s="39">
        <f>IF($A247="","",IFERROR(IF(INDEX(Pledges!$D$5:$D$2500,MATCH($G247,Pledges!$K$5:$K$2500,0))="","⚠ no amount on Pledges",IF(INDEX(Pledges!$B$5:$B$2500,MATCH($G247,Pledges!$K$5:$K$2500,0))="","",INDEX(Pledges!$B$5:$B$2500,MATCH($G247,Pledges!$K$5:$K$2500,0)))),"⚠ phone not in Pledges"))</f>
      </c>
      <c r="C247" s="30"/>
      <c r="D247" s="31"/>
      <c r="E247" s="32"/>
      <c r="F247" s="29"/>
      <c r="G247">
        <f>IF($A247="","","#"&amp;TRIM(SUBSTITUTE(SUBSTITUTE(SUBSTITUTE(SUBSTITUTE(SUBSTITUTE(SUBSTITUTE($A247,"-",""),"(",""),")",""),".",""),"+","")," ","")))</f>
      </c>
    </row>
    <row r="248" spans="1:7" x14ac:dyDescent="0.3">
      <c r="A248" s="28"/>
      <c r="B248" s="39">
        <f>IF($A248="","",IFERROR(IF(INDEX(Pledges!$D$5:$D$2500,MATCH($G248,Pledges!$K$5:$K$2500,0))="","⚠ no amount on Pledges",IF(INDEX(Pledges!$B$5:$B$2500,MATCH($G248,Pledges!$K$5:$K$2500,0))="","",INDEX(Pledges!$B$5:$B$2500,MATCH($G248,Pledges!$K$5:$K$2500,0)))),"⚠ phone not in Pledges"))</f>
      </c>
      <c r="C248" s="30"/>
      <c r="D248" s="31"/>
      <c r="E248" s="32"/>
      <c r="F248" s="29"/>
      <c r="G248">
        <f>IF($A248="","","#"&amp;TRIM(SUBSTITUTE(SUBSTITUTE(SUBSTITUTE(SUBSTITUTE(SUBSTITUTE(SUBSTITUTE($A248,"-",""),"(",""),")",""),".",""),"+","")," ","")))</f>
      </c>
    </row>
    <row r="249" spans="1:7" x14ac:dyDescent="0.3">
      <c r="A249" s="28"/>
      <c r="B249" s="39">
        <f>IF($A249="","",IFERROR(IF(INDEX(Pledges!$D$5:$D$2500,MATCH($G249,Pledges!$K$5:$K$2500,0))="","⚠ no amount on Pledges",IF(INDEX(Pledges!$B$5:$B$2500,MATCH($G249,Pledges!$K$5:$K$2500,0))="","",INDEX(Pledges!$B$5:$B$2500,MATCH($G249,Pledges!$K$5:$K$2500,0)))),"⚠ phone not in Pledges"))</f>
      </c>
      <c r="C249" s="30"/>
      <c r="D249" s="31"/>
      <c r="E249" s="32"/>
      <c r="F249" s="29"/>
      <c r="G249">
        <f>IF($A249="","","#"&amp;TRIM(SUBSTITUTE(SUBSTITUTE(SUBSTITUTE(SUBSTITUTE(SUBSTITUTE(SUBSTITUTE($A249,"-",""),"(",""),")",""),".",""),"+","")," ","")))</f>
      </c>
    </row>
    <row r="250" spans="1:7" x14ac:dyDescent="0.3">
      <c r="A250" s="28"/>
      <c r="B250" s="39">
        <f>IF($A250="","",IFERROR(IF(INDEX(Pledges!$D$5:$D$2500,MATCH($G250,Pledges!$K$5:$K$2500,0))="","⚠ no amount on Pledges",IF(INDEX(Pledges!$B$5:$B$2500,MATCH($G250,Pledges!$K$5:$K$2500,0))="","",INDEX(Pledges!$B$5:$B$2500,MATCH($G250,Pledges!$K$5:$K$2500,0)))),"⚠ phone not in Pledges"))</f>
      </c>
      <c r="C250" s="30"/>
      <c r="D250" s="31"/>
      <c r="E250" s="32"/>
      <c r="F250" s="29"/>
      <c r="G250">
        <f>IF($A250="","","#"&amp;TRIM(SUBSTITUTE(SUBSTITUTE(SUBSTITUTE(SUBSTITUTE(SUBSTITUTE(SUBSTITUTE($A250,"-",""),"(",""),")",""),".",""),"+","")," ","")))</f>
      </c>
    </row>
    <row r="251" spans="1:7" x14ac:dyDescent="0.3">
      <c r="A251" s="28"/>
      <c r="B251" s="39">
        <f>IF($A251="","",IFERROR(IF(INDEX(Pledges!$D$5:$D$2500,MATCH($G251,Pledges!$K$5:$K$2500,0))="","⚠ no amount on Pledges",IF(INDEX(Pledges!$B$5:$B$2500,MATCH($G251,Pledges!$K$5:$K$2500,0))="","",INDEX(Pledges!$B$5:$B$2500,MATCH($G251,Pledges!$K$5:$K$2500,0)))),"⚠ phone not in Pledges"))</f>
      </c>
      <c r="C251" s="30"/>
      <c r="D251" s="31"/>
      <c r="E251" s="32"/>
      <c r="F251" s="29"/>
      <c r="G251">
        <f>IF($A251="","","#"&amp;TRIM(SUBSTITUTE(SUBSTITUTE(SUBSTITUTE(SUBSTITUTE(SUBSTITUTE(SUBSTITUTE($A251,"-",""),"(",""),")",""),".",""),"+","")," ","")))</f>
      </c>
    </row>
    <row r="252" spans="1:7" x14ac:dyDescent="0.3">
      <c r="A252" s="28"/>
      <c r="B252" s="39">
        <f>IF($A252="","",IFERROR(IF(INDEX(Pledges!$D$5:$D$2500,MATCH($G252,Pledges!$K$5:$K$2500,0))="","⚠ no amount on Pledges",IF(INDEX(Pledges!$B$5:$B$2500,MATCH($G252,Pledges!$K$5:$K$2500,0))="","",INDEX(Pledges!$B$5:$B$2500,MATCH($G252,Pledges!$K$5:$K$2500,0)))),"⚠ phone not in Pledges"))</f>
      </c>
      <c r="C252" s="30"/>
      <c r="D252" s="31"/>
      <c r="E252" s="32"/>
      <c r="F252" s="29"/>
      <c r="G252">
        <f>IF($A252="","","#"&amp;TRIM(SUBSTITUTE(SUBSTITUTE(SUBSTITUTE(SUBSTITUTE(SUBSTITUTE(SUBSTITUTE($A252,"-",""),"(",""),")",""),".",""),"+","")," ","")))</f>
      </c>
    </row>
    <row r="253" spans="1:7" x14ac:dyDescent="0.3">
      <c r="A253" s="28"/>
      <c r="B253" s="39">
        <f>IF($A253="","",IFERROR(IF(INDEX(Pledges!$D$5:$D$2500,MATCH($G253,Pledges!$K$5:$K$2500,0))="","⚠ no amount on Pledges",IF(INDEX(Pledges!$B$5:$B$2500,MATCH($G253,Pledges!$K$5:$K$2500,0))="","",INDEX(Pledges!$B$5:$B$2500,MATCH($G253,Pledges!$K$5:$K$2500,0)))),"⚠ phone not in Pledges"))</f>
      </c>
      <c r="C253" s="30"/>
      <c r="D253" s="31"/>
      <c r="E253" s="32"/>
      <c r="F253" s="29"/>
      <c r="G253">
        <f>IF($A253="","","#"&amp;TRIM(SUBSTITUTE(SUBSTITUTE(SUBSTITUTE(SUBSTITUTE(SUBSTITUTE(SUBSTITUTE($A253,"-",""),"(",""),")",""),".",""),"+","")," ","")))</f>
      </c>
    </row>
    <row r="254" spans="1:7" x14ac:dyDescent="0.3">
      <c r="A254" s="28"/>
      <c r="B254" s="39">
        <f>IF($A254="","",IFERROR(IF(INDEX(Pledges!$D$5:$D$2500,MATCH($G254,Pledges!$K$5:$K$2500,0))="","⚠ no amount on Pledges",IF(INDEX(Pledges!$B$5:$B$2500,MATCH($G254,Pledges!$K$5:$K$2500,0))="","",INDEX(Pledges!$B$5:$B$2500,MATCH($G254,Pledges!$K$5:$K$2500,0)))),"⚠ phone not in Pledges"))</f>
      </c>
      <c r="C254" s="30"/>
      <c r="D254" s="31"/>
      <c r="E254" s="32"/>
      <c r="F254" s="29"/>
      <c r="G254">
        <f>IF($A254="","","#"&amp;TRIM(SUBSTITUTE(SUBSTITUTE(SUBSTITUTE(SUBSTITUTE(SUBSTITUTE(SUBSTITUTE($A254,"-",""),"(",""),")",""),".",""),"+","")," ","")))</f>
      </c>
    </row>
    <row r="255" spans="1:7" x14ac:dyDescent="0.3">
      <c r="A255" s="28"/>
      <c r="B255" s="39">
        <f>IF($A255="","",IFERROR(IF(INDEX(Pledges!$D$5:$D$2500,MATCH($G255,Pledges!$K$5:$K$2500,0))="","⚠ no amount on Pledges",IF(INDEX(Pledges!$B$5:$B$2500,MATCH($G255,Pledges!$K$5:$K$2500,0))="","",INDEX(Pledges!$B$5:$B$2500,MATCH($G255,Pledges!$K$5:$K$2500,0)))),"⚠ phone not in Pledges"))</f>
      </c>
      <c r="C255" s="30"/>
      <c r="D255" s="31"/>
      <c r="E255" s="32"/>
      <c r="F255" s="29"/>
      <c r="G255">
        <f>IF($A255="","","#"&amp;TRIM(SUBSTITUTE(SUBSTITUTE(SUBSTITUTE(SUBSTITUTE(SUBSTITUTE(SUBSTITUTE($A255,"-",""),"(",""),")",""),".",""),"+","")," ","")))</f>
      </c>
    </row>
    <row r="256" spans="1:7" x14ac:dyDescent="0.3">
      <c r="A256" s="28"/>
      <c r="B256" s="39">
        <f>IF($A256="","",IFERROR(IF(INDEX(Pledges!$D$5:$D$2500,MATCH($G256,Pledges!$K$5:$K$2500,0))="","⚠ no amount on Pledges",IF(INDEX(Pledges!$B$5:$B$2500,MATCH($G256,Pledges!$K$5:$K$2500,0))="","",INDEX(Pledges!$B$5:$B$2500,MATCH($G256,Pledges!$K$5:$K$2500,0)))),"⚠ phone not in Pledges"))</f>
      </c>
      <c r="C256" s="30"/>
      <c r="D256" s="31"/>
      <c r="E256" s="32"/>
      <c r="F256" s="29"/>
      <c r="G256">
        <f>IF($A256="","","#"&amp;TRIM(SUBSTITUTE(SUBSTITUTE(SUBSTITUTE(SUBSTITUTE(SUBSTITUTE(SUBSTITUTE($A256,"-",""),"(",""),")",""),".",""),"+","")," ","")))</f>
      </c>
    </row>
    <row r="257" spans="1:7" x14ac:dyDescent="0.3">
      <c r="A257" s="28"/>
      <c r="B257" s="39">
        <f>IF($A257="","",IFERROR(IF(INDEX(Pledges!$D$5:$D$2500,MATCH($G257,Pledges!$K$5:$K$2500,0))="","⚠ no amount on Pledges",IF(INDEX(Pledges!$B$5:$B$2500,MATCH($G257,Pledges!$K$5:$K$2500,0))="","",INDEX(Pledges!$B$5:$B$2500,MATCH($G257,Pledges!$K$5:$K$2500,0)))),"⚠ phone not in Pledges"))</f>
      </c>
      <c r="C257" s="30"/>
      <c r="D257" s="31"/>
      <c r="E257" s="32"/>
      <c r="F257" s="29"/>
      <c r="G257">
        <f>IF($A257="","","#"&amp;TRIM(SUBSTITUTE(SUBSTITUTE(SUBSTITUTE(SUBSTITUTE(SUBSTITUTE(SUBSTITUTE($A257,"-",""),"(",""),")",""),".",""),"+","")," ","")))</f>
      </c>
    </row>
    <row r="258" spans="1:7" x14ac:dyDescent="0.3">
      <c r="A258" s="28"/>
      <c r="B258" s="39">
        <f>IF($A258="","",IFERROR(IF(INDEX(Pledges!$D$5:$D$2500,MATCH($G258,Pledges!$K$5:$K$2500,0))="","⚠ no amount on Pledges",IF(INDEX(Pledges!$B$5:$B$2500,MATCH($G258,Pledges!$K$5:$K$2500,0))="","",INDEX(Pledges!$B$5:$B$2500,MATCH($G258,Pledges!$K$5:$K$2500,0)))),"⚠ phone not in Pledges"))</f>
      </c>
      <c r="C258" s="30"/>
      <c r="D258" s="31"/>
      <c r="E258" s="32"/>
      <c r="F258" s="29"/>
      <c r="G258">
        <f>IF($A258="","","#"&amp;TRIM(SUBSTITUTE(SUBSTITUTE(SUBSTITUTE(SUBSTITUTE(SUBSTITUTE(SUBSTITUTE($A258,"-",""),"(",""),")",""),".",""),"+","")," ","")))</f>
      </c>
    </row>
    <row r="259" spans="1:7" x14ac:dyDescent="0.3">
      <c r="A259" s="28"/>
      <c r="B259" s="39">
        <f>IF($A259="","",IFERROR(IF(INDEX(Pledges!$D$5:$D$2500,MATCH($G259,Pledges!$K$5:$K$2500,0))="","⚠ no amount on Pledges",IF(INDEX(Pledges!$B$5:$B$2500,MATCH($G259,Pledges!$K$5:$K$2500,0))="","",INDEX(Pledges!$B$5:$B$2500,MATCH($G259,Pledges!$K$5:$K$2500,0)))),"⚠ phone not in Pledges"))</f>
      </c>
      <c r="C259" s="30"/>
      <c r="D259" s="31"/>
      <c r="E259" s="32"/>
      <c r="F259" s="29"/>
      <c r="G259">
        <f>IF($A259="","","#"&amp;TRIM(SUBSTITUTE(SUBSTITUTE(SUBSTITUTE(SUBSTITUTE(SUBSTITUTE(SUBSTITUTE($A259,"-",""),"(",""),")",""),".",""),"+","")," ","")))</f>
      </c>
    </row>
    <row r="260" spans="1:7" x14ac:dyDescent="0.3">
      <c r="A260" s="28"/>
      <c r="B260" s="39">
        <f>IF($A260="","",IFERROR(IF(INDEX(Pledges!$D$5:$D$2500,MATCH($G260,Pledges!$K$5:$K$2500,0))="","⚠ no amount on Pledges",IF(INDEX(Pledges!$B$5:$B$2500,MATCH($G260,Pledges!$K$5:$K$2500,0))="","",INDEX(Pledges!$B$5:$B$2500,MATCH($G260,Pledges!$K$5:$K$2500,0)))),"⚠ phone not in Pledges"))</f>
      </c>
      <c r="C260" s="30"/>
      <c r="D260" s="31"/>
      <c r="E260" s="32"/>
      <c r="F260" s="29"/>
      <c r="G260">
        <f>IF($A260="","","#"&amp;TRIM(SUBSTITUTE(SUBSTITUTE(SUBSTITUTE(SUBSTITUTE(SUBSTITUTE(SUBSTITUTE($A260,"-",""),"(",""),")",""),".",""),"+","")," ","")))</f>
      </c>
    </row>
    <row r="261" spans="1:7" x14ac:dyDescent="0.3">
      <c r="A261" s="28"/>
      <c r="B261" s="39">
        <f>IF($A261="","",IFERROR(IF(INDEX(Pledges!$D$5:$D$2500,MATCH($G261,Pledges!$K$5:$K$2500,0))="","⚠ no amount on Pledges",IF(INDEX(Pledges!$B$5:$B$2500,MATCH($G261,Pledges!$K$5:$K$2500,0))="","",INDEX(Pledges!$B$5:$B$2500,MATCH($G261,Pledges!$K$5:$K$2500,0)))),"⚠ phone not in Pledges"))</f>
      </c>
      <c r="C261" s="30"/>
      <c r="D261" s="31"/>
      <c r="E261" s="32"/>
      <c r="F261" s="29"/>
      <c r="G261">
        <f>IF($A261="","","#"&amp;TRIM(SUBSTITUTE(SUBSTITUTE(SUBSTITUTE(SUBSTITUTE(SUBSTITUTE(SUBSTITUTE($A261,"-",""),"(",""),")",""),".",""),"+","")," ","")))</f>
      </c>
    </row>
    <row r="262" spans="1:7" x14ac:dyDescent="0.3">
      <c r="A262" s="28"/>
      <c r="B262" s="39">
        <f>IF($A262="","",IFERROR(IF(INDEX(Pledges!$D$5:$D$2500,MATCH($G262,Pledges!$K$5:$K$2500,0))="","⚠ no amount on Pledges",IF(INDEX(Pledges!$B$5:$B$2500,MATCH($G262,Pledges!$K$5:$K$2500,0))="","",INDEX(Pledges!$B$5:$B$2500,MATCH($G262,Pledges!$K$5:$K$2500,0)))),"⚠ phone not in Pledges"))</f>
      </c>
      <c r="C262" s="30"/>
      <c r="D262" s="31"/>
      <c r="E262" s="32"/>
      <c r="F262" s="29"/>
      <c r="G262">
        <f>IF($A262="","","#"&amp;TRIM(SUBSTITUTE(SUBSTITUTE(SUBSTITUTE(SUBSTITUTE(SUBSTITUTE(SUBSTITUTE($A262,"-",""),"(",""),")",""),".",""),"+","")," ","")))</f>
      </c>
    </row>
    <row r="263" spans="1:7" x14ac:dyDescent="0.3">
      <c r="A263" s="28"/>
      <c r="B263" s="39">
        <f>IF($A263="","",IFERROR(IF(INDEX(Pledges!$D$5:$D$2500,MATCH($G263,Pledges!$K$5:$K$2500,0))="","⚠ no amount on Pledges",IF(INDEX(Pledges!$B$5:$B$2500,MATCH($G263,Pledges!$K$5:$K$2500,0))="","",INDEX(Pledges!$B$5:$B$2500,MATCH($G263,Pledges!$K$5:$K$2500,0)))),"⚠ phone not in Pledges"))</f>
      </c>
      <c r="C263" s="30"/>
      <c r="D263" s="31"/>
      <c r="E263" s="32"/>
      <c r="F263" s="29"/>
      <c r="G263">
        <f>IF($A263="","","#"&amp;TRIM(SUBSTITUTE(SUBSTITUTE(SUBSTITUTE(SUBSTITUTE(SUBSTITUTE(SUBSTITUTE($A263,"-",""),"(",""),")",""),".",""),"+","")," ","")))</f>
      </c>
    </row>
    <row r="264" spans="1:7" x14ac:dyDescent="0.3">
      <c r="A264" s="28"/>
      <c r="B264" s="39">
        <f>IF($A264="","",IFERROR(IF(INDEX(Pledges!$D$5:$D$2500,MATCH($G264,Pledges!$K$5:$K$2500,0))="","⚠ no amount on Pledges",IF(INDEX(Pledges!$B$5:$B$2500,MATCH($G264,Pledges!$K$5:$K$2500,0))="","",INDEX(Pledges!$B$5:$B$2500,MATCH($G264,Pledges!$K$5:$K$2500,0)))),"⚠ phone not in Pledges"))</f>
      </c>
      <c r="C264" s="30"/>
      <c r="D264" s="31"/>
      <c r="E264" s="32"/>
      <c r="F264" s="29"/>
      <c r="G264">
        <f>IF($A264="","","#"&amp;TRIM(SUBSTITUTE(SUBSTITUTE(SUBSTITUTE(SUBSTITUTE(SUBSTITUTE(SUBSTITUTE($A264,"-",""),"(",""),")",""),".",""),"+","")," ","")))</f>
      </c>
    </row>
    <row r="265" spans="1:7" x14ac:dyDescent="0.3">
      <c r="A265" s="28"/>
      <c r="B265" s="39">
        <f>IF($A265="","",IFERROR(IF(INDEX(Pledges!$D$5:$D$2500,MATCH($G265,Pledges!$K$5:$K$2500,0))="","⚠ no amount on Pledges",IF(INDEX(Pledges!$B$5:$B$2500,MATCH($G265,Pledges!$K$5:$K$2500,0))="","",INDEX(Pledges!$B$5:$B$2500,MATCH($G265,Pledges!$K$5:$K$2500,0)))),"⚠ phone not in Pledges"))</f>
      </c>
      <c r="C265" s="30"/>
      <c r="D265" s="31"/>
      <c r="E265" s="32"/>
      <c r="F265" s="29"/>
      <c r="G265">
        <f>IF($A265="","","#"&amp;TRIM(SUBSTITUTE(SUBSTITUTE(SUBSTITUTE(SUBSTITUTE(SUBSTITUTE(SUBSTITUTE($A265,"-",""),"(",""),")",""),".",""),"+","")," ","")))</f>
      </c>
    </row>
    <row r="266" spans="1:7" x14ac:dyDescent="0.3">
      <c r="A266" s="28"/>
      <c r="B266" s="39">
        <f>IF($A266="","",IFERROR(IF(INDEX(Pledges!$D$5:$D$2500,MATCH($G266,Pledges!$K$5:$K$2500,0))="","⚠ no amount on Pledges",IF(INDEX(Pledges!$B$5:$B$2500,MATCH($G266,Pledges!$K$5:$K$2500,0))="","",INDEX(Pledges!$B$5:$B$2500,MATCH($G266,Pledges!$K$5:$K$2500,0)))),"⚠ phone not in Pledges"))</f>
      </c>
      <c r="C266" s="30"/>
      <c r="D266" s="31"/>
      <c r="E266" s="32"/>
      <c r="F266" s="29"/>
      <c r="G266">
        <f>IF($A266="","","#"&amp;TRIM(SUBSTITUTE(SUBSTITUTE(SUBSTITUTE(SUBSTITUTE(SUBSTITUTE(SUBSTITUTE($A266,"-",""),"(",""),")",""),".",""),"+","")," ","")))</f>
      </c>
    </row>
    <row r="267" spans="1:7" x14ac:dyDescent="0.3">
      <c r="A267" s="28"/>
      <c r="B267" s="39">
        <f>IF($A267="","",IFERROR(IF(INDEX(Pledges!$D$5:$D$2500,MATCH($G267,Pledges!$K$5:$K$2500,0))="","⚠ no amount on Pledges",IF(INDEX(Pledges!$B$5:$B$2500,MATCH($G267,Pledges!$K$5:$K$2500,0))="","",INDEX(Pledges!$B$5:$B$2500,MATCH($G267,Pledges!$K$5:$K$2500,0)))),"⚠ phone not in Pledges"))</f>
      </c>
      <c r="C267" s="30"/>
      <c r="D267" s="31"/>
      <c r="E267" s="32"/>
      <c r="F267" s="29"/>
      <c r="G267">
        <f>IF($A267="","","#"&amp;TRIM(SUBSTITUTE(SUBSTITUTE(SUBSTITUTE(SUBSTITUTE(SUBSTITUTE(SUBSTITUTE($A267,"-",""),"(",""),")",""),".",""),"+","")," ","")))</f>
      </c>
    </row>
    <row r="268" spans="1:7" x14ac:dyDescent="0.3">
      <c r="A268" s="28"/>
      <c r="B268" s="39">
        <f>IF($A268="","",IFERROR(IF(INDEX(Pledges!$D$5:$D$2500,MATCH($G268,Pledges!$K$5:$K$2500,0))="","⚠ no amount on Pledges",IF(INDEX(Pledges!$B$5:$B$2500,MATCH($G268,Pledges!$K$5:$K$2500,0))="","",INDEX(Pledges!$B$5:$B$2500,MATCH($G268,Pledges!$K$5:$K$2500,0)))),"⚠ phone not in Pledges"))</f>
      </c>
      <c r="C268" s="30"/>
      <c r="D268" s="31"/>
      <c r="E268" s="32"/>
      <c r="F268" s="29"/>
      <c r="G268">
        <f>IF($A268="","","#"&amp;TRIM(SUBSTITUTE(SUBSTITUTE(SUBSTITUTE(SUBSTITUTE(SUBSTITUTE(SUBSTITUTE($A268,"-",""),"(",""),")",""),".",""),"+","")," ","")))</f>
      </c>
    </row>
    <row r="269" spans="1:7" x14ac:dyDescent="0.3">
      <c r="A269" s="28"/>
      <c r="B269" s="39">
        <f>IF($A269="","",IFERROR(IF(INDEX(Pledges!$D$5:$D$2500,MATCH($G269,Pledges!$K$5:$K$2500,0))="","⚠ no amount on Pledges",IF(INDEX(Pledges!$B$5:$B$2500,MATCH($G269,Pledges!$K$5:$K$2500,0))="","",INDEX(Pledges!$B$5:$B$2500,MATCH($G269,Pledges!$K$5:$K$2500,0)))),"⚠ phone not in Pledges"))</f>
      </c>
      <c r="C269" s="30"/>
      <c r="D269" s="31"/>
      <c r="E269" s="32"/>
      <c r="F269" s="29"/>
      <c r="G269">
        <f>IF($A269="","","#"&amp;TRIM(SUBSTITUTE(SUBSTITUTE(SUBSTITUTE(SUBSTITUTE(SUBSTITUTE(SUBSTITUTE($A269,"-",""),"(",""),")",""),".",""),"+","")," ","")))</f>
      </c>
    </row>
    <row r="270" spans="1:7" x14ac:dyDescent="0.3">
      <c r="A270" s="28"/>
      <c r="B270" s="39">
        <f>IF($A270="","",IFERROR(IF(INDEX(Pledges!$D$5:$D$2500,MATCH($G270,Pledges!$K$5:$K$2500,0))="","⚠ no amount on Pledges",IF(INDEX(Pledges!$B$5:$B$2500,MATCH($G270,Pledges!$K$5:$K$2500,0))="","",INDEX(Pledges!$B$5:$B$2500,MATCH($G270,Pledges!$K$5:$K$2500,0)))),"⚠ phone not in Pledges"))</f>
      </c>
      <c r="C270" s="30"/>
      <c r="D270" s="31"/>
      <c r="E270" s="32"/>
      <c r="F270" s="29"/>
      <c r="G270">
        <f>IF($A270="","","#"&amp;TRIM(SUBSTITUTE(SUBSTITUTE(SUBSTITUTE(SUBSTITUTE(SUBSTITUTE(SUBSTITUTE($A270,"-",""),"(",""),")",""),".",""),"+","")," ","")))</f>
      </c>
    </row>
    <row r="271" spans="1:7" x14ac:dyDescent="0.3">
      <c r="A271" s="28"/>
      <c r="B271" s="39">
        <f>IF($A271="","",IFERROR(IF(INDEX(Pledges!$D$5:$D$2500,MATCH($G271,Pledges!$K$5:$K$2500,0))="","⚠ no amount on Pledges",IF(INDEX(Pledges!$B$5:$B$2500,MATCH($G271,Pledges!$K$5:$K$2500,0))="","",INDEX(Pledges!$B$5:$B$2500,MATCH($G271,Pledges!$K$5:$K$2500,0)))),"⚠ phone not in Pledges"))</f>
      </c>
      <c r="C271" s="30"/>
      <c r="D271" s="31"/>
      <c r="E271" s="32"/>
      <c r="F271" s="29"/>
      <c r="G271">
        <f>IF($A271="","","#"&amp;TRIM(SUBSTITUTE(SUBSTITUTE(SUBSTITUTE(SUBSTITUTE(SUBSTITUTE(SUBSTITUTE($A271,"-",""),"(",""),")",""),".",""),"+","")," ","")))</f>
      </c>
    </row>
    <row r="272" spans="1:7" x14ac:dyDescent="0.3">
      <c r="A272" s="28"/>
      <c r="B272" s="39">
        <f>IF($A272="","",IFERROR(IF(INDEX(Pledges!$D$5:$D$2500,MATCH($G272,Pledges!$K$5:$K$2500,0))="","⚠ no amount on Pledges",IF(INDEX(Pledges!$B$5:$B$2500,MATCH($G272,Pledges!$K$5:$K$2500,0))="","",INDEX(Pledges!$B$5:$B$2500,MATCH($G272,Pledges!$K$5:$K$2500,0)))),"⚠ phone not in Pledges"))</f>
      </c>
      <c r="C272" s="30"/>
      <c r="D272" s="31"/>
      <c r="E272" s="32"/>
      <c r="F272" s="29"/>
      <c r="G272">
        <f>IF($A272="","","#"&amp;TRIM(SUBSTITUTE(SUBSTITUTE(SUBSTITUTE(SUBSTITUTE(SUBSTITUTE(SUBSTITUTE($A272,"-",""),"(",""),")",""),".",""),"+","")," ","")))</f>
      </c>
    </row>
    <row r="273" spans="1:7" x14ac:dyDescent="0.3">
      <c r="A273" s="28"/>
      <c r="B273" s="39">
        <f>IF($A273="","",IFERROR(IF(INDEX(Pledges!$D$5:$D$2500,MATCH($G273,Pledges!$K$5:$K$2500,0))="","⚠ no amount on Pledges",IF(INDEX(Pledges!$B$5:$B$2500,MATCH($G273,Pledges!$K$5:$K$2500,0))="","",INDEX(Pledges!$B$5:$B$2500,MATCH($G273,Pledges!$K$5:$K$2500,0)))),"⚠ phone not in Pledges"))</f>
      </c>
      <c r="C273" s="30"/>
      <c r="D273" s="31"/>
      <c r="E273" s="32"/>
      <c r="F273" s="29"/>
      <c r="G273">
        <f>IF($A273="","","#"&amp;TRIM(SUBSTITUTE(SUBSTITUTE(SUBSTITUTE(SUBSTITUTE(SUBSTITUTE(SUBSTITUTE($A273,"-",""),"(",""),")",""),".",""),"+","")," ","")))</f>
      </c>
    </row>
    <row r="274" spans="1:7" x14ac:dyDescent="0.3">
      <c r="A274" s="28"/>
      <c r="B274" s="39">
        <f>IF($A274="","",IFERROR(IF(INDEX(Pledges!$D$5:$D$2500,MATCH($G274,Pledges!$K$5:$K$2500,0))="","⚠ no amount on Pledges",IF(INDEX(Pledges!$B$5:$B$2500,MATCH($G274,Pledges!$K$5:$K$2500,0))="","",INDEX(Pledges!$B$5:$B$2500,MATCH($G274,Pledges!$K$5:$K$2500,0)))),"⚠ phone not in Pledges"))</f>
      </c>
      <c r="C274" s="30"/>
      <c r="D274" s="31"/>
      <c r="E274" s="32"/>
      <c r="F274" s="29"/>
      <c r="G274">
        <f>IF($A274="","","#"&amp;TRIM(SUBSTITUTE(SUBSTITUTE(SUBSTITUTE(SUBSTITUTE(SUBSTITUTE(SUBSTITUTE($A274,"-",""),"(",""),")",""),".",""),"+","")," ","")))</f>
      </c>
    </row>
    <row r="275" spans="1:7" x14ac:dyDescent="0.3">
      <c r="A275" s="28"/>
      <c r="B275" s="39">
        <f>IF($A275="","",IFERROR(IF(INDEX(Pledges!$D$5:$D$2500,MATCH($G275,Pledges!$K$5:$K$2500,0))="","⚠ no amount on Pledges",IF(INDEX(Pledges!$B$5:$B$2500,MATCH($G275,Pledges!$K$5:$K$2500,0))="","",INDEX(Pledges!$B$5:$B$2500,MATCH($G275,Pledges!$K$5:$K$2500,0)))),"⚠ phone not in Pledges"))</f>
      </c>
      <c r="C275" s="30"/>
      <c r="D275" s="31"/>
      <c r="E275" s="32"/>
      <c r="F275" s="29"/>
      <c r="G275">
        <f>IF($A275="","","#"&amp;TRIM(SUBSTITUTE(SUBSTITUTE(SUBSTITUTE(SUBSTITUTE(SUBSTITUTE(SUBSTITUTE($A275,"-",""),"(",""),")",""),".",""),"+","")," ","")))</f>
      </c>
    </row>
    <row r="276" spans="1:7" x14ac:dyDescent="0.3">
      <c r="A276" s="28"/>
      <c r="B276" s="39">
        <f>IF($A276="","",IFERROR(IF(INDEX(Pledges!$D$5:$D$2500,MATCH($G276,Pledges!$K$5:$K$2500,0))="","⚠ no amount on Pledges",IF(INDEX(Pledges!$B$5:$B$2500,MATCH($G276,Pledges!$K$5:$K$2500,0))="","",INDEX(Pledges!$B$5:$B$2500,MATCH($G276,Pledges!$K$5:$K$2500,0)))),"⚠ phone not in Pledges"))</f>
      </c>
      <c r="C276" s="30"/>
      <c r="D276" s="31"/>
      <c r="E276" s="32"/>
      <c r="F276" s="29"/>
      <c r="G276">
        <f>IF($A276="","","#"&amp;TRIM(SUBSTITUTE(SUBSTITUTE(SUBSTITUTE(SUBSTITUTE(SUBSTITUTE(SUBSTITUTE($A276,"-",""),"(",""),")",""),".",""),"+","")," ","")))</f>
      </c>
    </row>
    <row r="277" spans="1:7" x14ac:dyDescent="0.3">
      <c r="A277" s="28"/>
      <c r="B277" s="39">
        <f>IF($A277="","",IFERROR(IF(INDEX(Pledges!$D$5:$D$2500,MATCH($G277,Pledges!$K$5:$K$2500,0))="","⚠ no amount on Pledges",IF(INDEX(Pledges!$B$5:$B$2500,MATCH($G277,Pledges!$K$5:$K$2500,0))="","",INDEX(Pledges!$B$5:$B$2500,MATCH($G277,Pledges!$K$5:$K$2500,0)))),"⚠ phone not in Pledges"))</f>
      </c>
      <c r="C277" s="30"/>
      <c r="D277" s="31"/>
      <c r="E277" s="32"/>
      <c r="F277" s="29"/>
      <c r="G277">
        <f>IF($A277="","","#"&amp;TRIM(SUBSTITUTE(SUBSTITUTE(SUBSTITUTE(SUBSTITUTE(SUBSTITUTE(SUBSTITUTE($A277,"-",""),"(",""),")",""),".",""),"+","")," ","")))</f>
      </c>
    </row>
    <row r="278" spans="1:7" x14ac:dyDescent="0.3">
      <c r="A278" s="28"/>
      <c r="B278" s="39">
        <f>IF($A278="","",IFERROR(IF(INDEX(Pledges!$D$5:$D$2500,MATCH($G278,Pledges!$K$5:$K$2500,0))="","⚠ no amount on Pledges",IF(INDEX(Pledges!$B$5:$B$2500,MATCH($G278,Pledges!$K$5:$K$2500,0))="","",INDEX(Pledges!$B$5:$B$2500,MATCH($G278,Pledges!$K$5:$K$2500,0)))),"⚠ phone not in Pledges"))</f>
      </c>
      <c r="C278" s="30"/>
      <c r="D278" s="31"/>
      <c r="E278" s="32"/>
      <c r="F278" s="29"/>
      <c r="G278">
        <f>IF($A278="","","#"&amp;TRIM(SUBSTITUTE(SUBSTITUTE(SUBSTITUTE(SUBSTITUTE(SUBSTITUTE(SUBSTITUTE($A278,"-",""),"(",""),")",""),".",""),"+","")," ","")))</f>
      </c>
    </row>
    <row r="279" spans="1:7" x14ac:dyDescent="0.3">
      <c r="A279" s="28"/>
      <c r="B279" s="39">
        <f>IF($A279="","",IFERROR(IF(INDEX(Pledges!$D$5:$D$2500,MATCH($G279,Pledges!$K$5:$K$2500,0))="","⚠ no amount on Pledges",IF(INDEX(Pledges!$B$5:$B$2500,MATCH($G279,Pledges!$K$5:$K$2500,0))="","",INDEX(Pledges!$B$5:$B$2500,MATCH($G279,Pledges!$K$5:$K$2500,0)))),"⚠ phone not in Pledges"))</f>
      </c>
      <c r="C279" s="30"/>
      <c r="D279" s="31"/>
      <c r="E279" s="32"/>
      <c r="F279" s="29"/>
      <c r="G279">
        <f>IF($A279="","","#"&amp;TRIM(SUBSTITUTE(SUBSTITUTE(SUBSTITUTE(SUBSTITUTE(SUBSTITUTE(SUBSTITUTE($A279,"-",""),"(",""),")",""),".",""),"+","")," ","")))</f>
      </c>
    </row>
    <row r="280" spans="1:7" x14ac:dyDescent="0.3">
      <c r="A280" s="28"/>
      <c r="B280" s="39">
        <f>IF($A280="","",IFERROR(IF(INDEX(Pledges!$D$5:$D$2500,MATCH($G280,Pledges!$K$5:$K$2500,0))="","⚠ no amount on Pledges",IF(INDEX(Pledges!$B$5:$B$2500,MATCH($G280,Pledges!$K$5:$K$2500,0))="","",INDEX(Pledges!$B$5:$B$2500,MATCH($G280,Pledges!$K$5:$K$2500,0)))),"⚠ phone not in Pledges"))</f>
      </c>
      <c r="C280" s="30"/>
      <c r="D280" s="31"/>
      <c r="E280" s="32"/>
      <c r="F280" s="29"/>
      <c r="G280">
        <f>IF($A280="","","#"&amp;TRIM(SUBSTITUTE(SUBSTITUTE(SUBSTITUTE(SUBSTITUTE(SUBSTITUTE(SUBSTITUTE($A280,"-",""),"(",""),")",""),".",""),"+","")," ","")))</f>
      </c>
    </row>
    <row r="281" spans="1:7" x14ac:dyDescent="0.3">
      <c r="A281" s="28"/>
      <c r="B281" s="39">
        <f>IF($A281="","",IFERROR(IF(INDEX(Pledges!$D$5:$D$2500,MATCH($G281,Pledges!$K$5:$K$2500,0))="","⚠ no amount on Pledges",IF(INDEX(Pledges!$B$5:$B$2500,MATCH($G281,Pledges!$K$5:$K$2500,0))="","",INDEX(Pledges!$B$5:$B$2500,MATCH($G281,Pledges!$K$5:$K$2500,0)))),"⚠ phone not in Pledges"))</f>
      </c>
      <c r="C281" s="30"/>
      <c r="D281" s="31"/>
      <c r="E281" s="32"/>
      <c r="F281" s="29"/>
      <c r="G281">
        <f>IF($A281="","","#"&amp;TRIM(SUBSTITUTE(SUBSTITUTE(SUBSTITUTE(SUBSTITUTE(SUBSTITUTE(SUBSTITUTE($A281,"-",""),"(",""),")",""),".",""),"+","")," ","")))</f>
      </c>
    </row>
    <row r="282" spans="1:7" x14ac:dyDescent="0.3">
      <c r="A282" s="28"/>
      <c r="B282" s="39">
        <f>IF($A282="","",IFERROR(IF(INDEX(Pledges!$D$5:$D$2500,MATCH($G282,Pledges!$K$5:$K$2500,0))="","⚠ no amount on Pledges",IF(INDEX(Pledges!$B$5:$B$2500,MATCH($G282,Pledges!$K$5:$K$2500,0))="","",INDEX(Pledges!$B$5:$B$2500,MATCH($G282,Pledges!$K$5:$K$2500,0)))),"⚠ phone not in Pledges"))</f>
      </c>
      <c r="C282" s="30"/>
      <c r="D282" s="31"/>
      <c r="E282" s="32"/>
      <c r="F282" s="29"/>
      <c r="G282">
        <f>IF($A282="","","#"&amp;TRIM(SUBSTITUTE(SUBSTITUTE(SUBSTITUTE(SUBSTITUTE(SUBSTITUTE(SUBSTITUTE($A282,"-",""),"(",""),")",""),".",""),"+","")," ","")))</f>
      </c>
    </row>
    <row r="283" spans="1:7" x14ac:dyDescent="0.3">
      <c r="A283" s="28"/>
      <c r="B283" s="39">
        <f>IF($A283="","",IFERROR(IF(INDEX(Pledges!$D$5:$D$2500,MATCH($G283,Pledges!$K$5:$K$2500,0))="","⚠ no amount on Pledges",IF(INDEX(Pledges!$B$5:$B$2500,MATCH($G283,Pledges!$K$5:$K$2500,0))="","",INDEX(Pledges!$B$5:$B$2500,MATCH($G283,Pledges!$K$5:$K$2500,0)))),"⚠ phone not in Pledges"))</f>
      </c>
      <c r="C283" s="30"/>
      <c r="D283" s="31"/>
      <c r="E283" s="32"/>
      <c r="F283" s="29"/>
      <c r="G283">
        <f>IF($A283="","","#"&amp;TRIM(SUBSTITUTE(SUBSTITUTE(SUBSTITUTE(SUBSTITUTE(SUBSTITUTE(SUBSTITUTE($A283,"-",""),"(",""),")",""),".",""),"+","")," ","")))</f>
      </c>
    </row>
    <row r="284" spans="1:7" x14ac:dyDescent="0.3">
      <c r="A284" s="28"/>
      <c r="B284" s="39">
        <f>IF($A284="","",IFERROR(IF(INDEX(Pledges!$D$5:$D$2500,MATCH($G284,Pledges!$K$5:$K$2500,0))="","⚠ no amount on Pledges",IF(INDEX(Pledges!$B$5:$B$2500,MATCH($G284,Pledges!$K$5:$K$2500,0))="","",INDEX(Pledges!$B$5:$B$2500,MATCH($G284,Pledges!$K$5:$K$2500,0)))),"⚠ phone not in Pledges"))</f>
      </c>
      <c r="C284" s="30"/>
      <c r="D284" s="31"/>
      <c r="E284" s="32"/>
      <c r="F284" s="29"/>
      <c r="G284">
        <f>IF($A284="","","#"&amp;TRIM(SUBSTITUTE(SUBSTITUTE(SUBSTITUTE(SUBSTITUTE(SUBSTITUTE(SUBSTITUTE($A284,"-",""),"(",""),")",""),".",""),"+","")," ","")))</f>
      </c>
    </row>
    <row r="285" spans="1:7" x14ac:dyDescent="0.3">
      <c r="A285" s="28"/>
      <c r="B285" s="39">
        <f>IF($A285="","",IFERROR(IF(INDEX(Pledges!$D$5:$D$2500,MATCH($G285,Pledges!$K$5:$K$2500,0))="","⚠ no amount on Pledges",IF(INDEX(Pledges!$B$5:$B$2500,MATCH($G285,Pledges!$K$5:$K$2500,0))="","",INDEX(Pledges!$B$5:$B$2500,MATCH($G285,Pledges!$K$5:$K$2500,0)))),"⚠ phone not in Pledges"))</f>
      </c>
      <c r="C285" s="30"/>
      <c r="D285" s="31"/>
      <c r="E285" s="32"/>
      <c r="F285" s="29"/>
      <c r="G285">
        <f>IF($A285="","","#"&amp;TRIM(SUBSTITUTE(SUBSTITUTE(SUBSTITUTE(SUBSTITUTE(SUBSTITUTE(SUBSTITUTE($A285,"-",""),"(",""),")",""),".",""),"+","")," ","")))</f>
      </c>
    </row>
    <row r="286" spans="1:7" x14ac:dyDescent="0.3">
      <c r="A286" s="28"/>
      <c r="B286" s="39">
        <f>IF($A286="","",IFERROR(IF(INDEX(Pledges!$D$5:$D$2500,MATCH($G286,Pledges!$K$5:$K$2500,0))="","⚠ no amount on Pledges",IF(INDEX(Pledges!$B$5:$B$2500,MATCH($G286,Pledges!$K$5:$K$2500,0))="","",INDEX(Pledges!$B$5:$B$2500,MATCH($G286,Pledges!$K$5:$K$2500,0)))),"⚠ phone not in Pledges"))</f>
      </c>
      <c r="C286" s="30"/>
      <c r="D286" s="31"/>
      <c r="E286" s="32"/>
      <c r="F286" s="29"/>
      <c r="G286">
        <f>IF($A286="","","#"&amp;TRIM(SUBSTITUTE(SUBSTITUTE(SUBSTITUTE(SUBSTITUTE(SUBSTITUTE(SUBSTITUTE($A286,"-",""),"(",""),")",""),".",""),"+","")," ","")))</f>
      </c>
    </row>
    <row r="287" spans="1:7" x14ac:dyDescent="0.3">
      <c r="A287" s="28"/>
      <c r="B287" s="39">
        <f>IF($A287="","",IFERROR(IF(INDEX(Pledges!$D$5:$D$2500,MATCH($G287,Pledges!$K$5:$K$2500,0))="","⚠ no amount on Pledges",IF(INDEX(Pledges!$B$5:$B$2500,MATCH($G287,Pledges!$K$5:$K$2500,0))="","",INDEX(Pledges!$B$5:$B$2500,MATCH($G287,Pledges!$K$5:$K$2500,0)))),"⚠ phone not in Pledges"))</f>
      </c>
      <c r="C287" s="30"/>
      <c r="D287" s="31"/>
      <c r="E287" s="32"/>
      <c r="F287" s="29"/>
      <c r="G287">
        <f>IF($A287="","","#"&amp;TRIM(SUBSTITUTE(SUBSTITUTE(SUBSTITUTE(SUBSTITUTE(SUBSTITUTE(SUBSTITUTE($A287,"-",""),"(",""),")",""),".",""),"+","")," ","")))</f>
      </c>
    </row>
    <row r="288" spans="1:7" x14ac:dyDescent="0.3">
      <c r="A288" s="28"/>
      <c r="B288" s="39">
        <f>IF($A288="","",IFERROR(IF(INDEX(Pledges!$D$5:$D$2500,MATCH($G288,Pledges!$K$5:$K$2500,0))="","⚠ no amount on Pledges",IF(INDEX(Pledges!$B$5:$B$2500,MATCH($G288,Pledges!$K$5:$K$2500,0))="","",INDEX(Pledges!$B$5:$B$2500,MATCH($G288,Pledges!$K$5:$K$2500,0)))),"⚠ phone not in Pledges"))</f>
      </c>
      <c r="C288" s="30"/>
      <c r="D288" s="31"/>
      <c r="E288" s="32"/>
      <c r="F288" s="29"/>
      <c r="G288">
        <f>IF($A288="","","#"&amp;TRIM(SUBSTITUTE(SUBSTITUTE(SUBSTITUTE(SUBSTITUTE(SUBSTITUTE(SUBSTITUTE($A288,"-",""),"(",""),")",""),".",""),"+","")," ","")))</f>
      </c>
    </row>
    <row r="289" spans="1:7" x14ac:dyDescent="0.3">
      <c r="A289" s="28"/>
      <c r="B289" s="39">
        <f>IF($A289="","",IFERROR(IF(INDEX(Pledges!$D$5:$D$2500,MATCH($G289,Pledges!$K$5:$K$2500,0))="","⚠ no amount on Pledges",IF(INDEX(Pledges!$B$5:$B$2500,MATCH($G289,Pledges!$K$5:$K$2500,0))="","",INDEX(Pledges!$B$5:$B$2500,MATCH($G289,Pledges!$K$5:$K$2500,0)))),"⚠ phone not in Pledges"))</f>
      </c>
      <c r="C289" s="30"/>
      <c r="D289" s="31"/>
      <c r="E289" s="32"/>
      <c r="F289" s="29"/>
      <c r="G289">
        <f>IF($A289="","","#"&amp;TRIM(SUBSTITUTE(SUBSTITUTE(SUBSTITUTE(SUBSTITUTE(SUBSTITUTE(SUBSTITUTE($A289,"-",""),"(",""),")",""),".",""),"+","")," ","")))</f>
      </c>
    </row>
    <row r="290" spans="1:7" x14ac:dyDescent="0.3">
      <c r="A290" s="28"/>
      <c r="B290" s="39">
        <f>IF($A290="","",IFERROR(IF(INDEX(Pledges!$D$5:$D$2500,MATCH($G290,Pledges!$K$5:$K$2500,0))="","⚠ no amount on Pledges",IF(INDEX(Pledges!$B$5:$B$2500,MATCH($G290,Pledges!$K$5:$K$2500,0))="","",INDEX(Pledges!$B$5:$B$2500,MATCH($G290,Pledges!$K$5:$K$2500,0)))),"⚠ phone not in Pledges"))</f>
      </c>
      <c r="C290" s="30"/>
      <c r="D290" s="31"/>
      <c r="E290" s="32"/>
      <c r="F290" s="29"/>
      <c r="G290">
        <f>IF($A290="","","#"&amp;TRIM(SUBSTITUTE(SUBSTITUTE(SUBSTITUTE(SUBSTITUTE(SUBSTITUTE(SUBSTITUTE($A290,"-",""),"(",""),")",""),".",""),"+","")," ","")))</f>
      </c>
    </row>
    <row r="291" spans="1:7" x14ac:dyDescent="0.3">
      <c r="A291" s="28"/>
      <c r="B291" s="39">
        <f>IF($A291="","",IFERROR(IF(INDEX(Pledges!$D$5:$D$2500,MATCH($G291,Pledges!$K$5:$K$2500,0))="","⚠ no amount on Pledges",IF(INDEX(Pledges!$B$5:$B$2500,MATCH($G291,Pledges!$K$5:$K$2500,0))="","",INDEX(Pledges!$B$5:$B$2500,MATCH($G291,Pledges!$K$5:$K$2500,0)))),"⚠ phone not in Pledges"))</f>
      </c>
      <c r="C291" s="30"/>
      <c r="D291" s="31"/>
      <c r="E291" s="32"/>
      <c r="F291" s="29"/>
      <c r="G291">
        <f>IF($A291="","","#"&amp;TRIM(SUBSTITUTE(SUBSTITUTE(SUBSTITUTE(SUBSTITUTE(SUBSTITUTE(SUBSTITUTE($A291,"-",""),"(",""),")",""),".",""),"+","")," ","")))</f>
      </c>
    </row>
    <row r="292" spans="1:7" x14ac:dyDescent="0.3">
      <c r="A292" s="28"/>
      <c r="B292" s="39">
        <f>IF($A292="","",IFERROR(IF(INDEX(Pledges!$D$5:$D$2500,MATCH($G292,Pledges!$K$5:$K$2500,0))="","⚠ no amount on Pledges",IF(INDEX(Pledges!$B$5:$B$2500,MATCH($G292,Pledges!$K$5:$K$2500,0))="","",INDEX(Pledges!$B$5:$B$2500,MATCH($G292,Pledges!$K$5:$K$2500,0)))),"⚠ phone not in Pledges"))</f>
      </c>
      <c r="C292" s="30"/>
      <c r="D292" s="31"/>
      <c r="E292" s="32"/>
      <c r="F292" s="29"/>
      <c r="G292">
        <f>IF($A292="","","#"&amp;TRIM(SUBSTITUTE(SUBSTITUTE(SUBSTITUTE(SUBSTITUTE(SUBSTITUTE(SUBSTITUTE($A292,"-",""),"(",""),")",""),".",""),"+","")," ","")))</f>
      </c>
    </row>
    <row r="293" spans="1:7" x14ac:dyDescent="0.3">
      <c r="A293" s="28"/>
      <c r="B293" s="39">
        <f>IF($A293="","",IFERROR(IF(INDEX(Pledges!$D$5:$D$2500,MATCH($G293,Pledges!$K$5:$K$2500,0))="","⚠ no amount on Pledges",IF(INDEX(Pledges!$B$5:$B$2500,MATCH($G293,Pledges!$K$5:$K$2500,0))="","",INDEX(Pledges!$B$5:$B$2500,MATCH($G293,Pledges!$K$5:$K$2500,0)))),"⚠ phone not in Pledges"))</f>
      </c>
      <c r="C293" s="30"/>
      <c r="D293" s="31"/>
      <c r="E293" s="32"/>
      <c r="F293" s="29"/>
      <c r="G293">
        <f>IF($A293="","","#"&amp;TRIM(SUBSTITUTE(SUBSTITUTE(SUBSTITUTE(SUBSTITUTE(SUBSTITUTE(SUBSTITUTE($A293,"-",""),"(",""),")",""),".",""),"+","")," ","")))</f>
      </c>
    </row>
    <row r="294" spans="1:7" x14ac:dyDescent="0.3">
      <c r="A294" s="28"/>
      <c r="B294" s="39">
        <f>IF($A294="","",IFERROR(IF(INDEX(Pledges!$D$5:$D$2500,MATCH($G294,Pledges!$K$5:$K$2500,0))="","⚠ no amount on Pledges",IF(INDEX(Pledges!$B$5:$B$2500,MATCH($G294,Pledges!$K$5:$K$2500,0))="","",INDEX(Pledges!$B$5:$B$2500,MATCH($G294,Pledges!$K$5:$K$2500,0)))),"⚠ phone not in Pledges"))</f>
      </c>
      <c r="C294" s="30"/>
      <c r="D294" s="31"/>
      <c r="E294" s="32"/>
      <c r="F294" s="29"/>
      <c r="G294">
        <f>IF($A294="","","#"&amp;TRIM(SUBSTITUTE(SUBSTITUTE(SUBSTITUTE(SUBSTITUTE(SUBSTITUTE(SUBSTITUTE($A294,"-",""),"(",""),")",""),".",""),"+","")," ","")))</f>
      </c>
    </row>
    <row r="295" spans="1:7" x14ac:dyDescent="0.3">
      <c r="A295" s="28"/>
      <c r="B295" s="39">
        <f>IF($A295="","",IFERROR(IF(INDEX(Pledges!$D$5:$D$2500,MATCH($G295,Pledges!$K$5:$K$2500,0))="","⚠ no amount on Pledges",IF(INDEX(Pledges!$B$5:$B$2500,MATCH($G295,Pledges!$K$5:$K$2500,0))="","",INDEX(Pledges!$B$5:$B$2500,MATCH($G295,Pledges!$K$5:$K$2500,0)))),"⚠ phone not in Pledges"))</f>
      </c>
      <c r="C295" s="30"/>
      <c r="D295" s="31"/>
      <c r="E295" s="32"/>
      <c r="F295" s="29"/>
      <c r="G295">
        <f>IF($A295="","","#"&amp;TRIM(SUBSTITUTE(SUBSTITUTE(SUBSTITUTE(SUBSTITUTE(SUBSTITUTE(SUBSTITUTE($A295,"-",""),"(",""),")",""),".",""),"+","")," ","")))</f>
      </c>
    </row>
    <row r="296" spans="1:7" x14ac:dyDescent="0.3">
      <c r="A296" s="28"/>
      <c r="B296" s="39">
        <f>IF($A296="","",IFERROR(IF(INDEX(Pledges!$D$5:$D$2500,MATCH($G296,Pledges!$K$5:$K$2500,0))="","⚠ no amount on Pledges",IF(INDEX(Pledges!$B$5:$B$2500,MATCH($G296,Pledges!$K$5:$K$2500,0))="","",INDEX(Pledges!$B$5:$B$2500,MATCH($G296,Pledges!$K$5:$K$2500,0)))),"⚠ phone not in Pledges"))</f>
      </c>
      <c r="C296" s="30"/>
      <c r="D296" s="31"/>
      <c r="E296" s="32"/>
      <c r="F296" s="29"/>
      <c r="G296">
        <f>IF($A296="","","#"&amp;TRIM(SUBSTITUTE(SUBSTITUTE(SUBSTITUTE(SUBSTITUTE(SUBSTITUTE(SUBSTITUTE($A296,"-",""),"(",""),")",""),".",""),"+","")," ","")))</f>
      </c>
    </row>
    <row r="297" spans="1:7" x14ac:dyDescent="0.3">
      <c r="A297" s="28"/>
      <c r="B297" s="39">
        <f>IF($A297="","",IFERROR(IF(INDEX(Pledges!$D$5:$D$2500,MATCH($G297,Pledges!$K$5:$K$2500,0))="","⚠ no amount on Pledges",IF(INDEX(Pledges!$B$5:$B$2500,MATCH($G297,Pledges!$K$5:$K$2500,0))="","",INDEX(Pledges!$B$5:$B$2500,MATCH($G297,Pledges!$K$5:$K$2500,0)))),"⚠ phone not in Pledges"))</f>
      </c>
      <c r="C297" s="30"/>
      <c r="D297" s="31"/>
      <c r="E297" s="32"/>
      <c r="F297" s="29"/>
      <c r="G297">
        <f>IF($A297="","","#"&amp;TRIM(SUBSTITUTE(SUBSTITUTE(SUBSTITUTE(SUBSTITUTE(SUBSTITUTE(SUBSTITUTE($A297,"-",""),"(",""),")",""),".",""),"+","")," ","")))</f>
      </c>
    </row>
    <row r="298" spans="1:7" x14ac:dyDescent="0.3">
      <c r="A298" s="28"/>
      <c r="B298" s="39">
        <f>IF($A298="","",IFERROR(IF(INDEX(Pledges!$D$5:$D$2500,MATCH($G298,Pledges!$K$5:$K$2500,0))="","⚠ no amount on Pledges",IF(INDEX(Pledges!$B$5:$B$2500,MATCH($G298,Pledges!$K$5:$K$2500,0))="","",INDEX(Pledges!$B$5:$B$2500,MATCH($G298,Pledges!$K$5:$K$2500,0)))),"⚠ phone not in Pledges"))</f>
      </c>
      <c r="C298" s="30"/>
      <c r="D298" s="31"/>
      <c r="E298" s="32"/>
      <c r="F298" s="29"/>
      <c r="G298">
        <f>IF($A298="","","#"&amp;TRIM(SUBSTITUTE(SUBSTITUTE(SUBSTITUTE(SUBSTITUTE(SUBSTITUTE(SUBSTITUTE($A298,"-",""),"(",""),")",""),".",""),"+","")," ","")))</f>
      </c>
    </row>
    <row r="299" spans="1:7" x14ac:dyDescent="0.3">
      <c r="A299" s="28"/>
      <c r="B299" s="39">
        <f>IF($A299="","",IFERROR(IF(INDEX(Pledges!$D$5:$D$2500,MATCH($G299,Pledges!$K$5:$K$2500,0))="","⚠ no amount on Pledges",IF(INDEX(Pledges!$B$5:$B$2500,MATCH($G299,Pledges!$K$5:$K$2500,0))="","",INDEX(Pledges!$B$5:$B$2500,MATCH($G299,Pledges!$K$5:$K$2500,0)))),"⚠ phone not in Pledges"))</f>
      </c>
      <c r="C299" s="30"/>
      <c r="D299" s="31"/>
      <c r="E299" s="32"/>
      <c r="F299" s="29"/>
      <c r="G299">
        <f>IF($A299="","","#"&amp;TRIM(SUBSTITUTE(SUBSTITUTE(SUBSTITUTE(SUBSTITUTE(SUBSTITUTE(SUBSTITUTE($A299,"-",""),"(",""),")",""),".",""),"+","")," ","")))</f>
      </c>
    </row>
    <row r="300" spans="1:7" x14ac:dyDescent="0.3">
      <c r="A300" s="28"/>
      <c r="B300" s="39">
        <f>IF($A300="","",IFERROR(IF(INDEX(Pledges!$D$5:$D$2500,MATCH($G300,Pledges!$K$5:$K$2500,0))="","⚠ no amount on Pledges",IF(INDEX(Pledges!$B$5:$B$2500,MATCH($G300,Pledges!$K$5:$K$2500,0))="","",INDEX(Pledges!$B$5:$B$2500,MATCH($G300,Pledges!$K$5:$K$2500,0)))),"⚠ phone not in Pledges"))</f>
      </c>
      <c r="C300" s="30"/>
      <c r="D300" s="31"/>
      <c r="E300" s="32"/>
      <c r="F300" s="29"/>
      <c r="G300">
        <f>IF($A300="","","#"&amp;TRIM(SUBSTITUTE(SUBSTITUTE(SUBSTITUTE(SUBSTITUTE(SUBSTITUTE(SUBSTITUTE($A300,"-",""),"(",""),")",""),".",""),"+","")," ","")))</f>
      </c>
    </row>
    <row r="301" spans="1:7" x14ac:dyDescent="0.3">
      <c r="A301" s="28"/>
      <c r="B301" s="39">
        <f>IF($A301="","",IFERROR(IF(INDEX(Pledges!$D$5:$D$2500,MATCH($G301,Pledges!$K$5:$K$2500,0))="","⚠ no amount on Pledges",IF(INDEX(Pledges!$B$5:$B$2500,MATCH($G301,Pledges!$K$5:$K$2500,0))="","",INDEX(Pledges!$B$5:$B$2500,MATCH($G301,Pledges!$K$5:$K$2500,0)))),"⚠ phone not in Pledges"))</f>
      </c>
      <c r="C301" s="30"/>
      <c r="D301" s="31"/>
      <c r="E301" s="32"/>
      <c r="F301" s="29"/>
      <c r="G301">
        <f>IF($A301="","","#"&amp;TRIM(SUBSTITUTE(SUBSTITUTE(SUBSTITUTE(SUBSTITUTE(SUBSTITUTE(SUBSTITUTE($A301,"-",""),"(",""),")",""),".",""),"+","")," ","")))</f>
      </c>
    </row>
    <row r="302" spans="1:7" x14ac:dyDescent="0.3">
      <c r="A302" s="28"/>
      <c r="B302" s="39">
        <f>IF($A302="","",IFERROR(IF(INDEX(Pledges!$D$5:$D$2500,MATCH($G302,Pledges!$K$5:$K$2500,0))="","⚠ no amount on Pledges",IF(INDEX(Pledges!$B$5:$B$2500,MATCH($G302,Pledges!$K$5:$K$2500,0))="","",INDEX(Pledges!$B$5:$B$2500,MATCH($G302,Pledges!$K$5:$K$2500,0)))),"⚠ phone not in Pledges"))</f>
      </c>
      <c r="C302" s="30"/>
      <c r="D302" s="31"/>
      <c r="E302" s="32"/>
      <c r="F302" s="29"/>
      <c r="G302">
        <f>IF($A302="","","#"&amp;TRIM(SUBSTITUTE(SUBSTITUTE(SUBSTITUTE(SUBSTITUTE(SUBSTITUTE(SUBSTITUTE($A302,"-",""),"(",""),")",""),".",""),"+","")," ","")))</f>
      </c>
    </row>
    <row r="303" spans="1:7" x14ac:dyDescent="0.3">
      <c r="A303" s="28"/>
      <c r="B303" s="39">
        <f>IF($A303="","",IFERROR(IF(INDEX(Pledges!$D$5:$D$2500,MATCH($G303,Pledges!$K$5:$K$2500,0))="","⚠ no amount on Pledges",IF(INDEX(Pledges!$B$5:$B$2500,MATCH($G303,Pledges!$K$5:$K$2500,0))="","",INDEX(Pledges!$B$5:$B$2500,MATCH($G303,Pledges!$K$5:$K$2500,0)))),"⚠ phone not in Pledges"))</f>
      </c>
      <c r="C303" s="30"/>
      <c r="D303" s="31"/>
      <c r="E303" s="32"/>
      <c r="F303" s="29"/>
      <c r="G303">
        <f>IF($A303="","","#"&amp;TRIM(SUBSTITUTE(SUBSTITUTE(SUBSTITUTE(SUBSTITUTE(SUBSTITUTE(SUBSTITUTE($A303,"-",""),"(",""),")",""),".",""),"+","")," ","")))</f>
      </c>
    </row>
    <row r="304" spans="1:7" x14ac:dyDescent="0.3">
      <c r="A304" s="28"/>
      <c r="B304" s="39">
        <f>IF($A304="","",IFERROR(IF(INDEX(Pledges!$D$5:$D$2500,MATCH($G304,Pledges!$K$5:$K$2500,0))="","⚠ no amount on Pledges",IF(INDEX(Pledges!$B$5:$B$2500,MATCH($G304,Pledges!$K$5:$K$2500,0))="","",INDEX(Pledges!$B$5:$B$2500,MATCH($G304,Pledges!$K$5:$K$2500,0)))),"⚠ phone not in Pledges"))</f>
      </c>
      <c r="C304" s="30"/>
      <c r="D304" s="31"/>
      <c r="E304" s="32"/>
      <c r="F304" s="29"/>
      <c r="G304">
        <f>IF($A304="","","#"&amp;TRIM(SUBSTITUTE(SUBSTITUTE(SUBSTITUTE(SUBSTITUTE(SUBSTITUTE(SUBSTITUTE($A304,"-",""),"(",""),")",""),".",""),"+","")," ","")))</f>
      </c>
    </row>
    <row r="305" spans="1:7" x14ac:dyDescent="0.3">
      <c r="A305" s="28"/>
      <c r="B305" s="39">
        <f>IF($A305="","",IFERROR(IF(INDEX(Pledges!$D$5:$D$2500,MATCH($G305,Pledges!$K$5:$K$2500,0))="","⚠ no amount on Pledges",IF(INDEX(Pledges!$B$5:$B$2500,MATCH($G305,Pledges!$K$5:$K$2500,0))="","",INDEX(Pledges!$B$5:$B$2500,MATCH($G305,Pledges!$K$5:$K$2500,0)))),"⚠ phone not in Pledges"))</f>
      </c>
      <c r="C305" s="30"/>
      <c r="D305" s="31"/>
      <c r="E305" s="32"/>
      <c r="F305" s="29"/>
      <c r="G305">
        <f>IF($A305="","","#"&amp;TRIM(SUBSTITUTE(SUBSTITUTE(SUBSTITUTE(SUBSTITUTE(SUBSTITUTE(SUBSTITUTE($A305,"-",""),"(",""),")",""),".",""),"+","")," ","")))</f>
      </c>
    </row>
    <row r="306" spans="1:7" x14ac:dyDescent="0.3">
      <c r="A306" s="28"/>
      <c r="B306" s="39">
        <f>IF($A306="","",IFERROR(IF(INDEX(Pledges!$D$5:$D$2500,MATCH($G306,Pledges!$K$5:$K$2500,0))="","⚠ no amount on Pledges",IF(INDEX(Pledges!$B$5:$B$2500,MATCH($G306,Pledges!$K$5:$K$2500,0))="","",INDEX(Pledges!$B$5:$B$2500,MATCH($G306,Pledges!$K$5:$K$2500,0)))),"⚠ phone not in Pledges"))</f>
      </c>
      <c r="C306" s="30"/>
      <c r="D306" s="31"/>
      <c r="E306" s="32"/>
      <c r="F306" s="29"/>
      <c r="G306">
        <f>IF($A306="","","#"&amp;TRIM(SUBSTITUTE(SUBSTITUTE(SUBSTITUTE(SUBSTITUTE(SUBSTITUTE(SUBSTITUTE($A306,"-",""),"(",""),")",""),".",""),"+","")," ","")))</f>
      </c>
    </row>
    <row r="307" spans="1:7" x14ac:dyDescent="0.3">
      <c r="A307" s="28"/>
      <c r="B307" s="39">
        <f>IF($A307="","",IFERROR(IF(INDEX(Pledges!$D$5:$D$2500,MATCH($G307,Pledges!$K$5:$K$2500,0))="","⚠ no amount on Pledges",IF(INDEX(Pledges!$B$5:$B$2500,MATCH($G307,Pledges!$K$5:$K$2500,0))="","",INDEX(Pledges!$B$5:$B$2500,MATCH($G307,Pledges!$K$5:$K$2500,0)))),"⚠ phone not in Pledges"))</f>
      </c>
      <c r="C307" s="30"/>
      <c r="D307" s="31"/>
      <c r="E307" s="32"/>
      <c r="F307" s="29"/>
      <c r="G307">
        <f>IF($A307="","","#"&amp;TRIM(SUBSTITUTE(SUBSTITUTE(SUBSTITUTE(SUBSTITUTE(SUBSTITUTE(SUBSTITUTE($A307,"-",""),"(",""),")",""),".",""),"+","")," ","")))</f>
      </c>
    </row>
    <row r="308" spans="1:7" x14ac:dyDescent="0.3">
      <c r="A308" s="28"/>
      <c r="B308" s="39">
        <f>IF($A308="","",IFERROR(IF(INDEX(Pledges!$D$5:$D$2500,MATCH($G308,Pledges!$K$5:$K$2500,0))="","⚠ no amount on Pledges",IF(INDEX(Pledges!$B$5:$B$2500,MATCH($G308,Pledges!$K$5:$K$2500,0))="","",INDEX(Pledges!$B$5:$B$2500,MATCH($G308,Pledges!$K$5:$K$2500,0)))),"⚠ phone not in Pledges"))</f>
      </c>
      <c r="C308" s="30"/>
      <c r="D308" s="31"/>
      <c r="E308" s="32"/>
      <c r="F308" s="29"/>
      <c r="G308">
        <f>IF($A308="","","#"&amp;TRIM(SUBSTITUTE(SUBSTITUTE(SUBSTITUTE(SUBSTITUTE(SUBSTITUTE(SUBSTITUTE($A308,"-",""),"(",""),")",""),".",""),"+","")," ","")))</f>
      </c>
    </row>
    <row r="309" spans="1:7" x14ac:dyDescent="0.3">
      <c r="A309" s="28"/>
      <c r="B309" s="39">
        <f>IF($A309="","",IFERROR(IF(INDEX(Pledges!$D$5:$D$2500,MATCH($G309,Pledges!$K$5:$K$2500,0))="","⚠ no amount on Pledges",IF(INDEX(Pledges!$B$5:$B$2500,MATCH($G309,Pledges!$K$5:$K$2500,0))="","",INDEX(Pledges!$B$5:$B$2500,MATCH($G309,Pledges!$K$5:$K$2500,0)))),"⚠ phone not in Pledges"))</f>
      </c>
      <c r="C309" s="30"/>
      <c r="D309" s="31"/>
      <c r="E309" s="32"/>
      <c r="F309" s="29"/>
      <c r="G309">
        <f>IF($A309="","","#"&amp;TRIM(SUBSTITUTE(SUBSTITUTE(SUBSTITUTE(SUBSTITUTE(SUBSTITUTE(SUBSTITUTE($A309,"-",""),"(",""),")",""),".",""),"+","")," ","")))</f>
      </c>
    </row>
    <row r="310" spans="1:7" x14ac:dyDescent="0.3">
      <c r="A310" s="28"/>
      <c r="B310" s="39">
        <f>IF($A310="","",IFERROR(IF(INDEX(Pledges!$D$5:$D$2500,MATCH($G310,Pledges!$K$5:$K$2500,0))="","⚠ no amount on Pledges",IF(INDEX(Pledges!$B$5:$B$2500,MATCH($G310,Pledges!$K$5:$K$2500,0))="","",INDEX(Pledges!$B$5:$B$2500,MATCH($G310,Pledges!$K$5:$K$2500,0)))),"⚠ phone not in Pledges"))</f>
      </c>
      <c r="C310" s="30"/>
      <c r="D310" s="31"/>
      <c r="E310" s="32"/>
      <c r="F310" s="29"/>
      <c r="G310">
        <f>IF($A310="","","#"&amp;TRIM(SUBSTITUTE(SUBSTITUTE(SUBSTITUTE(SUBSTITUTE(SUBSTITUTE(SUBSTITUTE($A310,"-",""),"(",""),")",""),".",""),"+","")," ","")))</f>
      </c>
    </row>
    <row r="311" spans="1:7" x14ac:dyDescent="0.3">
      <c r="A311" s="28"/>
      <c r="B311" s="39">
        <f>IF($A311="","",IFERROR(IF(INDEX(Pledges!$D$5:$D$2500,MATCH($G311,Pledges!$K$5:$K$2500,0))="","⚠ no amount on Pledges",IF(INDEX(Pledges!$B$5:$B$2500,MATCH($G311,Pledges!$K$5:$K$2500,0))="","",INDEX(Pledges!$B$5:$B$2500,MATCH($G311,Pledges!$K$5:$K$2500,0)))),"⚠ phone not in Pledges"))</f>
      </c>
      <c r="C311" s="30"/>
      <c r="D311" s="31"/>
      <c r="E311" s="32"/>
      <c r="F311" s="29"/>
      <c r="G311">
        <f>IF($A311="","","#"&amp;TRIM(SUBSTITUTE(SUBSTITUTE(SUBSTITUTE(SUBSTITUTE(SUBSTITUTE(SUBSTITUTE($A311,"-",""),"(",""),")",""),".",""),"+","")," ","")))</f>
      </c>
    </row>
    <row r="312" spans="1:7" x14ac:dyDescent="0.3">
      <c r="A312" s="28"/>
      <c r="B312" s="39">
        <f>IF($A312="","",IFERROR(IF(INDEX(Pledges!$D$5:$D$2500,MATCH($G312,Pledges!$K$5:$K$2500,0))="","⚠ no amount on Pledges",IF(INDEX(Pledges!$B$5:$B$2500,MATCH($G312,Pledges!$K$5:$K$2500,0))="","",INDEX(Pledges!$B$5:$B$2500,MATCH($G312,Pledges!$K$5:$K$2500,0)))),"⚠ phone not in Pledges"))</f>
      </c>
      <c r="C312" s="30"/>
      <c r="D312" s="31"/>
      <c r="E312" s="32"/>
      <c r="F312" s="29"/>
      <c r="G312">
        <f>IF($A312="","","#"&amp;TRIM(SUBSTITUTE(SUBSTITUTE(SUBSTITUTE(SUBSTITUTE(SUBSTITUTE(SUBSTITUTE($A312,"-",""),"(",""),")",""),".",""),"+","")," ","")))</f>
      </c>
    </row>
    <row r="313" spans="1:7" x14ac:dyDescent="0.3">
      <c r="A313" s="28"/>
      <c r="B313" s="39">
        <f>IF($A313="","",IFERROR(IF(INDEX(Pledges!$D$5:$D$2500,MATCH($G313,Pledges!$K$5:$K$2500,0))="","⚠ no amount on Pledges",IF(INDEX(Pledges!$B$5:$B$2500,MATCH($G313,Pledges!$K$5:$K$2500,0))="","",INDEX(Pledges!$B$5:$B$2500,MATCH($G313,Pledges!$K$5:$K$2500,0)))),"⚠ phone not in Pledges"))</f>
      </c>
      <c r="C313" s="30"/>
      <c r="D313" s="31"/>
      <c r="E313" s="32"/>
      <c r="F313" s="29"/>
      <c r="G313">
        <f>IF($A313="","","#"&amp;TRIM(SUBSTITUTE(SUBSTITUTE(SUBSTITUTE(SUBSTITUTE(SUBSTITUTE(SUBSTITUTE($A313,"-",""),"(",""),")",""),".",""),"+","")," ","")))</f>
      </c>
    </row>
    <row r="314" spans="1:7" x14ac:dyDescent="0.3">
      <c r="A314" s="28"/>
      <c r="B314" s="39">
        <f>IF($A314="","",IFERROR(IF(INDEX(Pledges!$D$5:$D$2500,MATCH($G314,Pledges!$K$5:$K$2500,0))="","⚠ no amount on Pledges",IF(INDEX(Pledges!$B$5:$B$2500,MATCH($G314,Pledges!$K$5:$K$2500,0))="","",INDEX(Pledges!$B$5:$B$2500,MATCH($G314,Pledges!$K$5:$K$2500,0)))),"⚠ phone not in Pledges"))</f>
      </c>
      <c r="C314" s="30"/>
      <c r="D314" s="31"/>
      <c r="E314" s="32"/>
      <c r="F314" s="29"/>
      <c r="G314">
        <f>IF($A314="","","#"&amp;TRIM(SUBSTITUTE(SUBSTITUTE(SUBSTITUTE(SUBSTITUTE(SUBSTITUTE(SUBSTITUTE($A314,"-",""),"(",""),")",""),".",""),"+","")," ","")))</f>
      </c>
    </row>
    <row r="315" spans="1:7" x14ac:dyDescent="0.3">
      <c r="A315" s="28"/>
      <c r="B315" s="39">
        <f>IF($A315="","",IFERROR(IF(INDEX(Pledges!$D$5:$D$2500,MATCH($G315,Pledges!$K$5:$K$2500,0))="","⚠ no amount on Pledges",IF(INDEX(Pledges!$B$5:$B$2500,MATCH($G315,Pledges!$K$5:$K$2500,0))="","",INDEX(Pledges!$B$5:$B$2500,MATCH($G315,Pledges!$K$5:$K$2500,0)))),"⚠ phone not in Pledges"))</f>
      </c>
      <c r="C315" s="30"/>
      <c r="D315" s="31"/>
      <c r="E315" s="32"/>
      <c r="F315" s="29"/>
      <c r="G315">
        <f>IF($A315="","","#"&amp;TRIM(SUBSTITUTE(SUBSTITUTE(SUBSTITUTE(SUBSTITUTE(SUBSTITUTE(SUBSTITUTE($A315,"-",""),"(",""),")",""),".",""),"+","")," ","")))</f>
      </c>
    </row>
    <row r="316" spans="1:7" x14ac:dyDescent="0.3">
      <c r="A316" s="28"/>
      <c r="B316" s="39">
        <f>IF($A316="","",IFERROR(IF(INDEX(Pledges!$D$5:$D$2500,MATCH($G316,Pledges!$K$5:$K$2500,0))="","⚠ no amount on Pledges",IF(INDEX(Pledges!$B$5:$B$2500,MATCH($G316,Pledges!$K$5:$K$2500,0))="","",INDEX(Pledges!$B$5:$B$2500,MATCH($G316,Pledges!$K$5:$K$2500,0)))),"⚠ phone not in Pledges"))</f>
      </c>
      <c r="C316" s="30"/>
      <c r="D316" s="31"/>
      <c r="E316" s="32"/>
      <c r="F316" s="29"/>
      <c r="G316">
        <f>IF($A316="","","#"&amp;TRIM(SUBSTITUTE(SUBSTITUTE(SUBSTITUTE(SUBSTITUTE(SUBSTITUTE(SUBSTITUTE($A316,"-",""),"(",""),")",""),".",""),"+","")," ","")))</f>
      </c>
    </row>
    <row r="317" spans="1:7" x14ac:dyDescent="0.3">
      <c r="A317" s="28"/>
      <c r="B317" s="39">
        <f>IF($A317="","",IFERROR(IF(INDEX(Pledges!$D$5:$D$2500,MATCH($G317,Pledges!$K$5:$K$2500,0))="","⚠ no amount on Pledges",IF(INDEX(Pledges!$B$5:$B$2500,MATCH($G317,Pledges!$K$5:$K$2500,0))="","",INDEX(Pledges!$B$5:$B$2500,MATCH($G317,Pledges!$K$5:$K$2500,0)))),"⚠ phone not in Pledges"))</f>
      </c>
      <c r="C317" s="30"/>
      <c r="D317" s="31"/>
      <c r="E317" s="32"/>
      <c r="F317" s="29"/>
      <c r="G317">
        <f>IF($A317="","","#"&amp;TRIM(SUBSTITUTE(SUBSTITUTE(SUBSTITUTE(SUBSTITUTE(SUBSTITUTE(SUBSTITUTE($A317,"-",""),"(",""),")",""),".",""),"+","")," ","")))</f>
      </c>
    </row>
    <row r="318" spans="1:7" x14ac:dyDescent="0.3">
      <c r="A318" s="28"/>
      <c r="B318" s="39">
        <f>IF($A318="","",IFERROR(IF(INDEX(Pledges!$D$5:$D$2500,MATCH($G318,Pledges!$K$5:$K$2500,0))="","⚠ no amount on Pledges",IF(INDEX(Pledges!$B$5:$B$2500,MATCH($G318,Pledges!$K$5:$K$2500,0))="","",INDEX(Pledges!$B$5:$B$2500,MATCH($G318,Pledges!$K$5:$K$2500,0)))),"⚠ phone not in Pledges"))</f>
      </c>
      <c r="C318" s="30"/>
      <c r="D318" s="31"/>
      <c r="E318" s="32"/>
      <c r="F318" s="29"/>
      <c r="G318">
        <f>IF($A318="","","#"&amp;TRIM(SUBSTITUTE(SUBSTITUTE(SUBSTITUTE(SUBSTITUTE(SUBSTITUTE(SUBSTITUTE($A318,"-",""),"(",""),")",""),".",""),"+","")," ","")))</f>
      </c>
    </row>
    <row r="319" spans="1:7" x14ac:dyDescent="0.3">
      <c r="A319" s="28"/>
      <c r="B319" s="39">
        <f>IF($A319="","",IFERROR(IF(INDEX(Pledges!$D$5:$D$2500,MATCH($G319,Pledges!$K$5:$K$2500,0))="","⚠ no amount on Pledges",IF(INDEX(Pledges!$B$5:$B$2500,MATCH($G319,Pledges!$K$5:$K$2500,0))="","",INDEX(Pledges!$B$5:$B$2500,MATCH($G319,Pledges!$K$5:$K$2500,0)))),"⚠ phone not in Pledges"))</f>
      </c>
      <c r="C319" s="30"/>
      <c r="D319" s="31"/>
      <c r="E319" s="32"/>
      <c r="F319" s="29"/>
      <c r="G319">
        <f>IF($A319="","","#"&amp;TRIM(SUBSTITUTE(SUBSTITUTE(SUBSTITUTE(SUBSTITUTE(SUBSTITUTE(SUBSTITUTE($A319,"-",""),"(",""),")",""),".",""),"+","")," ","")))</f>
      </c>
    </row>
    <row r="320" spans="1:7" x14ac:dyDescent="0.3">
      <c r="A320" s="28"/>
      <c r="B320" s="39">
        <f>IF($A320="","",IFERROR(IF(INDEX(Pledges!$D$5:$D$2500,MATCH($G320,Pledges!$K$5:$K$2500,0))="","⚠ no amount on Pledges",IF(INDEX(Pledges!$B$5:$B$2500,MATCH($G320,Pledges!$K$5:$K$2500,0))="","",INDEX(Pledges!$B$5:$B$2500,MATCH($G320,Pledges!$K$5:$K$2500,0)))),"⚠ phone not in Pledges"))</f>
      </c>
      <c r="C320" s="30"/>
      <c r="D320" s="31"/>
      <c r="E320" s="32"/>
      <c r="F320" s="29"/>
      <c r="G320">
        <f>IF($A320="","","#"&amp;TRIM(SUBSTITUTE(SUBSTITUTE(SUBSTITUTE(SUBSTITUTE(SUBSTITUTE(SUBSTITUTE($A320,"-",""),"(",""),")",""),".",""),"+","")," ","")))</f>
      </c>
    </row>
    <row r="321" spans="1:7" x14ac:dyDescent="0.3">
      <c r="A321" s="28"/>
      <c r="B321" s="39">
        <f>IF($A321="","",IFERROR(IF(INDEX(Pledges!$D$5:$D$2500,MATCH($G321,Pledges!$K$5:$K$2500,0))="","⚠ no amount on Pledges",IF(INDEX(Pledges!$B$5:$B$2500,MATCH($G321,Pledges!$K$5:$K$2500,0))="","",INDEX(Pledges!$B$5:$B$2500,MATCH($G321,Pledges!$K$5:$K$2500,0)))),"⚠ phone not in Pledges"))</f>
      </c>
      <c r="C321" s="30"/>
      <c r="D321" s="31"/>
      <c r="E321" s="32"/>
      <c r="F321" s="29"/>
      <c r="G321">
        <f>IF($A321="","","#"&amp;TRIM(SUBSTITUTE(SUBSTITUTE(SUBSTITUTE(SUBSTITUTE(SUBSTITUTE(SUBSTITUTE($A321,"-",""),"(",""),")",""),".",""),"+","")," ","")))</f>
      </c>
    </row>
    <row r="322" spans="1:7" x14ac:dyDescent="0.3">
      <c r="A322" s="28"/>
      <c r="B322" s="39">
        <f>IF($A322="","",IFERROR(IF(INDEX(Pledges!$D$5:$D$2500,MATCH($G322,Pledges!$K$5:$K$2500,0))="","⚠ no amount on Pledges",IF(INDEX(Pledges!$B$5:$B$2500,MATCH($G322,Pledges!$K$5:$K$2500,0))="","",INDEX(Pledges!$B$5:$B$2500,MATCH($G322,Pledges!$K$5:$K$2500,0)))),"⚠ phone not in Pledges"))</f>
      </c>
      <c r="C322" s="30"/>
      <c r="D322" s="31"/>
      <c r="E322" s="32"/>
      <c r="F322" s="29"/>
      <c r="G322">
        <f>IF($A322="","","#"&amp;TRIM(SUBSTITUTE(SUBSTITUTE(SUBSTITUTE(SUBSTITUTE(SUBSTITUTE(SUBSTITUTE($A322,"-",""),"(",""),")",""),".",""),"+","")," ","")))</f>
      </c>
    </row>
    <row r="323" spans="1:7" x14ac:dyDescent="0.3">
      <c r="A323" s="28"/>
      <c r="B323" s="39">
        <f>IF($A323="","",IFERROR(IF(INDEX(Pledges!$D$5:$D$2500,MATCH($G323,Pledges!$K$5:$K$2500,0))="","⚠ no amount on Pledges",IF(INDEX(Pledges!$B$5:$B$2500,MATCH($G323,Pledges!$K$5:$K$2500,0))="","",INDEX(Pledges!$B$5:$B$2500,MATCH($G323,Pledges!$K$5:$K$2500,0)))),"⚠ phone not in Pledges"))</f>
      </c>
      <c r="C323" s="30"/>
      <c r="D323" s="31"/>
      <c r="E323" s="32"/>
      <c r="F323" s="29"/>
      <c r="G323">
        <f>IF($A323="","","#"&amp;TRIM(SUBSTITUTE(SUBSTITUTE(SUBSTITUTE(SUBSTITUTE(SUBSTITUTE(SUBSTITUTE($A323,"-",""),"(",""),")",""),".",""),"+","")," ","")))</f>
      </c>
    </row>
    <row r="324" spans="1:7" x14ac:dyDescent="0.3">
      <c r="A324" s="28"/>
      <c r="B324" s="39">
        <f>IF($A324="","",IFERROR(IF(INDEX(Pledges!$D$5:$D$2500,MATCH($G324,Pledges!$K$5:$K$2500,0))="","⚠ no amount on Pledges",IF(INDEX(Pledges!$B$5:$B$2500,MATCH($G324,Pledges!$K$5:$K$2500,0))="","",INDEX(Pledges!$B$5:$B$2500,MATCH($G324,Pledges!$K$5:$K$2500,0)))),"⚠ phone not in Pledges"))</f>
      </c>
      <c r="C324" s="30"/>
      <c r="D324" s="31"/>
      <c r="E324" s="32"/>
      <c r="F324" s="29"/>
      <c r="G324">
        <f>IF($A324="","","#"&amp;TRIM(SUBSTITUTE(SUBSTITUTE(SUBSTITUTE(SUBSTITUTE(SUBSTITUTE(SUBSTITUTE($A324,"-",""),"(",""),")",""),".",""),"+","")," ","")))</f>
      </c>
    </row>
    <row r="325" spans="1:7" x14ac:dyDescent="0.3">
      <c r="A325" s="28"/>
      <c r="B325" s="39">
        <f>IF($A325="","",IFERROR(IF(INDEX(Pledges!$D$5:$D$2500,MATCH($G325,Pledges!$K$5:$K$2500,0))="","⚠ no amount on Pledges",IF(INDEX(Pledges!$B$5:$B$2500,MATCH($G325,Pledges!$K$5:$K$2500,0))="","",INDEX(Pledges!$B$5:$B$2500,MATCH($G325,Pledges!$K$5:$K$2500,0)))),"⚠ phone not in Pledges"))</f>
      </c>
      <c r="C325" s="30"/>
      <c r="D325" s="31"/>
      <c r="E325" s="32"/>
      <c r="F325" s="29"/>
      <c r="G325">
        <f>IF($A325="","","#"&amp;TRIM(SUBSTITUTE(SUBSTITUTE(SUBSTITUTE(SUBSTITUTE(SUBSTITUTE(SUBSTITUTE($A325,"-",""),"(",""),")",""),".",""),"+","")," ","")))</f>
      </c>
    </row>
    <row r="326" spans="1:7" x14ac:dyDescent="0.3">
      <c r="A326" s="28"/>
      <c r="B326" s="39">
        <f>IF($A326="","",IFERROR(IF(INDEX(Pledges!$D$5:$D$2500,MATCH($G326,Pledges!$K$5:$K$2500,0))="","⚠ no amount on Pledges",IF(INDEX(Pledges!$B$5:$B$2500,MATCH($G326,Pledges!$K$5:$K$2500,0))="","",INDEX(Pledges!$B$5:$B$2500,MATCH($G326,Pledges!$K$5:$K$2500,0)))),"⚠ phone not in Pledges"))</f>
      </c>
      <c r="C326" s="30"/>
      <c r="D326" s="31"/>
      <c r="E326" s="32"/>
      <c r="F326" s="29"/>
      <c r="G326">
        <f>IF($A326="","","#"&amp;TRIM(SUBSTITUTE(SUBSTITUTE(SUBSTITUTE(SUBSTITUTE(SUBSTITUTE(SUBSTITUTE($A326,"-",""),"(",""),")",""),".",""),"+","")," ","")))</f>
      </c>
    </row>
    <row r="327" spans="1:7" x14ac:dyDescent="0.3">
      <c r="A327" s="28"/>
      <c r="B327" s="39">
        <f>IF($A327="","",IFERROR(IF(INDEX(Pledges!$D$5:$D$2500,MATCH($G327,Pledges!$K$5:$K$2500,0))="","⚠ no amount on Pledges",IF(INDEX(Pledges!$B$5:$B$2500,MATCH($G327,Pledges!$K$5:$K$2500,0))="","",INDEX(Pledges!$B$5:$B$2500,MATCH($G327,Pledges!$K$5:$K$2500,0)))),"⚠ phone not in Pledges"))</f>
      </c>
      <c r="C327" s="30"/>
      <c r="D327" s="31"/>
      <c r="E327" s="32"/>
      <c r="F327" s="29"/>
      <c r="G327">
        <f>IF($A327="","","#"&amp;TRIM(SUBSTITUTE(SUBSTITUTE(SUBSTITUTE(SUBSTITUTE(SUBSTITUTE(SUBSTITUTE($A327,"-",""),"(",""),")",""),".",""),"+","")," ","")))</f>
      </c>
    </row>
    <row r="328" spans="1:7" x14ac:dyDescent="0.3">
      <c r="A328" s="28"/>
      <c r="B328" s="39">
        <f>IF($A328="","",IFERROR(IF(INDEX(Pledges!$D$5:$D$2500,MATCH($G328,Pledges!$K$5:$K$2500,0))="","⚠ no amount on Pledges",IF(INDEX(Pledges!$B$5:$B$2500,MATCH($G328,Pledges!$K$5:$K$2500,0))="","",INDEX(Pledges!$B$5:$B$2500,MATCH($G328,Pledges!$K$5:$K$2500,0)))),"⚠ phone not in Pledges"))</f>
      </c>
      <c r="C328" s="30"/>
      <c r="D328" s="31"/>
      <c r="E328" s="32"/>
      <c r="F328" s="29"/>
      <c r="G328">
        <f>IF($A328="","","#"&amp;TRIM(SUBSTITUTE(SUBSTITUTE(SUBSTITUTE(SUBSTITUTE(SUBSTITUTE(SUBSTITUTE($A328,"-",""),"(",""),")",""),".",""),"+","")," ","")))</f>
      </c>
    </row>
    <row r="329" spans="1:7" x14ac:dyDescent="0.3">
      <c r="A329" s="28"/>
      <c r="B329" s="39">
        <f>IF($A329="","",IFERROR(IF(INDEX(Pledges!$D$5:$D$2500,MATCH($G329,Pledges!$K$5:$K$2500,0))="","⚠ no amount on Pledges",IF(INDEX(Pledges!$B$5:$B$2500,MATCH($G329,Pledges!$K$5:$K$2500,0))="","",INDEX(Pledges!$B$5:$B$2500,MATCH($G329,Pledges!$K$5:$K$2500,0)))),"⚠ phone not in Pledges"))</f>
      </c>
      <c r="C329" s="30"/>
      <c r="D329" s="31"/>
      <c r="E329" s="32"/>
      <c r="F329" s="29"/>
      <c r="G329">
        <f>IF($A329="","","#"&amp;TRIM(SUBSTITUTE(SUBSTITUTE(SUBSTITUTE(SUBSTITUTE(SUBSTITUTE(SUBSTITUTE($A329,"-",""),"(",""),")",""),".",""),"+","")," ","")))</f>
      </c>
    </row>
    <row r="330" spans="1:7" x14ac:dyDescent="0.3">
      <c r="A330" s="28"/>
      <c r="B330" s="39">
        <f>IF($A330="","",IFERROR(IF(INDEX(Pledges!$D$5:$D$2500,MATCH($G330,Pledges!$K$5:$K$2500,0))="","⚠ no amount on Pledges",IF(INDEX(Pledges!$B$5:$B$2500,MATCH($G330,Pledges!$K$5:$K$2500,0))="","",INDEX(Pledges!$B$5:$B$2500,MATCH($G330,Pledges!$K$5:$K$2500,0)))),"⚠ phone not in Pledges"))</f>
      </c>
      <c r="C330" s="30"/>
      <c r="D330" s="31"/>
      <c r="E330" s="32"/>
      <c r="F330" s="29"/>
      <c r="G330">
        <f>IF($A330="","","#"&amp;TRIM(SUBSTITUTE(SUBSTITUTE(SUBSTITUTE(SUBSTITUTE(SUBSTITUTE(SUBSTITUTE($A330,"-",""),"(",""),")",""),".",""),"+","")," ","")))</f>
      </c>
    </row>
    <row r="331" spans="1:7" x14ac:dyDescent="0.3">
      <c r="A331" s="28"/>
      <c r="B331" s="39">
        <f>IF($A331="","",IFERROR(IF(INDEX(Pledges!$D$5:$D$2500,MATCH($G331,Pledges!$K$5:$K$2500,0))="","⚠ no amount on Pledges",IF(INDEX(Pledges!$B$5:$B$2500,MATCH($G331,Pledges!$K$5:$K$2500,0))="","",INDEX(Pledges!$B$5:$B$2500,MATCH($G331,Pledges!$K$5:$K$2500,0)))),"⚠ phone not in Pledges"))</f>
      </c>
      <c r="C331" s="30"/>
      <c r="D331" s="31"/>
      <c r="E331" s="32"/>
      <c r="F331" s="29"/>
      <c r="G331">
        <f>IF($A331="","","#"&amp;TRIM(SUBSTITUTE(SUBSTITUTE(SUBSTITUTE(SUBSTITUTE(SUBSTITUTE(SUBSTITUTE($A331,"-",""),"(",""),")",""),".",""),"+","")," ","")))</f>
      </c>
    </row>
    <row r="332" spans="1:7" x14ac:dyDescent="0.3">
      <c r="A332" s="28"/>
      <c r="B332" s="39">
        <f>IF($A332="","",IFERROR(IF(INDEX(Pledges!$D$5:$D$2500,MATCH($G332,Pledges!$K$5:$K$2500,0))="","⚠ no amount on Pledges",IF(INDEX(Pledges!$B$5:$B$2500,MATCH($G332,Pledges!$K$5:$K$2500,0))="","",INDEX(Pledges!$B$5:$B$2500,MATCH($G332,Pledges!$K$5:$K$2500,0)))),"⚠ phone not in Pledges"))</f>
      </c>
      <c r="C332" s="30"/>
      <c r="D332" s="31"/>
      <c r="E332" s="32"/>
      <c r="F332" s="29"/>
      <c r="G332">
        <f>IF($A332="","","#"&amp;TRIM(SUBSTITUTE(SUBSTITUTE(SUBSTITUTE(SUBSTITUTE(SUBSTITUTE(SUBSTITUTE($A332,"-",""),"(",""),")",""),".",""),"+","")," ","")))</f>
      </c>
    </row>
    <row r="333" spans="1:7" x14ac:dyDescent="0.3">
      <c r="A333" s="28"/>
      <c r="B333" s="39">
        <f>IF($A333="","",IFERROR(IF(INDEX(Pledges!$D$5:$D$2500,MATCH($G333,Pledges!$K$5:$K$2500,0))="","⚠ no amount on Pledges",IF(INDEX(Pledges!$B$5:$B$2500,MATCH($G333,Pledges!$K$5:$K$2500,0))="","",INDEX(Pledges!$B$5:$B$2500,MATCH($G333,Pledges!$K$5:$K$2500,0)))),"⚠ phone not in Pledges"))</f>
      </c>
      <c r="C333" s="30"/>
      <c r="D333" s="31"/>
      <c r="E333" s="32"/>
      <c r="F333" s="29"/>
      <c r="G333">
        <f>IF($A333="","","#"&amp;TRIM(SUBSTITUTE(SUBSTITUTE(SUBSTITUTE(SUBSTITUTE(SUBSTITUTE(SUBSTITUTE($A333,"-",""),"(",""),")",""),".",""),"+","")," ","")))</f>
      </c>
    </row>
    <row r="334" spans="1:7" x14ac:dyDescent="0.3">
      <c r="A334" s="28"/>
      <c r="B334" s="39">
        <f>IF($A334="","",IFERROR(IF(INDEX(Pledges!$D$5:$D$2500,MATCH($G334,Pledges!$K$5:$K$2500,0))="","⚠ no amount on Pledges",IF(INDEX(Pledges!$B$5:$B$2500,MATCH($G334,Pledges!$K$5:$K$2500,0))="","",INDEX(Pledges!$B$5:$B$2500,MATCH($G334,Pledges!$K$5:$K$2500,0)))),"⚠ phone not in Pledges"))</f>
      </c>
      <c r="C334" s="30"/>
      <c r="D334" s="31"/>
      <c r="E334" s="32"/>
      <c r="F334" s="29"/>
      <c r="G334">
        <f>IF($A334="","","#"&amp;TRIM(SUBSTITUTE(SUBSTITUTE(SUBSTITUTE(SUBSTITUTE(SUBSTITUTE(SUBSTITUTE($A334,"-",""),"(",""),")",""),".",""),"+","")," ","")))</f>
      </c>
    </row>
    <row r="335" spans="1:7" x14ac:dyDescent="0.3">
      <c r="A335" s="28"/>
      <c r="B335" s="39">
        <f>IF($A335="","",IFERROR(IF(INDEX(Pledges!$D$5:$D$2500,MATCH($G335,Pledges!$K$5:$K$2500,0))="","⚠ no amount on Pledges",IF(INDEX(Pledges!$B$5:$B$2500,MATCH($G335,Pledges!$K$5:$K$2500,0))="","",INDEX(Pledges!$B$5:$B$2500,MATCH($G335,Pledges!$K$5:$K$2500,0)))),"⚠ phone not in Pledges"))</f>
      </c>
      <c r="C335" s="30"/>
      <c r="D335" s="31"/>
      <c r="E335" s="32"/>
      <c r="F335" s="29"/>
      <c r="G335">
        <f>IF($A335="","","#"&amp;TRIM(SUBSTITUTE(SUBSTITUTE(SUBSTITUTE(SUBSTITUTE(SUBSTITUTE(SUBSTITUTE($A335,"-",""),"(",""),")",""),".",""),"+","")," ","")))</f>
      </c>
    </row>
    <row r="336" spans="1:7" x14ac:dyDescent="0.3">
      <c r="A336" s="28"/>
      <c r="B336" s="39">
        <f>IF($A336="","",IFERROR(IF(INDEX(Pledges!$D$5:$D$2500,MATCH($G336,Pledges!$K$5:$K$2500,0))="","⚠ no amount on Pledges",IF(INDEX(Pledges!$B$5:$B$2500,MATCH($G336,Pledges!$K$5:$K$2500,0))="","",INDEX(Pledges!$B$5:$B$2500,MATCH($G336,Pledges!$K$5:$K$2500,0)))),"⚠ phone not in Pledges"))</f>
      </c>
      <c r="C336" s="30"/>
      <c r="D336" s="31"/>
      <c r="E336" s="32"/>
      <c r="F336" s="29"/>
      <c r="G336">
        <f>IF($A336="","","#"&amp;TRIM(SUBSTITUTE(SUBSTITUTE(SUBSTITUTE(SUBSTITUTE(SUBSTITUTE(SUBSTITUTE($A336,"-",""),"(",""),")",""),".",""),"+","")," ","")))</f>
      </c>
    </row>
    <row r="337" spans="1:7" x14ac:dyDescent="0.3">
      <c r="A337" s="28"/>
      <c r="B337" s="39">
        <f>IF($A337="","",IFERROR(IF(INDEX(Pledges!$D$5:$D$2500,MATCH($G337,Pledges!$K$5:$K$2500,0))="","⚠ no amount on Pledges",IF(INDEX(Pledges!$B$5:$B$2500,MATCH($G337,Pledges!$K$5:$K$2500,0))="","",INDEX(Pledges!$B$5:$B$2500,MATCH($G337,Pledges!$K$5:$K$2500,0)))),"⚠ phone not in Pledges"))</f>
      </c>
      <c r="C337" s="30"/>
      <c r="D337" s="31"/>
      <c r="E337" s="32"/>
      <c r="F337" s="29"/>
      <c r="G337">
        <f>IF($A337="","","#"&amp;TRIM(SUBSTITUTE(SUBSTITUTE(SUBSTITUTE(SUBSTITUTE(SUBSTITUTE(SUBSTITUTE($A337,"-",""),"(",""),")",""),".",""),"+","")," ","")))</f>
      </c>
    </row>
    <row r="338" spans="1:7" x14ac:dyDescent="0.3">
      <c r="A338" s="28"/>
      <c r="B338" s="39">
        <f>IF($A338="","",IFERROR(IF(INDEX(Pledges!$D$5:$D$2500,MATCH($G338,Pledges!$K$5:$K$2500,0))="","⚠ no amount on Pledges",IF(INDEX(Pledges!$B$5:$B$2500,MATCH($G338,Pledges!$K$5:$K$2500,0))="","",INDEX(Pledges!$B$5:$B$2500,MATCH($G338,Pledges!$K$5:$K$2500,0)))),"⚠ phone not in Pledges"))</f>
      </c>
      <c r="C338" s="30"/>
      <c r="D338" s="31"/>
      <c r="E338" s="32"/>
      <c r="F338" s="29"/>
      <c r="G338">
        <f>IF($A338="","","#"&amp;TRIM(SUBSTITUTE(SUBSTITUTE(SUBSTITUTE(SUBSTITUTE(SUBSTITUTE(SUBSTITUTE($A338,"-",""),"(",""),")",""),".",""),"+","")," ","")))</f>
      </c>
    </row>
    <row r="339" spans="1:7" x14ac:dyDescent="0.3">
      <c r="A339" s="28"/>
      <c r="B339" s="39">
        <f>IF($A339="","",IFERROR(IF(INDEX(Pledges!$D$5:$D$2500,MATCH($G339,Pledges!$K$5:$K$2500,0))="","⚠ no amount on Pledges",IF(INDEX(Pledges!$B$5:$B$2500,MATCH($G339,Pledges!$K$5:$K$2500,0))="","",INDEX(Pledges!$B$5:$B$2500,MATCH($G339,Pledges!$K$5:$K$2500,0)))),"⚠ phone not in Pledges"))</f>
      </c>
      <c r="C339" s="30"/>
      <c r="D339" s="31"/>
      <c r="E339" s="32"/>
      <c r="F339" s="29"/>
      <c r="G339">
        <f>IF($A339="","","#"&amp;TRIM(SUBSTITUTE(SUBSTITUTE(SUBSTITUTE(SUBSTITUTE(SUBSTITUTE(SUBSTITUTE($A339,"-",""),"(",""),")",""),".",""),"+","")," ","")))</f>
      </c>
    </row>
    <row r="340" spans="1:7" x14ac:dyDescent="0.3">
      <c r="A340" s="28"/>
      <c r="B340" s="39">
        <f>IF($A340="","",IFERROR(IF(INDEX(Pledges!$D$5:$D$2500,MATCH($G340,Pledges!$K$5:$K$2500,0))="","⚠ no amount on Pledges",IF(INDEX(Pledges!$B$5:$B$2500,MATCH($G340,Pledges!$K$5:$K$2500,0))="","",INDEX(Pledges!$B$5:$B$2500,MATCH($G340,Pledges!$K$5:$K$2500,0)))),"⚠ phone not in Pledges"))</f>
      </c>
      <c r="C340" s="30"/>
      <c r="D340" s="31"/>
      <c r="E340" s="32"/>
      <c r="F340" s="29"/>
      <c r="G340">
        <f>IF($A340="","","#"&amp;TRIM(SUBSTITUTE(SUBSTITUTE(SUBSTITUTE(SUBSTITUTE(SUBSTITUTE(SUBSTITUTE($A340,"-",""),"(",""),")",""),".",""),"+","")," ","")))</f>
      </c>
    </row>
    <row r="341" spans="1:7" x14ac:dyDescent="0.3">
      <c r="A341" s="28"/>
      <c r="B341" s="39">
        <f>IF($A341="","",IFERROR(IF(INDEX(Pledges!$D$5:$D$2500,MATCH($G341,Pledges!$K$5:$K$2500,0))="","⚠ no amount on Pledges",IF(INDEX(Pledges!$B$5:$B$2500,MATCH($G341,Pledges!$K$5:$K$2500,0))="","",INDEX(Pledges!$B$5:$B$2500,MATCH($G341,Pledges!$K$5:$K$2500,0)))),"⚠ phone not in Pledges"))</f>
      </c>
      <c r="C341" s="30"/>
      <c r="D341" s="31"/>
      <c r="E341" s="32"/>
      <c r="F341" s="29"/>
      <c r="G341">
        <f>IF($A341="","","#"&amp;TRIM(SUBSTITUTE(SUBSTITUTE(SUBSTITUTE(SUBSTITUTE(SUBSTITUTE(SUBSTITUTE($A341,"-",""),"(",""),")",""),".",""),"+","")," ","")))</f>
      </c>
    </row>
    <row r="342" spans="1:7" x14ac:dyDescent="0.3">
      <c r="A342" s="28"/>
      <c r="B342" s="39">
        <f>IF($A342="","",IFERROR(IF(INDEX(Pledges!$D$5:$D$2500,MATCH($G342,Pledges!$K$5:$K$2500,0))="","⚠ no amount on Pledges",IF(INDEX(Pledges!$B$5:$B$2500,MATCH($G342,Pledges!$K$5:$K$2500,0))="","",INDEX(Pledges!$B$5:$B$2500,MATCH($G342,Pledges!$K$5:$K$2500,0)))),"⚠ phone not in Pledges"))</f>
      </c>
      <c r="C342" s="30"/>
      <c r="D342" s="31"/>
      <c r="E342" s="32"/>
      <c r="F342" s="29"/>
      <c r="G342">
        <f>IF($A342="","","#"&amp;TRIM(SUBSTITUTE(SUBSTITUTE(SUBSTITUTE(SUBSTITUTE(SUBSTITUTE(SUBSTITUTE($A342,"-",""),"(",""),")",""),".",""),"+","")," ","")))</f>
      </c>
    </row>
    <row r="343" spans="1:7" x14ac:dyDescent="0.3">
      <c r="A343" s="28"/>
      <c r="B343" s="39">
        <f>IF($A343="","",IFERROR(IF(INDEX(Pledges!$D$5:$D$2500,MATCH($G343,Pledges!$K$5:$K$2500,0))="","⚠ no amount on Pledges",IF(INDEX(Pledges!$B$5:$B$2500,MATCH($G343,Pledges!$K$5:$K$2500,0))="","",INDEX(Pledges!$B$5:$B$2500,MATCH($G343,Pledges!$K$5:$K$2500,0)))),"⚠ phone not in Pledges"))</f>
      </c>
      <c r="C343" s="30"/>
      <c r="D343" s="31"/>
      <c r="E343" s="32"/>
      <c r="F343" s="29"/>
      <c r="G343">
        <f>IF($A343="","","#"&amp;TRIM(SUBSTITUTE(SUBSTITUTE(SUBSTITUTE(SUBSTITUTE(SUBSTITUTE(SUBSTITUTE($A343,"-",""),"(",""),")",""),".",""),"+","")," ","")))</f>
      </c>
    </row>
    <row r="344" spans="1:7" x14ac:dyDescent="0.3">
      <c r="A344" s="28"/>
      <c r="B344" s="39">
        <f>IF($A344="","",IFERROR(IF(INDEX(Pledges!$D$5:$D$2500,MATCH($G344,Pledges!$K$5:$K$2500,0))="","⚠ no amount on Pledges",IF(INDEX(Pledges!$B$5:$B$2500,MATCH($G344,Pledges!$K$5:$K$2500,0))="","",INDEX(Pledges!$B$5:$B$2500,MATCH($G344,Pledges!$K$5:$K$2500,0)))),"⚠ phone not in Pledges"))</f>
      </c>
      <c r="C344" s="30"/>
      <c r="D344" s="31"/>
      <c r="E344" s="32"/>
      <c r="F344" s="29"/>
      <c r="G344">
        <f>IF($A344="","","#"&amp;TRIM(SUBSTITUTE(SUBSTITUTE(SUBSTITUTE(SUBSTITUTE(SUBSTITUTE(SUBSTITUTE($A344,"-",""),"(",""),")",""),".",""),"+","")," ","")))</f>
      </c>
    </row>
    <row r="345" spans="1:7" x14ac:dyDescent="0.3">
      <c r="A345" s="28"/>
      <c r="B345" s="39">
        <f>IF($A345="","",IFERROR(IF(INDEX(Pledges!$D$5:$D$2500,MATCH($G345,Pledges!$K$5:$K$2500,0))="","⚠ no amount on Pledges",IF(INDEX(Pledges!$B$5:$B$2500,MATCH($G345,Pledges!$K$5:$K$2500,0))="","",INDEX(Pledges!$B$5:$B$2500,MATCH($G345,Pledges!$K$5:$K$2500,0)))),"⚠ phone not in Pledges"))</f>
      </c>
      <c r="C345" s="30"/>
      <c r="D345" s="31"/>
      <c r="E345" s="32"/>
      <c r="F345" s="29"/>
      <c r="G345">
        <f>IF($A345="","","#"&amp;TRIM(SUBSTITUTE(SUBSTITUTE(SUBSTITUTE(SUBSTITUTE(SUBSTITUTE(SUBSTITUTE($A345,"-",""),"(",""),")",""),".",""),"+","")," ","")))</f>
      </c>
    </row>
    <row r="346" spans="1:7" x14ac:dyDescent="0.3">
      <c r="A346" s="28"/>
      <c r="B346" s="39">
        <f>IF($A346="","",IFERROR(IF(INDEX(Pledges!$D$5:$D$2500,MATCH($G346,Pledges!$K$5:$K$2500,0))="","⚠ no amount on Pledges",IF(INDEX(Pledges!$B$5:$B$2500,MATCH($G346,Pledges!$K$5:$K$2500,0))="","",INDEX(Pledges!$B$5:$B$2500,MATCH($G346,Pledges!$K$5:$K$2500,0)))),"⚠ phone not in Pledges"))</f>
      </c>
      <c r="C346" s="30"/>
      <c r="D346" s="31"/>
      <c r="E346" s="32"/>
      <c r="F346" s="29"/>
      <c r="G346">
        <f>IF($A346="","","#"&amp;TRIM(SUBSTITUTE(SUBSTITUTE(SUBSTITUTE(SUBSTITUTE(SUBSTITUTE(SUBSTITUTE($A346,"-",""),"(",""),")",""),".",""),"+","")," ","")))</f>
      </c>
    </row>
    <row r="347" spans="1:7" x14ac:dyDescent="0.3">
      <c r="A347" s="28"/>
      <c r="B347" s="39">
        <f>IF($A347="","",IFERROR(IF(INDEX(Pledges!$D$5:$D$2500,MATCH($G347,Pledges!$K$5:$K$2500,0))="","⚠ no amount on Pledges",IF(INDEX(Pledges!$B$5:$B$2500,MATCH($G347,Pledges!$K$5:$K$2500,0))="","",INDEX(Pledges!$B$5:$B$2500,MATCH($G347,Pledges!$K$5:$K$2500,0)))),"⚠ phone not in Pledges"))</f>
      </c>
      <c r="C347" s="30"/>
      <c r="D347" s="31"/>
      <c r="E347" s="32"/>
      <c r="F347" s="29"/>
      <c r="G347">
        <f>IF($A347="","","#"&amp;TRIM(SUBSTITUTE(SUBSTITUTE(SUBSTITUTE(SUBSTITUTE(SUBSTITUTE(SUBSTITUTE($A347,"-",""),"(",""),")",""),".",""),"+","")," ","")))</f>
      </c>
    </row>
    <row r="348" spans="1:7" x14ac:dyDescent="0.3">
      <c r="A348" s="28"/>
      <c r="B348" s="39">
        <f>IF($A348="","",IFERROR(IF(INDEX(Pledges!$D$5:$D$2500,MATCH($G348,Pledges!$K$5:$K$2500,0))="","⚠ no amount on Pledges",IF(INDEX(Pledges!$B$5:$B$2500,MATCH($G348,Pledges!$K$5:$K$2500,0))="","",INDEX(Pledges!$B$5:$B$2500,MATCH($G348,Pledges!$K$5:$K$2500,0)))),"⚠ phone not in Pledges"))</f>
      </c>
      <c r="C348" s="30"/>
      <c r="D348" s="31"/>
      <c r="E348" s="32"/>
      <c r="F348" s="29"/>
      <c r="G348">
        <f>IF($A348="","","#"&amp;TRIM(SUBSTITUTE(SUBSTITUTE(SUBSTITUTE(SUBSTITUTE(SUBSTITUTE(SUBSTITUTE($A348,"-",""),"(",""),")",""),".",""),"+","")," ","")))</f>
      </c>
    </row>
    <row r="349" spans="1:7" x14ac:dyDescent="0.3">
      <c r="A349" s="28"/>
      <c r="B349" s="39">
        <f>IF($A349="","",IFERROR(IF(INDEX(Pledges!$D$5:$D$2500,MATCH($G349,Pledges!$K$5:$K$2500,0))="","⚠ no amount on Pledges",IF(INDEX(Pledges!$B$5:$B$2500,MATCH($G349,Pledges!$K$5:$K$2500,0))="","",INDEX(Pledges!$B$5:$B$2500,MATCH($G349,Pledges!$K$5:$K$2500,0)))),"⚠ phone not in Pledges"))</f>
      </c>
      <c r="C349" s="30"/>
      <c r="D349" s="31"/>
      <c r="E349" s="32"/>
      <c r="F349" s="29"/>
      <c r="G349">
        <f>IF($A349="","","#"&amp;TRIM(SUBSTITUTE(SUBSTITUTE(SUBSTITUTE(SUBSTITUTE(SUBSTITUTE(SUBSTITUTE($A349,"-",""),"(",""),")",""),".",""),"+","")," ","")))</f>
      </c>
    </row>
    <row r="350" spans="1:7" x14ac:dyDescent="0.3">
      <c r="A350" s="28"/>
      <c r="B350" s="39">
        <f>IF($A350="","",IFERROR(IF(INDEX(Pledges!$D$5:$D$2500,MATCH($G350,Pledges!$K$5:$K$2500,0))="","⚠ no amount on Pledges",IF(INDEX(Pledges!$B$5:$B$2500,MATCH($G350,Pledges!$K$5:$K$2500,0))="","",INDEX(Pledges!$B$5:$B$2500,MATCH($G350,Pledges!$K$5:$K$2500,0)))),"⚠ phone not in Pledges"))</f>
      </c>
      <c r="C350" s="30"/>
      <c r="D350" s="31"/>
      <c r="E350" s="32"/>
      <c r="F350" s="29"/>
      <c r="G350">
        <f>IF($A350="","","#"&amp;TRIM(SUBSTITUTE(SUBSTITUTE(SUBSTITUTE(SUBSTITUTE(SUBSTITUTE(SUBSTITUTE($A350,"-",""),"(",""),")",""),".",""),"+","")," ","")))</f>
      </c>
    </row>
    <row r="351" spans="1:7" x14ac:dyDescent="0.3">
      <c r="A351" s="28"/>
      <c r="B351" s="39">
        <f>IF($A351="","",IFERROR(IF(INDEX(Pledges!$D$5:$D$2500,MATCH($G351,Pledges!$K$5:$K$2500,0))="","⚠ no amount on Pledges",IF(INDEX(Pledges!$B$5:$B$2500,MATCH($G351,Pledges!$K$5:$K$2500,0))="","",INDEX(Pledges!$B$5:$B$2500,MATCH($G351,Pledges!$K$5:$K$2500,0)))),"⚠ phone not in Pledges"))</f>
      </c>
      <c r="C351" s="30"/>
      <c r="D351" s="31"/>
      <c r="E351" s="32"/>
      <c r="F351" s="29"/>
      <c r="G351">
        <f>IF($A351="","","#"&amp;TRIM(SUBSTITUTE(SUBSTITUTE(SUBSTITUTE(SUBSTITUTE(SUBSTITUTE(SUBSTITUTE($A351,"-",""),"(",""),")",""),".",""),"+","")," ","")))</f>
      </c>
    </row>
    <row r="352" spans="1:7" x14ac:dyDescent="0.3">
      <c r="A352" s="28"/>
      <c r="B352" s="39">
        <f>IF($A352="","",IFERROR(IF(INDEX(Pledges!$D$5:$D$2500,MATCH($G352,Pledges!$K$5:$K$2500,0))="","⚠ no amount on Pledges",IF(INDEX(Pledges!$B$5:$B$2500,MATCH($G352,Pledges!$K$5:$K$2500,0))="","",INDEX(Pledges!$B$5:$B$2500,MATCH($G352,Pledges!$K$5:$K$2500,0)))),"⚠ phone not in Pledges"))</f>
      </c>
      <c r="C352" s="30"/>
      <c r="D352" s="31"/>
      <c r="E352" s="32"/>
      <c r="F352" s="29"/>
      <c r="G352">
        <f>IF($A352="","","#"&amp;TRIM(SUBSTITUTE(SUBSTITUTE(SUBSTITUTE(SUBSTITUTE(SUBSTITUTE(SUBSTITUTE($A352,"-",""),"(",""),")",""),".",""),"+","")," ","")))</f>
      </c>
    </row>
    <row r="353" spans="1:7" x14ac:dyDescent="0.3">
      <c r="A353" s="28"/>
      <c r="B353" s="39">
        <f>IF($A353="","",IFERROR(IF(INDEX(Pledges!$D$5:$D$2500,MATCH($G353,Pledges!$K$5:$K$2500,0))="","⚠ no amount on Pledges",IF(INDEX(Pledges!$B$5:$B$2500,MATCH($G353,Pledges!$K$5:$K$2500,0))="","",INDEX(Pledges!$B$5:$B$2500,MATCH($G353,Pledges!$K$5:$K$2500,0)))),"⚠ phone not in Pledges"))</f>
      </c>
      <c r="C353" s="30"/>
      <c r="D353" s="31"/>
      <c r="E353" s="32"/>
      <c r="F353" s="29"/>
      <c r="G353">
        <f>IF($A353="","","#"&amp;TRIM(SUBSTITUTE(SUBSTITUTE(SUBSTITUTE(SUBSTITUTE(SUBSTITUTE(SUBSTITUTE($A353,"-",""),"(",""),")",""),".",""),"+","")," ","")))</f>
      </c>
    </row>
    <row r="354" spans="1:7" x14ac:dyDescent="0.3">
      <c r="A354" s="28"/>
      <c r="B354" s="39">
        <f>IF($A354="","",IFERROR(IF(INDEX(Pledges!$D$5:$D$2500,MATCH($G354,Pledges!$K$5:$K$2500,0))="","⚠ no amount on Pledges",IF(INDEX(Pledges!$B$5:$B$2500,MATCH($G354,Pledges!$K$5:$K$2500,0))="","",INDEX(Pledges!$B$5:$B$2500,MATCH($G354,Pledges!$K$5:$K$2500,0)))),"⚠ phone not in Pledges"))</f>
      </c>
      <c r="C354" s="30"/>
      <c r="D354" s="31"/>
      <c r="E354" s="32"/>
      <c r="F354" s="29"/>
      <c r="G354">
        <f>IF($A354="","","#"&amp;TRIM(SUBSTITUTE(SUBSTITUTE(SUBSTITUTE(SUBSTITUTE(SUBSTITUTE(SUBSTITUTE($A354,"-",""),"(",""),")",""),".",""),"+","")," ","")))</f>
      </c>
    </row>
    <row r="355" spans="1:7" x14ac:dyDescent="0.3">
      <c r="A355" s="28"/>
      <c r="B355" s="39">
        <f>IF($A355="","",IFERROR(IF(INDEX(Pledges!$D$5:$D$2500,MATCH($G355,Pledges!$K$5:$K$2500,0))="","⚠ no amount on Pledges",IF(INDEX(Pledges!$B$5:$B$2500,MATCH($G355,Pledges!$K$5:$K$2500,0))="","",INDEX(Pledges!$B$5:$B$2500,MATCH($G355,Pledges!$K$5:$K$2500,0)))),"⚠ phone not in Pledges"))</f>
      </c>
      <c r="C355" s="30"/>
      <c r="D355" s="31"/>
      <c r="E355" s="32"/>
      <c r="F355" s="29"/>
      <c r="G355">
        <f>IF($A355="","","#"&amp;TRIM(SUBSTITUTE(SUBSTITUTE(SUBSTITUTE(SUBSTITUTE(SUBSTITUTE(SUBSTITUTE($A355,"-",""),"(",""),")",""),".",""),"+","")," ","")))</f>
      </c>
    </row>
    <row r="356" spans="1:7" x14ac:dyDescent="0.3">
      <c r="A356" s="28"/>
      <c r="B356" s="39">
        <f>IF($A356="","",IFERROR(IF(INDEX(Pledges!$D$5:$D$2500,MATCH($G356,Pledges!$K$5:$K$2500,0))="","⚠ no amount on Pledges",IF(INDEX(Pledges!$B$5:$B$2500,MATCH($G356,Pledges!$K$5:$K$2500,0))="","",INDEX(Pledges!$B$5:$B$2500,MATCH($G356,Pledges!$K$5:$K$2500,0)))),"⚠ phone not in Pledges"))</f>
      </c>
      <c r="C356" s="30"/>
      <c r="D356" s="31"/>
      <c r="E356" s="32"/>
      <c r="F356" s="29"/>
      <c r="G356">
        <f>IF($A356="","","#"&amp;TRIM(SUBSTITUTE(SUBSTITUTE(SUBSTITUTE(SUBSTITUTE(SUBSTITUTE(SUBSTITUTE($A356,"-",""),"(",""),")",""),".",""),"+","")," ","")))</f>
      </c>
    </row>
    <row r="357" spans="1:7" x14ac:dyDescent="0.3">
      <c r="A357" s="28"/>
      <c r="B357" s="39">
        <f>IF($A357="","",IFERROR(IF(INDEX(Pledges!$D$5:$D$2500,MATCH($G357,Pledges!$K$5:$K$2500,0))="","⚠ no amount on Pledges",IF(INDEX(Pledges!$B$5:$B$2500,MATCH($G357,Pledges!$K$5:$K$2500,0))="","",INDEX(Pledges!$B$5:$B$2500,MATCH($G357,Pledges!$K$5:$K$2500,0)))),"⚠ phone not in Pledges"))</f>
      </c>
      <c r="C357" s="30"/>
      <c r="D357" s="31"/>
      <c r="E357" s="32"/>
      <c r="F357" s="29"/>
      <c r="G357">
        <f>IF($A357="","","#"&amp;TRIM(SUBSTITUTE(SUBSTITUTE(SUBSTITUTE(SUBSTITUTE(SUBSTITUTE(SUBSTITUTE($A357,"-",""),"(",""),")",""),".",""),"+","")," ","")))</f>
      </c>
    </row>
    <row r="358" spans="1:7" x14ac:dyDescent="0.3">
      <c r="A358" s="28"/>
      <c r="B358" s="39">
        <f>IF($A358="","",IFERROR(IF(INDEX(Pledges!$D$5:$D$2500,MATCH($G358,Pledges!$K$5:$K$2500,0))="","⚠ no amount on Pledges",IF(INDEX(Pledges!$B$5:$B$2500,MATCH($G358,Pledges!$K$5:$K$2500,0))="","",INDEX(Pledges!$B$5:$B$2500,MATCH($G358,Pledges!$K$5:$K$2500,0)))),"⚠ phone not in Pledges"))</f>
      </c>
      <c r="C358" s="30"/>
      <c r="D358" s="31"/>
      <c r="E358" s="32"/>
      <c r="F358" s="29"/>
      <c r="G358">
        <f>IF($A358="","","#"&amp;TRIM(SUBSTITUTE(SUBSTITUTE(SUBSTITUTE(SUBSTITUTE(SUBSTITUTE(SUBSTITUTE($A358,"-",""),"(",""),")",""),".",""),"+","")," ","")))</f>
      </c>
    </row>
    <row r="359" spans="1:7" x14ac:dyDescent="0.3">
      <c r="A359" s="28"/>
      <c r="B359" s="39">
        <f>IF($A359="","",IFERROR(IF(INDEX(Pledges!$D$5:$D$2500,MATCH($G359,Pledges!$K$5:$K$2500,0))="","⚠ no amount on Pledges",IF(INDEX(Pledges!$B$5:$B$2500,MATCH($G359,Pledges!$K$5:$K$2500,0))="","",INDEX(Pledges!$B$5:$B$2500,MATCH($G359,Pledges!$K$5:$K$2500,0)))),"⚠ phone not in Pledges"))</f>
      </c>
      <c r="C359" s="30"/>
      <c r="D359" s="31"/>
      <c r="E359" s="32"/>
      <c r="F359" s="29"/>
      <c r="G359">
        <f>IF($A359="","","#"&amp;TRIM(SUBSTITUTE(SUBSTITUTE(SUBSTITUTE(SUBSTITUTE(SUBSTITUTE(SUBSTITUTE($A359,"-",""),"(",""),")",""),".",""),"+","")," ","")))</f>
      </c>
    </row>
    <row r="360" spans="1:7" x14ac:dyDescent="0.3">
      <c r="A360" s="28"/>
      <c r="B360" s="39">
        <f>IF($A360="","",IFERROR(IF(INDEX(Pledges!$D$5:$D$2500,MATCH($G360,Pledges!$K$5:$K$2500,0))="","⚠ no amount on Pledges",IF(INDEX(Pledges!$B$5:$B$2500,MATCH($G360,Pledges!$K$5:$K$2500,0))="","",INDEX(Pledges!$B$5:$B$2500,MATCH($G360,Pledges!$K$5:$K$2500,0)))),"⚠ phone not in Pledges"))</f>
      </c>
      <c r="C360" s="30"/>
      <c r="D360" s="31"/>
      <c r="E360" s="32"/>
      <c r="F360" s="29"/>
      <c r="G360">
        <f>IF($A360="","","#"&amp;TRIM(SUBSTITUTE(SUBSTITUTE(SUBSTITUTE(SUBSTITUTE(SUBSTITUTE(SUBSTITUTE($A360,"-",""),"(",""),")",""),".",""),"+","")," ","")))</f>
      </c>
    </row>
    <row r="361" spans="1:7" x14ac:dyDescent="0.3">
      <c r="A361" s="28"/>
      <c r="B361" s="39">
        <f>IF($A361="","",IFERROR(IF(INDEX(Pledges!$D$5:$D$2500,MATCH($G361,Pledges!$K$5:$K$2500,0))="","⚠ no amount on Pledges",IF(INDEX(Pledges!$B$5:$B$2500,MATCH($G361,Pledges!$K$5:$K$2500,0))="","",INDEX(Pledges!$B$5:$B$2500,MATCH($G361,Pledges!$K$5:$K$2500,0)))),"⚠ phone not in Pledges"))</f>
      </c>
      <c r="C361" s="30"/>
      <c r="D361" s="31"/>
      <c r="E361" s="32"/>
      <c r="F361" s="29"/>
      <c r="G361">
        <f>IF($A361="","","#"&amp;TRIM(SUBSTITUTE(SUBSTITUTE(SUBSTITUTE(SUBSTITUTE(SUBSTITUTE(SUBSTITUTE($A361,"-",""),"(",""),")",""),".",""),"+","")," ","")))</f>
      </c>
    </row>
    <row r="362" spans="1:7" x14ac:dyDescent="0.3">
      <c r="A362" s="28"/>
      <c r="B362" s="39">
        <f>IF($A362="","",IFERROR(IF(INDEX(Pledges!$D$5:$D$2500,MATCH($G362,Pledges!$K$5:$K$2500,0))="","⚠ no amount on Pledges",IF(INDEX(Pledges!$B$5:$B$2500,MATCH($G362,Pledges!$K$5:$K$2500,0))="","",INDEX(Pledges!$B$5:$B$2500,MATCH($G362,Pledges!$K$5:$K$2500,0)))),"⚠ phone not in Pledges"))</f>
      </c>
      <c r="C362" s="30"/>
      <c r="D362" s="31"/>
      <c r="E362" s="32"/>
      <c r="F362" s="29"/>
      <c r="G362">
        <f>IF($A362="","","#"&amp;TRIM(SUBSTITUTE(SUBSTITUTE(SUBSTITUTE(SUBSTITUTE(SUBSTITUTE(SUBSTITUTE($A362,"-",""),"(",""),")",""),".",""),"+","")," ","")))</f>
      </c>
    </row>
    <row r="363" spans="1:7" x14ac:dyDescent="0.3">
      <c r="A363" s="28"/>
      <c r="B363" s="39">
        <f>IF($A363="","",IFERROR(IF(INDEX(Pledges!$D$5:$D$2500,MATCH($G363,Pledges!$K$5:$K$2500,0))="","⚠ no amount on Pledges",IF(INDEX(Pledges!$B$5:$B$2500,MATCH($G363,Pledges!$K$5:$K$2500,0))="","",INDEX(Pledges!$B$5:$B$2500,MATCH($G363,Pledges!$K$5:$K$2500,0)))),"⚠ phone not in Pledges"))</f>
      </c>
      <c r="C363" s="30"/>
      <c r="D363" s="31"/>
      <c r="E363" s="32"/>
      <c r="F363" s="29"/>
      <c r="G363">
        <f>IF($A363="","","#"&amp;TRIM(SUBSTITUTE(SUBSTITUTE(SUBSTITUTE(SUBSTITUTE(SUBSTITUTE(SUBSTITUTE($A363,"-",""),"(",""),")",""),".",""),"+","")," ","")))</f>
      </c>
    </row>
    <row r="364" spans="1:7" x14ac:dyDescent="0.3">
      <c r="A364" s="28"/>
      <c r="B364" s="39">
        <f>IF($A364="","",IFERROR(IF(INDEX(Pledges!$D$5:$D$2500,MATCH($G364,Pledges!$K$5:$K$2500,0))="","⚠ no amount on Pledges",IF(INDEX(Pledges!$B$5:$B$2500,MATCH($G364,Pledges!$K$5:$K$2500,0))="","",INDEX(Pledges!$B$5:$B$2500,MATCH($G364,Pledges!$K$5:$K$2500,0)))),"⚠ phone not in Pledges"))</f>
      </c>
      <c r="C364" s="30"/>
      <c r="D364" s="31"/>
      <c r="E364" s="32"/>
      <c r="F364" s="29"/>
      <c r="G364">
        <f>IF($A364="","","#"&amp;TRIM(SUBSTITUTE(SUBSTITUTE(SUBSTITUTE(SUBSTITUTE(SUBSTITUTE(SUBSTITUTE($A364,"-",""),"(",""),")",""),".",""),"+","")," ","")))</f>
      </c>
    </row>
    <row r="365" spans="1:7" x14ac:dyDescent="0.3">
      <c r="A365" s="28"/>
      <c r="B365" s="39">
        <f>IF($A365="","",IFERROR(IF(INDEX(Pledges!$D$5:$D$2500,MATCH($G365,Pledges!$K$5:$K$2500,0))="","⚠ no amount on Pledges",IF(INDEX(Pledges!$B$5:$B$2500,MATCH($G365,Pledges!$K$5:$K$2500,0))="","",INDEX(Pledges!$B$5:$B$2500,MATCH($G365,Pledges!$K$5:$K$2500,0)))),"⚠ phone not in Pledges"))</f>
      </c>
      <c r="C365" s="30"/>
      <c r="D365" s="31"/>
      <c r="E365" s="32"/>
      <c r="F365" s="29"/>
      <c r="G365">
        <f>IF($A365="","","#"&amp;TRIM(SUBSTITUTE(SUBSTITUTE(SUBSTITUTE(SUBSTITUTE(SUBSTITUTE(SUBSTITUTE($A365,"-",""),"(",""),")",""),".",""),"+","")," ","")))</f>
      </c>
    </row>
    <row r="366" spans="1:7" x14ac:dyDescent="0.3">
      <c r="A366" s="28"/>
      <c r="B366" s="39">
        <f>IF($A366="","",IFERROR(IF(INDEX(Pledges!$D$5:$D$2500,MATCH($G366,Pledges!$K$5:$K$2500,0))="","⚠ no amount on Pledges",IF(INDEX(Pledges!$B$5:$B$2500,MATCH($G366,Pledges!$K$5:$K$2500,0))="","",INDEX(Pledges!$B$5:$B$2500,MATCH($G366,Pledges!$K$5:$K$2500,0)))),"⚠ phone not in Pledges"))</f>
      </c>
      <c r="C366" s="30"/>
      <c r="D366" s="31"/>
      <c r="E366" s="32"/>
      <c r="F366" s="29"/>
      <c r="G366">
        <f>IF($A366="","","#"&amp;TRIM(SUBSTITUTE(SUBSTITUTE(SUBSTITUTE(SUBSTITUTE(SUBSTITUTE(SUBSTITUTE($A366,"-",""),"(",""),")",""),".",""),"+","")," ","")))</f>
      </c>
    </row>
    <row r="367" spans="1:7" x14ac:dyDescent="0.3">
      <c r="A367" s="28"/>
      <c r="B367" s="39">
        <f>IF($A367="","",IFERROR(IF(INDEX(Pledges!$D$5:$D$2500,MATCH($G367,Pledges!$K$5:$K$2500,0))="","⚠ no amount on Pledges",IF(INDEX(Pledges!$B$5:$B$2500,MATCH($G367,Pledges!$K$5:$K$2500,0))="","",INDEX(Pledges!$B$5:$B$2500,MATCH($G367,Pledges!$K$5:$K$2500,0)))),"⚠ phone not in Pledges"))</f>
      </c>
      <c r="C367" s="30"/>
      <c r="D367" s="31"/>
      <c r="E367" s="32"/>
      <c r="F367" s="29"/>
      <c r="G367">
        <f>IF($A367="","","#"&amp;TRIM(SUBSTITUTE(SUBSTITUTE(SUBSTITUTE(SUBSTITUTE(SUBSTITUTE(SUBSTITUTE($A367,"-",""),"(",""),")",""),".",""),"+","")," ","")))</f>
      </c>
    </row>
    <row r="368" spans="1:7" x14ac:dyDescent="0.3">
      <c r="A368" s="28"/>
      <c r="B368" s="39">
        <f>IF($A368="","",IFERROR(IF(INDEX(Pledges!$D$5:$D$2500,MATCH($G368,Pledges!$K$5:$K$2500,0))="","⚠ no amount on Pledges",IF(INDEX(Pledges!$B$5:$B$2500,MATCH($G368,Pledges!$K$5:$K$2500,0))="","",INDEX(Pledges!$B$5:$B$2500,MATCH($G368,Pledges!$K$5:$K$2500,0)))),"⚠ phone not in Pledges"))</f>
      </c>
      <c r="C368" s="30"/>
      <c r="D368" s="31"/>
      <c r="E368" s="32"/>
      <c r="F368" s="29"/>
      <c r="G368">
        <f>IF($A368="","","#"&amp;TRIM(SUBSTITUTE(SUBSTITUTE(SUBSTITUTE(SUBSTITUTE(SUBSTITUTE(SUBSTITUTE($A368,"-",""),"(",""),")",""),".",""),"+","")," ","")))</f>
      </c>
    </row>
    <row r="369" spans="1:7" x14ac:dyDescent="0.3">
      <c r="A369" s="28"/>
      <c r="B369" s="39">
        <f>IF($A369="","",IFERROR(IF(INDEX(Pledges!$D$5:$D$2500,MATCH($G369,Pledges!$K$5:$K$2500,0))="","⚠ no amount on Pledges",IF(INDEX(Pledges!$B$5:$B$2500,MATCH($G369,Pledges!$K$5:$K$2500,0))="","",INDEX(Pledges!$B$5:$B$2500,MATCH($G369,Pledges!$K$5:$K$2500,0)))),"⚠ phone not in Pledges"))</f>
      </c>
      <c r="C369" s="30"/>
      <c r="D369" s="31"/>
      <c r="E369" s="32"/>
      <c r="F369" s="29"/>
      <c r="G369">
        <f>IF($A369="","","#"&amp;TRIM(SUBSTITUTE(SUBSTITUTE(SUBSTITUTE(SUBSTITUTE(SUBSTITUTE(SUBSTITUTE($A369,"-",""),"(",""),")",""),".",""),"+","")," ","")))</f>
      </c>
    </row>
    <row r="370" spans="1:7" x14ac:dyDescent="0.3">
      <c r="A370" s="28"/>
      <c r="B370" s="39">
        <f>IF($A370="","",IFERROR(IF(INDEX(Pledges!$D$5:$D$2500,MATCH($G370,Pledges!$K$5:$K$2500,0))="","⚠ no amount on Pledges",IF(INDEX(Pledges!$B$5:$B$2500,MATCH($G370,Pledges!$K$5:$K$2500,0))="","",INDEX(Pledges!$B$5:$B$2500,MATCH($G370,Pledges!$K$5:$K$2500,0)))),"⚠ phone not in Pledges"))</f>
      </c>
      <c r="C370" s="30"/>
      <c r="D370" s="31"/>
      <c r="E370" s="32"/>
      <c r="F370" s="29"/>
      <c r="G370">
        <f>IF($A370="","","#"&amp;TRIM(SUBSTITUTE(SUBSTITUTE(SUBSTITUTE(SUBSTITUTE(SUBSTITUTE(SUBSTITUTE($A370,"-",""),"(",""),")",""),".",""),"+","")," ","")))</f>
      </c>
    </row>
    <row r="371" spans="1:7" x14ac:dyDescent="0.3">
      <c r="A371" s="28"/>
      <c r="B371" s="39">
        <f>IF($A371="","",IFERROR(IF(INDEX(Pledges!$D$5:$D$2500,MATCH($G371,Pledges!$K$5:$K$2500,0))="","⚠ no amount on Pledges",IF(INDEX(Pledges!$B$5:$B$2500,MATCH($G371,Pledges!$K$5:$K$2500,0))="","",INDEX(Pledges!$B$5:$B$2500,MATCH($G371,Pledges!$K$5:$K$2500,0)))),"⚠ phone not in Pledges"))</f>
      </c>
      <c r="C371" s="30"/>
      <c r="D371" s="31"/>
      <c r="E371" s="32"/>
      <c r="F371" s="29"/>
      <c r="G371">
        <f>IF($A371="","","#"&amp;TRIM(SUBSTITUTE(SUBSTITUTE(SUBSTITUTE(SUBSTITUTE(SUBSTITUTE(SUBSTITUTE($A371,"-",""),"(",""),")",""),".",""),"+","")," ","")))</f>
      </c>
    </row>
    <row r="372" spans="1:7" x14ac:dyDescent="0.3">
      <c r="A372" s="28"/>
      <c r="B372" s="39">
        <f>IF($A372="","",IFERROR(IF(INDEX(Pledges!$D$5:$D$2500,MATCH($G372,Pledges!$K$5:$K$2500,0))="","⚠ no amount on Pledges",IF(INDEX(Pledges!$B$5:$B$2500,MATCH($G372,Pledges!$K$5:$K$2500,0))="","",INDEX(Pledges!$B$5:$B$2500,MATCH($G372,Pledges!$K$5:$K$2500,0)))),"⚠ phone not in Pledges"))</f>
      </c>
      <c r="C372" s="30"/>
      <c r="D372" s="31"/>
      <c r="E372" s="32"/>
      <c r="F372" s="29"/>
      <c r="G372">
        <f>IF($A372="","","#"&amp;TRIM(SUBSTITUTE(SUBSTITUTE(SUBSTITUTE(SUBSTITUTE(SUBSTITUTE(SUBSTITUTE($A372,"-",""),"(",""),")",""),".",""),"+","")," ","")))</f>
      </c>
    </row>
    <row r="373" spans="1:7" x14ac:dyDescent="0.3">
      <c r="A373" s="28"/>
      <c r="B373" s="39">
        <f>IF($A373="","",IFERROR(IF(INDEX(Pledges!$D$5:$D$2500,MATCH($G373,Pledges!$K$5:$K$2500,0))="","⚠ no amount on Pledges",IF(INDEX(Pledges!$B$5:$B$2500,MATCH($G373,Pledges!$K$5:$K$2500,0))="","",INDEX(Pledges!$B$5:$B$2500,MATCH($G373,Pledges!$K$5:$K$2500,0)))),"⚠ phone not in Pledges"))</f>
      </c>
      <c r="C373" s="30"/>
      <c r="D373" s="31"/>
      <c r="E373" s="32"/>
      <c r="F373" s="29"/>
      <c r="G373">
        <f>IF($A373="","","#"&amp;TRIM(SUBSTITUTE(SUBSTITUTE(SUBSTITUTE(SUBSTITUTE(SUBSTITUTE(SUBSTITUTE($A373,"-",""),"(",""),")",""),".",""),"+","")," ","")))</f>
      </c>
    </row>
    <row r="374" spans="1:7" x14ac:dyDescent="0.3">
      <c r="A374" s="28"/>
      <c r="B374" s="39">
        <f>IF($A374="","",IFERROR(IF(INDEX(Pledges!$D$5:$D$2500,MATCH($G374,Pledges!$K$5:$K$2500,0))="","⚠ no amount on Pledges",IF(INDEX(Pledges!$B$5:$B$2500,MATCH($G374,Pledges!$K$5:$K$2500,0))="","",INDEX(Pledges!$B$5:$B$2500,MATCH($G374,Pledges!$K$5:$K$2500,0)))),"⚠ phone not in Pledges"))</f>
      </c>
      <c r="C374" s="30"/>
      <c r="D374" s="31"/>
      <c r="E374" s="32"/>
      <c r="F374" s="29"/>
      <c r="G374">
        <f>IF($A374="","","#"&amp;TRIM(SUBSTITUTE(SUBSTITUTE(SUBSTITUTE(SUBSTITUTE(SUBSTITUTE(SUBSTITUTE($A374,"-",""),"(",""),")",""),".",""),"+","")," ","")))</f>
      </c>
    </row>
    <row r="375" spans="1:7" x14ac:dyDescent="0.3">
      <c r="A375" s="28"/>
      <c r="B375" s="39">
        <f>IF($A375="","",IFERROR(IF(INDEX(Pledges!$D$5:$D$2500,MATCH($G375,Pledges!$K$5:$K$2500,0))="","⚠ no amount on Pledges",IF(INDEX(Pledges!$B$5:$B$2500,MATCH($G375,Pledges!$K$5:$K$2500,0))="","",INDEX(Pledges!$B$5:$B$2500,MATCH($G375,Pledges!$K$5:$K$2500,0)))),"⚠ phone not in Pledges"))</f>
      </c>
      <c r="C375" s="30"/>
      <c r="D375" s="31"/>
      <c r="E375" s="32"/>
      <c r="F375" s="29"/>
      <c r="G375">
        <f>IF($A375="","","#"&amp;TRIM(SUBSTITUTE(SUBSTITUTE(SUBSTITUTE(SUBSTITUTE(SUBSTITUTE(SUBSTITUTE($A375,"-",""),"(",""),")",""),".",""),"+","")," ","")))</f>
      </c>
    </row>
    <row r="376" spans="1:7" x14ac:dyDescent="0.3">
      <c r="A376" s="28"/>
      <c r="B376" s="39">
        <f>IF($A376="","",IFERROR(IF(INDEX(Pledges!$D$5:$D$2500,MATCH($G376,Pledges!$K$5:$K$2500,0))="","⚠ no amount on Pledges",IF(INDEX(Pledges!$B$5:$B$2500,MATCH($G376,Pledges!$K$5:$K$2500,0))="","",INDEX(Pledges!$B$5:$B$2500,MATCH($G376,Pledges!$K$5:$K$2500,0)))),"⚠ phone not in Pledges"))</f>
      </c>
      <c r="C376" s="30"/>
      <c r="D376" s="31"/>
      <c r="E376" s="32"/>
      <c r="F376" s="29"/>
      <c r="G376">
        <f>IF($A376="","","#"&amp;TRIM(SUBSTITUTE(SUBSTITUTE(SUBSTITUTE(SUBSTITUTE(SUBSTITUTE(SUBSTITUTE($A376,"-",""),"(",""),")",""),".",""),"+","")," ","")))</f>
      </c>
    </row>
    <row r="377" spans="1:7" x14ac:dyDescent="0.3">
      <c r="A377" s="28"/>
      <c r="B377" s="39">
        <f>IF($A377="","",IFERROR(IF(INDEX(Pledges!$D$5:$D$2500,MATCH($G377,Pledges!$K$5:$K$2500,0))="","⚠ no amount on Pledges",IF(INDEX(Pledges!$B$5:$B$2500,MATCH($G377,Pledges!$K$5:$K$2500,0))="","",INDEX(Pledges!$B$5:$B$2500,MATCH($G377,Pledges!$K$5:$K$2500,0)))),"⚠ phone not in Pledges"))</f>
      </c>
      <c r="C377" s="30"/>
      <c r="D377" s="31"/>
      <c r="E377" s="32"/>
      <c r="F377" s="29"/>
      <c r="G377">
        <f>IF($A377="","","#"&amp;TRIM(SUBSTITUTE(SUBSTITUTE(SUBSTITUTE(SUBSTITUTE(SUBSTITUTE(SUBSTITUTE($A377,"-",""),"(",""),")",""),".",""),"+","")," ","")))</f>
      </c>
    </row>
    <row r="378" spans="1:7" x14ac:dyDescent="0.3">
      <c r="A378" s="28"/>
      <c r="B378" s="39">
        <f>IF($A378="","",IFERROR(IF(INDEX(Pledges!$D$5:$D$2500,MATCH($G378,Pledges!$K$5:$K$2500,0))="","⚠ no amount on Pledges",IF(INDEX(Pledges!$B$5:$B$2500,MATCH($G378,Pledges!$K$5:$K$2500,0))="","",INDEX(Pledges!$B$5:$B$2500,MATCH($G378,Pledges!$K$5:$K$2500,0)))),"⚠ phone not in Pledges"))</f>
      </c>
      <c r="C378" s="30"/>
      <c r="D378" s="31"/>
      <c r="E378" s="32"/>
      <c r="F378" s="29"/>
      <c r="G378">
        <f>IF($A378="","","#"&amp;TRIM(SUBSTITUTE(SUBSTITUTE(SUBSTITUTE(SUBSTITUTE(SUBSTITUTE(SUBSTITUTE($A378,"-",""),"(",""),")",""),".",""),"+","")," ","")))</f>
      </c>
    </row>
    <row r="379" spans="1:7" x14ac:dyDescent="0.3">
      <c r="A379" s="28"/>
      <c r="B379" s="39">
        <f>IF($A379="","",IFERROR(IF(INDEX(Pledges!$D$5:$D$2500,MATCH($G379,Pledges!$K$5:$K$2500,0))="","⚠ no amount on Pledges",IF(INDEX(Pledges!$B$5:$B$2500,MATCH($G379,Pledges!$K$5:$K$2500,0))="","",INDEX(Pledges!$B$5:$B$2500,MATCH($G379,Pledges!$K$5:$K$2500,0)))),"⚠ phone not in Pledges"))</f>
      </c>
      <c r="C379" s="30"/>
      <c r="D379" s="31"/>
      <c r="E379" s="32"/>
      <c r="F379" s="29"/>
      <c r="G379">
        <f>IF($A379="","","#"&amp;TRIM(SUBSTITUTE(SUBSTITUTE(SUBSTITUTE(SUBSTITUTE(SUBSTITUTE(SUBSTITUTE($A379,"-",""),"(",""),")",""),".",""),"+","")," ","")))</f>
      </c>
    </row>
    <row r="380" spans="1:7" x14ac:dyDescent="0.3">
      <c r="A380" s="28"/>
      <c r="B380" s="39">
        <f>IF($A380="","",IFERROR(IF(INDEX(Pledges!$D$5:$D$2500,MATCH($G380,Pledges!$K$5:$K$2500,0))="","⚠ no amount on Pledges",IF(INDEX(Pledges!$B$5:$B$2500,MATCH($G380,Pledges!$K$5:$K$2500,0))="","",INDEX(Pledges!$B$5:$B$2500,MATCH($G380,Pledges!$K$5:$K$2500,0)))),"⚠ phone not in Pledges"))</f>
      </c>
      <c r="C380" s="30"/>
      <c r="D380" s="31"/>
      <c r="E380" s="32"/>
      <c r="F380" s="29"/>
      <c r="G380">
        <f>IF($A380="","","#"&amp;TRIM(SUBSTITUTE(SUBSTITUTE(SUBSTITUTE(SUBSTITUTE(SUBSTITUTE(SUBSTITUTE($A380,"-",""),"(",""),")",""),".",""),"+","")," ","")))</f>
      </c>
    </row>
    <row r="381" spans="1:7" x14ac:dyDescent="0.3">
      <c r="A381" s="28"/>
      <c r="B381" s="39">
        <f>IF($A381="","",IFERROR(IF(INDEX(Pledges!$D$5:$D$2500,MATCH($G381,Pledges!$K$5:$K$2500,0))="","⚠ no amount on Pledges",IF(INDEX(Pledges!$B$5:$B$2500,MATCH($G381,Pledges!$K$5:$K$2500,0))="","",INDEX(Pledges!$B$5:$B$2500,MATCH($G381,Pledges!$K$5:$K$2500,0)))),"⚠ phone not in Pledges"))</f>
      </c>
      <c r="C381" s="30"/>
      <c r="D381" s="31"/>
      <c r="E381" s="32"/>
      <c r="F381" s="29"/>
      <c r="G381">
        <f>IF($A381="","","#"&amp;TRIM(SUBSTITUTE(SUBSTITUTE(SUBSTITUTE(SUBSTITUTE(SUBSTITUTE(SUBSTITUTE($A381,"-",""),"(",""),")",""),".",""),"+","")," ","")))</f>
      </c>
    </row>
    <row r="382" spans="1:7" x14ac:dyDescent="0.3">
      <c r="A382" s="28"/>
      <c r="B382" s="39">
        <f>IF($A382="","",IFERROR(IF(INDEX(Pledges!$D$5:$D$2500,MATCH($G382,Pledges!$K$5:$K$2500,0))="","⚠ no amount on Pledges",IF(INDEX(Pledges!$B$5:$B$2500,MATCH($G382,Pledges!$K$5:$K$2500,0))="","",INDEX(Pledges!$B$5:$B$2500,MATCH($G382,Pledges!$K$5:$K$2500,0)))),"⚠ phone not in Pledges"))</f>
      </c>
      <c r="C382" s="30"/>
      <c r="D382" s="31"/>
      <c r="E382" s="32"/>
      <c r="F382" s="29"/>
      <c r="G382">
        <f>IF($A382="","","#"&amp;TRIM(SUBSTITUTE(SUBSTITUTE(SUBSTITUTE(SUBSTITUTE(SUBSTITUTE(SUBSTITUTE($A382,"-",""),"(",""),")",""),".",""),"+","")," ","")))</f>
      </c>
    </row>
    <row r="383" spans="1:7" x14ac:dyDescent="0.3">
      <c r="A383" s="28"/>
      <c r="B383" s="39">
        <f>IF($A383="","",IFERROR(IF(INDEX(Pledges!$D$5:$D$2500,MATCH($G383,Pledges!$K$5:$K$2500,0))="","⚠ no amount on Pledges",IF(INDEX(Pledges!$B$5:$B$2500,MATCH($G383,Pledges!$K$5:$K$2500,0))="","",INDEX(Pledges!$B$5:$B$2500,MATCH($G383,Pledges!$K$5:$K$2500,0)))),"⚠ phone not in Pledges"))</f>
      </c>
      <c r="C383" s="30"/>
      <c r="D383" s="31"/>
      <c r="E383" s="32"/>
      <c r="F383" s="29"/>
      <c r="G383">
        <f>IF($A383="","","#"&amp;TRIM(SUBSTITUTE(SUBSTITUTE(SUBSTITUTE(SUBSTITUTE(SUBSTITUTE(SUBSTITUTE($A383,"-",""),"(",""),")",""),".",""),"+","")," ","")))</f>
      </c>
    </row>
    <row r="384" spans="1:7" x14ac:dyDescent="0.3">
      <c r="A384" s="28"/>
      <c r="B384" s="39">
        <f>IF($A384="","",IFERROR(IF(INDEX(Pledges!$D$5:$D$2500,MATCH($G384,Pledges!$K$5:$K$2500,0))="","⚠ no amount on Pledges",IF(INDEX(Pledges!$B$5:$B$2500,MATCH($G384,Pledges!$K$5:$K$2500,0))="","",INDEX(Pledges!$B$5:$B$2500,MATCH($G384,Pledges!$K$5:$K$2500,0)))),"⚠ phone not in Pledges"))</f>
      </c>
      <c r="C384" s="30"/>
      <c r="D384" s="31"/>
      <c r="E384" s="32"/>
      <c r="F384" s="29"/>
      <c r="G384">
        <f>IF($A384="","","#"&amp;TRIM(SUBSTITUTE(SUBSTITUTE(SUBSTITUTE(SUBSTITUTE(SUBSTITUTE(SUBSTITUTE($A384,"-",""),"(",""),")",""),".",""),"+","")," ","")))</f>
      </c>
    </row>
    <row r="385" spans="1:7" x14ac:dyDescent="0.3">
      <c r="A385" s="28"/>
      <c r="B385" s="39">
        <f>IF($A385="","",IFERROR(IF(INDEX(Pledges!$D$5:$D$2500,MATCH($G385,Pledges!$K$5:$K$2500,0))="","⚠ no amount on Pledges",IF(INDEX(Pledges!$B$5:$B$2500,MATCH($G385,Pledges!$K$5:$K$2500,0))="","",INDEX(Pledges!$B$5:$B$2500,MATCH($G385,Pledges!$K$5:$K$2500,0)))),"⚠ phone not in Pledges"))</f>
      </c>
      <c r="C385" s="30"/>
      <c r="D385" s="31"/>
      <c r="E385" s="32"/>
      <c r="F385" s="29"/>
      <c r="G385">
        <f>IF($A385="","","#"&amp;TRIM(SUBSTITUTE(SUBSTITUTE(SUBSTITUTE(SUBSTITUTE(SUBSTITUTE(SUBSTITUTE($A385,"-",""),"(",""),")",""),".",""),"+","")," ","")))</f>
      </c>
    </row>
    <row r="386" spans="1:7" x14ac:dyDescent="0.3">
      <c r="A386" s="28"/>
      <c r="B386" s="39">
        <f>IF($A386="","",IFERROR(IF(INDEX(Pledges!$D$5:$D$2500,MATCH($G386,Pledges!$K$5:$K$2500,0))="","⚠ no amount on Pledges",IF(INDEX(Pledges!$B$5:$B$2500,MATCH($G386,Pledges!$K$5:$K$2500,0))="","",INDEX(Pledges!$B$5:$B$2500,MATCH($G386,Pledges!$K$5:$K$2500,0)))),"⚠ phone not in Pledges"))</f>
      </c>
      <c r="C386" s="30"/>
      <c r="D386" s="31"/>
      <c r="E386" s="32"/>
      <c r="F386" s="29"/>
      <c r="G386">
        <f>IF($A386="","","#"&amp;TRIM(SUBSTITUTE(SUBSTITUTE(SUBSTITUTE(SUBSTITUTE(SUBSTITUTE(SUBSTITUTE($A386,"-",""),"(",""),")",""),".",""),"+","")," ","")))</f>
      </c>
    </row>
    <row r="387" spans="1:7" x14ac:dyDescent="0.3">
      <c r="A387" s="28"/>
      <c r="B387" s="39">
        <f>IF($A387="","",IFERROR(IF(INDEX(Pledges!$D$5:$D$2500,MATCH($G387,Pledges!$K$5:$K$2500,0))="","⚠ no amount on Pledges",IF(INDEX(Pledges!$B$5:$B$2500,MATCH($G387,Pledges!$K$5:$K$2500,0))="","",INDEX(Pledges!$B$5:$B$2500,MATCH($G387,Pledges!$K$5:$K$2500,0)))),"⚠ phone not in Pledges"))</f>
      </c>
      <c r="C387" s="30"/>
      <c r="D387" s="31"/>
      <c r="E387" s="32"/>
      <c r="F387" s="29"/>
      <c r="G387">
        <f>IF($A387="","","#"&amp;TRIM(SUBSTITUTE(SUBSTITUTE(SUBSTITUTE(SUBSTITUTE(SUBSTITUTE(SUBSTITUTE($A387,"-",""),"(",""),")",""),".",""),"+","")," ","")))</f>
      </c>
    </row>
    <row r="388" spans="1:7" x14ac:dyDescent="0.3">
      <c r="A388" s="28"/>
      <c r="B388" s="39">
        <f>IF($A388="","",IFERROR(IF(INDEX(Pledges!$D$5:$D$2500,MATCH($G388,Pledges!$K$5:$K$2500,0))="","⚠ no amount on Pledges",IF(INDEX(Pledges!$B$5:$B$2500,MATCH($G388,Pledges!$K$5:$K$2500,0))="","",INDEX(Pledges!$B$5:$B$2500,MATCH($G388,Pledges!$K$5:$K$2500,0)))),"⚠ phone not in Pledges"))</f>
      </c>
      <c r="C388" s="30"/>
      <c r="D388" s="31"/>
      <c r="E388" s="32"/>
      <c r="F388" s="29"/>
      <c r="G388">
        <f>IF($A388="","","#"&amp;TRIM(SUBSTITUTE(SUBSTITUTE(SUBSTITUTE(SUBSTITUTE(SUBSTITUTE(SUBSTITUTE($A388,"-",""),"(",""),")",""),".",""),"+","")," ","")))</f>
      </c>
    </row>
    <row r="389" spans="1:7" x14ac:dyDescent="0.3">
      <c r="A389" s="28"/>
      <c r="B389" s="39">
        <f>IF($A389="","",IFERROR(IF(INDEX(Pledges!$D$5:$D$2500,MATCH($G389,Pledges!$K$5:$K$2500,0))="","⚠ no amount on Pledges",IF(INDEX(Pledges!$B$5:$B$2500,MATCH($G389,Pledges!$K$5:$K$2500,0))="","",INDEX(Pledges!$B$5:$B$2500,MATCH($G389,Pledges!$K$5:$K$2500,0)))),"⚠ phone not in Pledges"))</f>
      </c>
      <c r="C389" s="30"/>
      <c r="D389" s="31"/>
      <c r="E389" s="32"/>
      <c r="F389" s="29"/>
      <c r="G389">
        <f>IF($A389="","","#"&amp;TRIM(SUBSTITUTE(SUBSTITUTE(SUBSTITUTE(SUBSTITUTE(SUBSTITUTE(SUBSTITUTE($A389,"-",""),"(",""),")",""),".",""),"+","")," ","")))</f>
      </c>
    </row>
    <row r="390" spans="1:7" x14ac:dyDescent="0.3">
      <c r="A390" s="28"/>
      <c r="B390" s="39">
        <f>IF($A390="","",IFERROR(IF(INDEX(Pledges!$D$5:$D$2500,MATCH($G390,Pledges!$K$5:$K$2500,0))="","⚠ no amount on Pledges",IF(INDEX(Pledges!$B$5:$B$2500,MATCH($G390,Pledges!$K$5:$K$2500,0))="","",INDEX(Pledges!$B$5:$B$2500,MATCH($G390,Pledges!$K$5:$K$2500,0)))),"⚠ phone not in Pledges"))</f>
      </c>
      <c r="C390" s="30"/>
      <c r="D390" s="31"/>
      <c r="E390" s="32"/>
      <c r="F390" s="29"/>
      <c r="G390">
        <f>IF($A390="","","#"&amp;TRIM(SUBSTITUTE(SUBSTITUTE(SUBSTITUTE(SUBSTITUTE(SUBSTITUTE(SUBSTITUTE($A390,"-",""),"(",""),")",""),".",""),"+","")," ","")))</f>
      </c>
    </row>
    <row r="391" spans="1:7" x14ac:dyDescent="0.3">
      <c r="A391" s="28"/>
      <c r="B391" s="39">
        <f>IF($A391="","",IFERROR(IF(INDEX(Pledges!$D$5:$D$2500,MATCH($G391,Pledges!$K$5:$K$2500,0))="","⚠ no amount on Pledges",IF(INDEX(Pledges!$B$5:$B$2500,MATCH($G391,Pledges!$K$5:$K$2500,0))="","",INDEX(Pledges!$B$5:$B$2500,MATCH($G391,Pledges!$K$5:$K$2500,0)))),"⚠ phone not in Pledges"))</f>
      </c>
      <c r="C391" s="30"/>
      <c r="D391" s="31"/>
      <c r="E391" s="32"/>
      <c r="F391" s="29"/>
      <c r="G391">
        <f>IF($A391="","","#"&amp;TRIM(SUBSTITUTE(SUBSTITUTE(SUBSTITUTE(SUBSTITUTE(SUBSTITUTE(SUBSTITUTE($A391,"-",""),"(",""),")",""),".",""),"+","")," ","")))</f>
      </c>
    </row>
    <row r="392" spans="1:7" x14ac:dyDescent="0.3">
      <c r="A392" s="28"/>
      <c r="B392" s="39">
        <f>IF($A392="","",IFERROR(IF(INDEX(Pledges!$D$5:$D$2500,MATCH($G392,Pledges!$K$5:$K$2500,0))="","⚠ no amount on Pledges",IF(INDEX(Pledges!$B$5:$B$2500,MATCH($G392,Pledges!$K$5:$K$2500,0))="","",INDEX(Pledges!$B$5:$B$2500,MATCH($G392,Pledges!$K$5:$K$2500,0)))),"⚠ phone not in Pledges"))</f>
      </c>
      <c r="C392" s="30"/>
      <c r="D392" s="31"/>
      <c r="E392" s="32"/>
      <c r="F392" s="29"/>
      <c r="G392">
        <f>IF($A392="","","#"&amp;TRIM(SUBSTITUTE(SUBSTITUTE(SUBSTITUTE(SUBSTITUTE(SUBSTITUTE(SUBSTITUTE($A392,"-",""),"(",""),")",""),".",""),"+","")," ","")))</f>
      </c>
    </row>
    <row r="393" spans="1:7" x14ac:dyDescent="0.3">
      <c r="A393" s="28"/>
      <c r="B393" s="39">
        <f>IF($A393="","",IFERROR(IF(INDEX(Pledges!$D$5:$D$2500,MATCH($G393,Pledges!$K$5:$K$2500,0))="","⚠ no amount on Pledges",IF(INDEX(Pledges!$B$5:$B$2500,MATCH($G393,Pledges!$K$5:$K$2500,0))="","",INDEX(Pledges!$B$5:$B$2500,MATCH($G393,Pledges!$K$5:$K$2500,0)))),"⚠ phone not in Pledges"))</f>
      </c>
      <c r="C393" s="30"/>
      <c r="D393" s="31"/>
      <c r="E393" s="32"/>
      <c r="F393" s="29"/>
      <c r="G393">
        <f>IF($A393="","","#"&amp;TRIM(SUBSTITUTE(SUBSTITUTE(SUBSTITUTE(SUBSTITUTE(SUBSTITUTE(SUBSTITUTE($A393,"-",""),"(",""),")",""),".",""),"+","")," ","")))</f>
      </c>
    </row>
    <row r="394" spans="1:7" x14ac:dyDescent="0.3">
      <c r="A394" s="28"/>
      <c r="B394" s="39">
        <f>IF($A394="","",IFERROR(IF(INDEX(Pledges!$D$5:$D$2500,MATCH($G394,Pledges!$K$5:$K$2500,0))="","⚠ no amount on Pledges",IF(INDEX(Pledges!$B$5:$B$2500,MATCH($G394,Pledges!$K$5:$K$2500,0))="","",INDEX(Pledges!$B$5:$B$2500,MATCH($G394,Pledges!$K$5:$K$2500,0)))),"⚠ phone not in Pledges"))</f>
      </c>
      <c r="C394" s="30"/>
      <c r="D394" s="31"/>
      <c r="E394" s="32"/>
      <c r="F394" s="29"/>
      <c r="G394">
        <f>IF($A394="","","#"&amp;TRIM(SUBSTITUTE(SUBSTITUTE(SUBSTITUTE(SUBSTITUTE(SUBSTITUTE(SUBSTITUTE($A394,"-",""),"(",""),")",""),".",""),"+","")," ","")))</f>
      </c>
    </row>
    <row r="395" spans="1:7" x14ac:dyDescent="0.3">
      <c r="A395" s="28"/>
      <c r="B395" s="39">
        <f>IF($A395="","",IFERROR(IF(INDEX(Pledges!$D$5:$D$2500,MATCH($G395,Pledges!$K$5:$K$2500,0))="","⚠ no amount on Pledges",IF(INDEX(Pledges!$B$5:$B$2500,MATCH($G395,Pledges!$K$5:$K$2500,0))="","",INDEX(Pledges!$B$5:$B$2500,MATCH($G395,Pledges!$K$5:$K$2500,0)))),"⚠ phone not in Pledges"))</f>
      </c>
      <c r="C395" s="30"/>
      <c r="D395" s="31"/>
      <c r="E395" s="32"/>
      <c r="F395" s="29"/>
      <c r="G395">
        <f>IF($A395="","","#"&amp;TRIM(SUBSTITUTE(SUBSTITUTE(SUBSTITUTE(SUBSTITUTE(SUBSTITUTE(SUBSTITUTE($A395,"-",""),"(",""),")",""),".",""),"+","")," ","")))</f>
      </c>
    </row>
    <row r="396" spans="1:7" x14ac:dyDescent="0.3">
      <c r="A396" s="28"/>
      <c r="B396" s="39">
        <f>IF($A396="","",IFERROR(IF(INDEX(Pledges!$D$5:$D$2500,MATCH($G396,Pledges!$K$5:$K$2500,0))="","⚠ no amount on Pledges",IF(INDEX(Pledges!$B$5:$B$2500,MATCH($G396,Pledges!$K$5:$K$2500,0))="","",INDEX(Pledges!$B$5:$B$2500,MATCH($G396,Pledges!$K$5:$K$2500,0)))),"⚠ phone not in Pledges"))</f>
      </c>
      <c r="C396" s="30"/>
      <c r="D396" s="31"/>
      <c r="E396" s="32"/>
      <c r="F396" s="29"/>
      <c r="G396">
        <f>IF($A396="","","#"&amp;TRIM(SUBSTITUTE(SUBSTITUTE(SUBSTITUTE(SUBSTITUTE(SUBSTITUTE(SUBSTITUTE($A396,"-",""),"(",""),")",""),".",""),"+","")," ","")))</f>
      </c>
    </row>
    <row r="397" spans="1:7" x14ac:dyDescent="0.3">
      <c r="A397" s="28"/>
      <c r="B397" s="39">
        <f>IF($A397="","",IFERROR(IF(INDEX(Pledges!$D$5:$D$2500,MATCH($G397,Pledges!$K$5:$K$2500,0))="","⚠ no amount on Pledges",IF(INDEX(Pledges!$B$5:$B$2500,MATCH($G397,Pledges!$K$5:$K$2500,0))="","",INDEX(Pledges!$B$5:$B$2500,MATCH($G397,Pledges!$K$5:$K$2500,0)))),"⚠ phone not in Pledges"))</f>
      </c>
      <c r="C397" s="30"/>
      <c r="D397" s="31"/>
      <c r="E397" s="32"/>
      <c r="F397" s="29"/>
      <c r="G397">
        <f>IF($A397="","","#"&amp;TRIM(SUBSTITUTE(SUBSTITUTE(SUBSTITUTE(SUBSTITUTE(SUBSTITUTE(SUBSTITUTE($A397,"-",""),"(",""),")",""),".",""),"+","")," ","")))</f>
      </c>
    </row>
    <row r="398" spans="1:7" x14ac:dyDescent="0.3">
      <c r="A398" s="28"/>
      <c r="B398" s="39">
        <f>IF($A398="","",IFERROR(IF(INDEX(Pledges!$D$5:$D$2500,MATCH($G398,Pledges!$K$5:$K$2500,0))="","⚠ no amount on Pledges",IF(INDEX(Pledges!$B$5:$B$2500,MATCH($G398,Pledges!$K$5:$K$2500,0))="","",INDEX(Pledges!$B$5:$B$2500,MATCH($G398,Pledges!$K$5:$K$2500,0)))),"⚠ phone not in Pledges"))</f>
      </c>
      <c r="C398" s="30"/>
      <c r="D398" s="31"/>
      <c r="E398" s="32"/>
      <c r="F398" s="29"/>
      <c r="G398">
        <f>IF($A398="","","#"&amp;TRIM(SUBSTITUTE(SUBSTITUTE(SUBSTITUTE(SUBSTITUTE(SUBSTITUTE(SUBSTITUTE($A398,"-",""),"(",""),")",""),".",""),"+","")," ","")))</f>
      </c>
    </row>
    <row r="399" spans="1:7" x14ac:dyDescent="0.3">
      <c r="A399" s="28"/>
      <c r="B399" s="39">
        <f>IF($A399="","",IFERROR(IF(INDEX(Pledges!$D$5:$D$2500,MATCH($G399,Pledges!$K$5:$K$2500,0))="","⚠ no amount on Pledges",IF(INDEX(Pledges!$B$5:$B$2500,MATCH($G399,Pledges!$K$5:$K$2500,0))="","",INDEX(Pledges!$B$5:$B$2500,MATCH($G399,Pledges!$K$5:$K$2500,0)))),"⚠ phone not in Pledges"))</f>
      </c>
      <c r="C399" s="30"/>
      <c r="D399" s="31"/>
      <c r="E399" s="32"/>
      <c r="F399" s="29"/>
      <c r="G399">
        <f>IF($A399="","","#"&amp;TRIM(SUBSTITUTE(SUBSTITUTE(SUBSTITUTE(SUBSTITUTE(SUBSTITUTE(SUBSTITUTE($A399,"-",""),"(",""),")",""),".",""),"+","")," ","")))</f>
      </c>
    </row>
    <row r="400" spans="1:7" x14ac:dyDescent="0.3">
      <c r="A400" s="28"/>
      <c r="B400" s="39">
        <f>IF($A400="","",IFERROR(IF(INDEX(Pledges!$D$5:$D$2500,MATCH($G400,Pledges!$K$5:$K$2500,0))="","⚠ no amount on Pledges",IF(INDEX(Pledges!$B$5:$B$2500,MATCH($G400,Pledges!$K$5:$K$2500,0))="","",INDEX(Pledges!$B$5:$B$2500,MATCH($G400,Pledges!$K$5:$K$2500,0)))),"⚠ phone not in Pledges"))</f>
      </c>
      <c r="C400" s="30"/>
      <c r="D400" s="31"/>
      <c r="E400" s="32"/>
      <c r="F400" s="29"/>
      <c r="G400">
        <f>IF($A400="","","#"&amp;TRIM(SUBSTITUTE(SUBSTITUTE(SUBSTITUTE(SUBSTITUTE(SUBSTITUTE(SUBSTITUTE($A400,"-",""),"(",""),")",""),".",""),"+","")," ","")))</f>
      </c>
    </row>
    <row r="401" spans="1:7" x14ac:dyDescent="0.3">
      <c r="A401" s="28"/>
      <c r="B401" s="39">
        <f>IF($A401="","",IFERROR(IF(INDEX(Pledges!$D$5:$D$2500,MATCH($G401,Pledges!$K$5:$K$2500,0))="","⚠ no amount on Pledges",IF(INDEX(Pledges!$B$5:$B$2500,MATCH($G401,Pledges!$K$5:$K$2500,0))="","",INDEX(Pledges!$B$5:$B$2500,MATCH($G401,Pledges!$K$5:$K$2500,0)))),"⚠ phone not in Pledges"))</f>
      </c>
      <c r="C401" s="30"/>
      <c r="D401" s="31"/>
      <c r="E401" s="32"/>
      <c r="F401" s="29"/>
      <c r="G401">
        <f>IF($A401="","","#"&amp;TRIM(SUBSTITUTE(SUBSTITUTE(SUBSTITUTE(SUBSTITUTE(SUBSTITUTE(SUBSTITUTE($A401,"-",""),"(",""),")",""),".",""),"+","")," ","")))</f>
      </c>
    </row>
    <row r="402" spans="1:7" x14ac:dyDescent="0.3">
      <c r="A402" s="28"/>
      <c r="B402" s="39">
        <f>IF($A402="","",IFERROR(IF(INDEX(Pledges!$D$5:$D$2500,MATCH($G402,Pledges!$K$5:$K$2500,0))="","⚠ no amount on Pledges",IF(INDEX(Pledges!$B$5:$B$2500,MATCH($G402,Pledges!$K$5:$K$2500,0))="","",INDEX(Pledges!$B$5:$B$2500,MATCH($G402,Pledges!$K$5:$K$2500,0)))),"⚠ phone not in Pledges"))</f>
      </c>
      <c r="C402" s="30"/>
      <c r="D402" s="31"/>
      <c r="E402" s="32"/>
      <c r="F402" s="29"/>
      <c r="G402">
        <f>IF($A402="","","#"&amp;TRIM(SUBSTITUTE(SUBSTITUTE(SUBSTITUTE(SUBSTITUTE(SUBSTITUTE(SUBSTITUTE($A402,"-",""),"(",""),")",""),".",""),"+","")," ","")))</f>
      </c>
    </row>
    <row r="403" spans="1:7" x14ac:dyDescent="0.3">
      <c r="A403" s="28"/>
      <c r="B403" s="39">
        <f>IF($A403="","",IFERROR(IF(INDEX(Pledges!$D$5:$D$2500,MATCH($G403,Pledges!$K$5:$K$2500,0))="","⚠ no amount on Pledges",IF(INDEX(Pledges!$B$5:$B$2500,MATCH($G403,Pledges!$K$5:$K$2500,0))="","",INDEX(Pledges!$B$5:$B$2500,MATCH($G403,Pledges!$K$5:$K$2500,0)))),"⚠ phone not in Pledges"))</f>
      </c>
      <c r="C403" s="30"/>
      <c r="D403" s="31"/>
      <c r="E403" s="32"/>
      <c r="F403" s="29"/>
      <c r="G403">
        <f>IF($A403="","","#"&amp;TRIM(SUBSTITUTE(SUBSTITUTE(SUBSTITUTE(SUBSTITUTE(SUBSTITUTE(SUBSTITUTE($A403,"-",""),"(",""),")",""),".",""),"+","")," ","")))</f>
      </c>
    </row>
    <row r="404" spans="1:7" x14ac:dyDescent="0.3">
      <c r="A404" s="28"/>
      <c r="B404" s="39">
        <f>IF($A404="","",IFERROR(IF(INDEX(Pledges!$D$5:$D$2500,MATCH($G404,Pledges!$K$5:$K$2500,0))="","⚠ no amount on Pledges",IF(INDEX(Pledges!$B$5:$B$2500,MATCH($G404,Pledges!$K$5:$K$2500,0))="","",INDEX(Pledges!$B$5:$B$2500,MATCH($G404,Pledges!$K$5:$K$2500,0)))),"⚠ phone not in Pledges"))</f>
      </c>
      <c r="C404" s="30"/>
      <c r="D404" s="31"/>
      <c r="E404" s="32"/>
      <c r="F404" s="29"/>
      <c r="G404">
        <f>IF($A404="","","#"&amp;TRIM(SUBSTITUTE(SUBSTITUTE(SUBSTITUTE(SUBSTITUTE(SUBSTITUTE(SUBSTITUTE($A404,"-",""),"(",""),")",""),".",""),"+","")," ","")))</f>
      </c>
    </row>
    <row r="405" spans="1:7" x14ac:dyDescent="0.3">
      <c r="A405" s="28"/>
      <c r="B405" s="39">
        <f>IF($A405="","",IFERROR(IF(INDEX(Pledges!$D$5:$D$2500,MATCH($G405,Pledges!$K$5:$K$2500,0))="","⚠ no amount on Pledges",IF(INDEX(Pledges!$B$5:$B$2500,MATCH($G405,Pledges!$K$5:$K$2500,0))="","",INDEX(Pledges!$B$5:$B$2500,MATCH($G405,Pledges!$K$5:$K$2500,0)))),"⚠ phone not in Pledges"))</f>
      </c>
      <c r="C405" s="30"/>
      <c r="D405" s="31"/>
      <c r="E405" s="32"/>
      <c r="F405" s="29"/>
      <c r="G405">
        <f>IF($A405="","","#"&amp;TRIM(SUBSTITUTE(SUBSTITUTE(SUBSTITUTE(SUBSTITUTE(SUBSTITUTE(SUBSTITUTE($A405,"-",""),"(",""),")",""),".",""),"+","")," ","")))</f>
      </c>
    </row>
    <row r="406" spans="1:7" x14ac:dyDescent="0.3">
      <c r="A406" s="28"/>
      <c r="B406" s="39">
        <f>IF($A406="","",IFERROR(IF(INDEX(Pledges!$D$5:$D$2500,MATCH($G406,Pledges!$K$5:$K$2500,0))="","⚠ no amount on Pledges",IF(INDEX(Pledges!$B$5:$B$2500,MATCH($G406,Pledges!$K$5:$K$2500,0))="","",INDEX(Pledges!$B$5:$B$2500,MATCH($G406,Pledges!$K$5:$K$2500,0)))),"⚠ phone not in Pledges"))</f>
      </c>
      <c r="C406" s="30"/>
      <c r="D406" s="31"/>
      <c r="E406" s="32"/>
      <c r="F406" s="29"/>
      <c r="G406">
        <f>IF($A406="","","#"&amp;TRIM(SUBSTITUTE(SUBSTITUTE(SUBSTITUTE(SUBSTITUTE(SUBSTITUTE(SUBSTITUTE($A406,"-",""),"(",""),")",""),".",""),"+","")," ","")))</f>
      </c>
    </row>
    <row r="407" spans="1:7" x14ac:dyDescent="0.3">
      <c r="A407" s="28"/>
      <c r="B407" s="39">
        <f>IF($A407="","",IFERROR(IF(INDEX(Pledges!$D$5:$D$2500,MATCH($G407,Pledges!$K$5:$K$2500,0))="","⚠ no amount on Pledges",IF(INDEX(Pledges!$B$5:$B$2500,MATCH($G407,Pledges!$K$5:$K$2500,0))="","",INDEX(Pledges!$B$5:$B$2500,MATCH($G407,Pledges!$K$5:$K$2500,0)))),"⚠ phone not in Pledges"))</f>
      </c>
      <c r="C407" s="30"/>
      <c r="D407" s="31"/>
      <c r="E407" s="32"/>
      <c r="F407" s="29"/>
      <c r="G407">
        <f>IF($A407="","","#"&amp;TRIM(SUBSTITUTE(SUBSTITUTE(SUBSTITUTE(SUBSTITUTE(SUBSTITUTE(SUBSTITUTE($A407,"-",""),"(",""),")",""),".",""),"+","")," ","")))</f>
      </c>
    </row>
    <row r="408" spans="1:7" x14ac:dyDescent="0.3">
      <c r="A408" s="28"/>
      <c r="B408" s="39">
        <f>IF($A408="","",IFERROR(IF(INDEX(Pledges!$D$5:$D$2500,MATCH($G408,Pledges!$K$5:$K$2500,0))="","⚠ no amount on Pledges",IF(INDEX(Pledges!$B$5:$B$2500,MATCH($G408,Pledges!$K$5:$K$2500,0))="","",INDEX(Pledges!$B$5:$B$2500,MATCH($G408,Pledges!$K$5:$K$2500,0)))),"⚠ phone not in Pledges"))</f>
      </c>
      <c r="C408" s="30"/>
      <c r="D408" s="31"/>
      <c r="E408" s="32"/>
      <c r="F408" s="29"/>
      <c r="G408">
        <f>IF($A408="","","#"&amp;TRIM(SUBSTITUTE(SUBSTITUTE(SUBSTITUTE(SUBSTITUTE(SUBSTITUTE(SUBSTITUTE($A408,"-",""),"(",""),")",""),".",""),"+","")," ","")))</f>
      </c>
    </row>
    <row r="409" spans="1:7" x14ac:dyDescent="0.3">
      <c r="A409" s="28"/>
      <c r="B409" s="39">
        <f>IF($A409="","",IFERROR(IF(INDEX(Pledges!$D$5:$D$2500,MATCH($G409,Pledges!$K$5:$K$2500,0))="","⚠ no amount on Pledges",IF(INDEX(Pledges!$B$5:$B$2500,MATCH($G409,Pledges!$K$5:$K$2500,0))="","",INDEX(Pledges!$B$5:$B$2500,MATCH($G409,Pledges!$K$5:$K$2500,0)))),"⚠ phone not in Pledges"))</f>
      </c>
      <c r="C409" s="30"/>
      <c r="D409" s="31"/>
      <c r="E409" s="32"/>
      <c r="F409" s="29"/>
      <c r="G409">
        <f>IF($A409="","","#"&amp;TRIM(SUBSTITUTE(SUBSTITUTE(SUBSTITUTE(SUBSTITUTE(SUBSTITUTE(SUBSTITUTE($A409,"-",""),"(",""),")",""),".",""),"+","")," ","")))</f>
      </c>
    </row>
    <row r="410" spans="1:7" x14ac:dyDescent="0.3">
      <c r="A410" s="28"/>
      <c r="B410" s="39">
        <f>IF($A410="","",IFERROR(IF(INDEX(Pledges!$D$5:$D$2500,MATCH($G410,Pledges!$K$5:$K$2500,0))="","⚠ no amount on Pledges",IF(INDEX(Pledges!$B$5:$B$2500,MATCH($G410,Pledges!$K$5:$K$2500,0))="","",INDEX(Pledges!$B$5:$B$2500,MATCH($G410,Pledges!$K$5:$K$2500,0)))),"⚠ phone not in Pledges"))</f>
      </c>
      <c r="C410" s="30"/>
      <c r="D410" s="31"/>
      <c r="E410" s="32"/>
      <c r="F410" s="29"/>
      <c r="G410">
        <f>IF($A410="","","#"&amp;TRIM(SUBSTITUTE(SUBSTITUTE(SUBSTITUTE(SUBSTITUTE(SUBSTITUTE(SUBSTITUTE($A410,"-",""),"(",""),")",""),".",""),"+","")," ","")))</f>
      </c>
    </row>
    <row r="411" spans="1:7" x14ac:dyDescent="0.3">
      <c r="A411" s="28"/>
      <c r="B411" s="39">
        <f>IF($A411="","",IFERROR(IF(INDEX(Pledges!$D$5:$D$2500,MATCH($G411,Pledges!$K$5:$K$2500,0))="","⚠ no amount on Pledges",IF(INDEX(Pledges!$B$5:$B$2500,MATCH($G411,Pledges!$K$5:$K$2500,0))="","",INDEX(Pledges!$B$5:$B$2500,MATCH($G411,Pledges!$K$5:$K$2500,0)))),"⚠ phone not in Pledges"))</f>
      </c>
      <c r="C411" s="30"/>
      <c r="D411" s="31"/>
      <c r="E411" s="32"/>
      <c r="F411" s="29"/>
      <c r="G411">
        <f>IF($A411="","","#"&amp;TRIM(SUBSTITUTE(SUBSTITUTE(SUBSTITUTE(SUBSTITUTE(SUBSTITUTE(SUBSTITUTE($A411,"-",""),"(",""),")",""),".",""),"+","")," ","")))</f>
      </c>
    </row>
    <row r="412" spans="1:7" x14ac:dyDescent="0.3">
      <c r="A412" s="28"/>
      <c r="B412" s="39">
        <f>IF($A412="","",IFERROR(IF(INDEX(Pledges!$D$5:$D$2500,MATCH($G412,Pledges!$K$5:$K$2500,0))="","⚠ no amount on Pledges",IF(INDEX(Pledges!$B$5:$B$2500,MATCH($G412,Pledges!$K$5:$K$2500,0))="","",INDEX(Pledges!$B$5:$B$2500,MATCH($G412,Pledges!$K$5:$K$2500,0)))),"⚠ phone not in Pledges"))</f>
      </c>
      <c r="C412" s="30"/>
      <c r="D412" s="31"/>
      <c r="E412" s="32"/>
      <c r="F412" s="29"/>
      <c r="G412">
        <f>IF($A412="","","#"&amp;TRIM(SUBSTITUTE(SUBSTITUTE(SUBSTITUTE(SUBSTITUTE(SUBSTITUTE(SUBSTITUTE($A412,"-",""),"(",""),")",""),".",""),"+","")," ","")))</f>
      </c>
    </row>
    <row r="413" spans="1:7" x14ac:dyDescent="0.3">
      <c r="A413" s="28"/>
      <c r="B413" s="39">
        <f>IF($A413="","",IFERROR(IF(INDEX(Pledges!$D$5:$D$2500,MATCH($G413,Pledges!$K$5:$K$2500,0))="","⚠ no amount on Pledges",IF(INDEX(Pledges!$B$5:$B$2500,MATCH($G413,Pledges!$K$5:$K$2500,0))="","",INDEX(Pledges!$B$5:$B$2500,MATCH($G413,Pledges!$K$5:$K$2500,0)))),"⚠ phone not in Pledges"))</f>
      </c>
      <c r="C413" s="30"/>
      <c r="D413" s="31"/>
      <c r="E413" s="32"/>
      <c r="F413" s="29"/>
      <c r="G413">
        <f>IF($A413="","","#"&amp;TRIM(SUBSTITUTE(SUBSTITUTE(SUBSTITUTE(SUBSTITUTE(SUBSTITUTE(SUBSTITUTE($A413,"-",""),"(",""),")",""),".",""),"+","")," ","")))</f>
      </c>
    </row>
    <row r="414" spans="1:7" x14ac:dyDescent="0.3">
      <c r="A414" s="28"/>
      <c r="B414" s="39">
        <f>IF($A414="","",IFERROR(IF(INDEX(Pledges!$D$5:$D$2500,MATCH($G414,Pledges!$K$5:$K$2500,0))="","⚠ no amount on Pledges",IF(INDEX(Pledges!$B$5:$B$2500,MATCH($G414,Pledges!$K$5:$K$2500,0))="","",INDEX(Pledges!$B$5:$B$2500,MATCH($G414,Pledges!$K$5:$K$2500,0)))),"⚠ phone not in Pledges"))</f>
      </c>
      <c r="C414" s="30"/>
      <c r="D414" s="31"/>
      <c r="E414" s="32"/>
      <c r="F414" s="29"/>
      <c r="G414">
        <f>IF($A414="","","#"&amp;TRIM(SUBSTITUTE(SUBSTITUTE(SUBSTITUTE(SUBSTITUTE(SUBSTITUTE(SUBSTITUTE($A414,"-",""),"(",""),")",""),".",""),"+","")," ","")))</f>
      </c>
    </row>
    <row r="415" spans="1:7" x14ac:dyDescent="0.3">
      <c r="A415" s="28"/>
      <c r="B415" s="39">
        <f>IF($A415="","",IFERROR(IF(INDEX(Pledges!$D$5:$D$2500,MATCH($G415,Pledges!$K$5:$K$2500,0))="","⚠ no amount on Pledges",IF(INDEX(Pledges!$B$5:$B$2500,MATCH($G415,Pledges!$K$5:$K$2500,0))="","",INDEX(Pledges!$B$5:$B$2500,MATCH($G415,Pledges!$K$5:$K$2500,0)))),"⚠ phone not in Pledges"))</f>
      </c>
      <c r="C415" s="30"/>
      <c r="D415" s="31"/>
      <c r="E415" s="32"/>
      <c r="F415" s="29"/>
      <c r="G415">
        <f>IF($A415="","","#"&amp;TRIM(SUBSTITUTE(SUBSTITUTE(SUBSTITUTE(SUBSTITUTE(SUBSTITUTE(SUBSTITUTE($A415,"-",""),"(",""),")",""),".",""),"+","")," ","")))</f>
      </c>
    </row>
    <row r="416" spans="1:7" x14ac:dyDescent="0.3">
      <c r="A416" s="28"/>
      <c r="B416" s="39">
        <f>IF($A416="","",IFERROR(IF(INDEX(Pledges!$D$5:$D$2500,MATCH($G416,Pledges!$K$5:$K$2500,0))="","⚠ no amount on Pledges",IF(INDEX(Pledges!$B$5:$B$2500,MATCH($G416,Pledges!$K$5:$K$2500,0))="","",INDEX(Pledges!$B$5:$B$2500,MATCH($G416,Pledges!$K$5:$K$2500,0)))),"⚠ phone not in Pledges"))</f>
      </c>
      <c r="C416" s="30"/>
      <c r="D416" s="31"/>
      <c r="E416" s="32"/>
      <c r="F416" s="29"/>
      <c r="G416">
        <f>IF($A416="","","#"&amp;TRIM(SUBSTITUTE(SUBSTITUTE(SUBSTITUTE(SUBSTITUTE(SUBSTITUTE(SUBSTITUTE($A416,"-",""),"(",""),")",""),".",""),"+","")," ","")))</f>
      </c>
    </row>
    <row r="417" spans="1:7" x14ac:dyDescent="0.3">
      <c r="A417" s="28"/>
      <c r="B417" s="39">
        <f>IF($A417="","",IFERROR(IF(INDEX(Pledges!$D$5:$D$2500,MATCH($G417,Pledges!$K$5:$K$2500,0))="","⚠ no amount on Pledges",IF(INDEX(Pledges!$B$5:$B$2500,MATCH($G417,Pledges!$K$5:$K$2500,0))="","",INDEX(Pledges!$B$5:$B$2500,MATCH($G417,Pledges!$K$5:$K$2500,0)))),"⚠ phone not in Pledges"))</f>
      </c>
      <c r="C417" s="30"/>
      <c r="D417" s="31"/>
      <c r="E417" s="32"/>
      <c r="F417" s="29"/>
      <c r="G417">
        <f>IF($A417="","","#"&amp;TRIM(SUBSTITUTE(SUBSTITUTE(SUBSTITUTE(SUBSTITUTE(SUBSTITUTE(SUBSTITUTE($A417,"-",""),"(",""),")",""),".",""),"+","")," ","")))</f>
      </c>
    </row>
    <row r="418" spans="1:7" x14ac:dyDescent="0.3">
      <c r="A418" s="28"/>
      <c r="B418" s="39">
        <f>IF($A418="","",IFERROR(IF(INDEX(Pledges!$D$5:$D$2500,MATCH($G418,Pledges!$K$5:$K$2500,0))="","⚠ no amount on Pledges",IF(INDEX(Pledges!$B$5:$B$2500,MATCH($G418,Pledges!$K$5:$K$2500,0))="","",INDEX(Pledges!$B$5:$B$2500,MATCH($G418,Pledges!$K$5:$K$2500,0)))),"⚠ phone not in Pledges"))</f>
      </c>
      <c r="C418" s="30"/>
      <c r="D418" s="31"/>
      <c r="E418" s="32"/>
      <c r="F418" s="29"/>
      <c r="G418">
        <f>IF($A418="","","#"&amp;TRIM(SUBSTITUTE(SUBSTITUTE(SUBSTITUTE(SUBSTITUTE(SUBSTITUTE(SUBSTITUTE($A418,"-",""),"(",""),")",""),".",""),"+","")," ","")))</f>
      </c>
    </row>
    <row r="419" spans="1:7" x14ac:dyDescent="0.3">
      <c r="A419" s="28"/>
      <c r="B419" s="39">
        <f>IF($A419="","",IFERROR(IF(INDEX(Pledges!$D$5:$D$2500,MATCH($G419,Pledges!$K$5:$K$2500,0))="","⚠ no amount on Pledges",IF(INDEX(Pledges!$B$5:$B$2500,MATCH($G419,Pledges!$K$5:$K$2500,0))="","",INDEX(Pledges!$B$5:$B$2500,MATCH($G419,Pledges!$K$5:$K$2500,0)))),"⚠ phone not in Pledges"))</f>
      </c>
      <c r="C419" s="30"/>
      <c r="D419" s="31"/>
      <c r="E419" s="32"/>
      <c r="F419" s="29"/>
      <c r="G419">
        <f>IF($A419="","","#"&amp;TRIM(SUBSTITUTE(SUBSTITUTE(SUBSTITUTE(SUBSTITUTE(SUBSTITUTE(SUBSTITUTE($A419,"-",""),"(",""),")",""),".",""),"+","")," ","")))</f>
      </c>
    </row>
    <row r="420" spans="1:7" x14ac:dyDescent="0.3">
      <c r="A420" s="28"/>
      <c r="B420" s="39">
        <f>IF($A420="","",IFERROR(IF(INDEX(Pledges!$D$5:$D$2500,MATCH($G420,Pledges!$K$5:$K$2500,0))="","⚠ no amount on Pledges",IF(INDEX(Pledges!$B$5:$B$2500,MATCH($G420,Pledges!$K$5:$K$2500,0))="","",INDEX(Pledges!$B$5:$B$2500,MATCH($G420,Pledges!$K$5:$K$2500,0)))),"⚠ phone not in Pledges"))</f>
      </c>
      <c r="C420" s="30"/>
      <c r="D420" s="31"/>
      <c r="E420" s="32"/>
      <c r="F420" s="29"/>
      <c r="G420">
        <f>IF($A420="","","#"&amp;TRIM(SUBSTITUTE(SUBSTITUTE(SUBSTITUTE(SUBSTITUTE(SUBSTITUTE(SUBSTITUTE($A420,"-",""),"(",""),")",""),".",""),"+","")," ","")))</f>
      </c>
    </row>
    <row r="421" spans="1:7" x14ac:dyDescent="0.3">
      <c r="A421" s="28"/>
      <c r="B421" s="39">
        <f>IF($A421="","",IFERROR(IF(INDEX(Pledges!$D$5:$D$2500,MATCH($G421,Pledges!$K$5:$K$2500,0))="","⚠ no amount on Pledges",IF(INDEX(Pledges!$B$5:$B$2500,MATCH($G421,Pledges!$K$5:$K$2500,0))="","",INDEX(Pledges!$B$5:$B$2500,MATCH($G421,Pledges!$K$5:$K$2500,0)))),"⚠ phone not in Pledges"))</f>
      </c>
      <c r="C421" s="30"/>
      <c r="D421" s="31"/>
      <c r="E421" s="32"/>
      <c r="F421" s="29"/>
      <c r="G421">
        <f>IF($A421="","","#"&amp;TRIM(SUBSTITUTE(SUBSTITUTE(SUBSTITUTE(SUBSTITUTE(SUBSTITUTE(SUBSTITUTE($A421,"-",""),"(",""),")",""),".",""),"+","")," ","")))</f>
      </c>
    </row>
    <row r="422" spans="1:7" x14ac:dyDescent="0.3">
      <c r="A422" s="28"/>
      <c r="B422" s="39">
        <f>IF($A422="","",IFERROR(IF(INDEX(Pledges!$D$5:$D$2500,MATCH($G422,Pledges!$K$5:$K$2500,0))="","⚠ no amount on Pledges",IF(INDEX(Pledges!$B$5:$B$2500,MATCH($G422,Pledges!$K$5:$K$2500,0))="","",INDEX(Pledges!$B$5:$B$2500,MATCH($G422,Pledges!$K$5:$K$2500,0)))),"⚠ phone not in Pledges"))</f>
      </c>
      <c r="C422" s="30"/>
      <c r="D422" s="31"/>
      <c r="E422" s="32"/>
      <c r="F422" s="29"/>
      <c r="G422">
        <f>IF($A422="","","#"&amp;TRIM(SUBSTITUTE(SUBSTITUTE(SUBSTITUTE(SUBSTITUTE(SUBSTITUTE(SUBSTITUTE($A422,"-",""),"(",""),")",""),".",""),"+","")," ","")))</f>
      </c>
    </row>
    <row r="423" spans="1:7" x14ac:dyDescent="0.3">
      <c r="A423" s="28"/>
      <c r="B423" s="39">
        <f>IF($A423="","",IFERROR(IF(INDEX(Pledges!$D$5:$D$2500,MATCH($G423,Pledges!$K$5:$K$2500,0))="","⚠ no amount on Pledges",IF(INDEX(Pledges!$B$5:$B$2500,MATCH($G423,Pledges!$K$5:$K$2500,0))="","",INDEX(Pledges!$B$5:$B$2500,MATCH($G423,Pledges!$K$5:$K$2500,0)))),"⚠ phone not in Pledges"))</f>
      </c>
      <c r="C423" s="30"/>
      <c r="D423" s="31"/>
      <c r="E423" s="32"/>
      <c r="F423" s="29"/>
      <c r="G423">
        <f>IF($A423="","","#"&amp;TRIM(SUBSTITUTE(SUBSTITUTE(SUBSTITUTE(SUBSTITUTE(SUBSTITUTE(SUBSTITUTE($A423,"-",""),"(",""),")",""),".",""),"+","")," ","")))</f>
      </c>
    </row>
    <row r="424" spans="1:7" x14ac:dyDescent="0.3">
      <c r="A424" s="28"/>
      <c r="B424" s="39">
        <f>IF($A424="","",IFERROR(IF(INDEX(Pledges!$D$5:$D$2500,MATCH($G424,Pledges!$K$5:$K$2500,0))="","⚠ no amount on Pledges",IF(INDEX(Pledges!$B$5:$B$2500,MATCH($G424,Pledges!$K$5:$K$2500,0))="","",INDEX(Pledges!$B$5:$B$2500,MATCH($G424,Pledges!$K$5:$K$2500,0)))),"⚠ phone not in Pledges"))</f>
      </c>
      <c r="C424" s="30"/>
      <c r="D424" s="31"/>
      <c r="E424" s="32"/>
      <c r="F424" s="29"/>
      <c r="G424">
        <f>IF($A424="","","#"&amp;TRIM(SUBSTITUTE(SUBSTITUTE(SUBSTITUTE(SUBSTITUTE(SUBSTITUTE(SUBSTITUTE($A424,"-",""),"(",""),")",""),".",""),"+","")," ","")))</f>
      </c>
    </row>
    <row r="425" spans="1:7" x14ac:dyDescent="0.3">
      <c r="A425" s="28"/>
      <c r="B425" s="39">
        <f>IF($A425="","",IFERROR(IF(INDEX(Pledges!$D$5:$D$2500,MATCH($G425,Pledges!$K$5:$K$2500,0))="","⚠ no amount on Pledges",IF(INDEX(Pledges!$B$5:$B$2500,MATCH($G425,Pledges!$K$5:$K$2500,0))="","",INDEX(Pledges!$B$5:$B$2500,MATCH($G425,Pledges!$K$5:$K$2500,0)))),"⚠ phone not in Pledges"))</f>
      </c>
      <c r="C425" s="30"/>
      <c r="D425" s="31"/>
      <c r="E425" s="32"/>
      <c r="F425" s="29"/>
      <c r="G425">
        <f>IF($A425="","","#"&amp;TRIM(SUBSTITUTE(SUBSTITUTE(SUBSTITUTE(SUBSTITUTE(SUBSTITUTE(SUBSTITUTE($A425,"-",""),"(",""),")",""),".",""),"+","")," ","")))</f>
      </c>
    </row>
    <row r="426" spans="1:7" x14ac:dyDescent="0.3">
      <c r="A426" s="28"/>
      <c r="B426" s="39">
        <f>IF($A426="","",IFERROR(IF(INDEX(Pledges!$D$5:$D$2500,MATCH($G426,Pledges!$K$5:$K$2500,0))="","⚠ no amount on Pledges",IF(INDEX(Pledges!$B$5:$B$2500,MATCH($G426,Pledges!$K$5:$K$2500,0))="","",INDEX(Pledges!$B$5:$B$2500,MATCH($G426,Pledges!$K$5:$K$2500,0)))),"⚠ phone not in Pledges"))</f>
      </c>
      <c r="C426" s="30"/>
      <c r="D426" s="31"/>
      <c r="E426" s="32"/>
      <c r="F426" s="29"/>
      <c r="G426">
        <f>IF($A426="","","#"&amp;TRIM(SUBSTITUTE(SUBSTITUTE(SUBSTITUTE(SUBSTITUTE(SUBSTITUTE(SUBSTITUTE($A426,"-",""),"(",""),")",""),".",""),"+","")," ","")))</f>
      </c>
    </row>
    <row r="427" spans="1:7" x14ac:dyDescent="0.3">
      <c r="A427" s="28"/>
      <c r="B427" s="39">
        <f>IF($A427="","",IFERROR(IF(INDEX(Pledges!$D$5:$D$2500,MATCH($G427,Pledges!$K$5:$K$2500,0))="","⚠ no amount on Pledges",IF(INDEX(Pledges!$B$5:$B$2500,MATCH($G427,Pledges!$K$5:$K$2500,0))="","",INDEX(Pledges!$B$5:$B$2500,MATCH($G427,Pledges!$K$5:$K$2500,0)))),"⚠ phone not in Pledges"))</f>
      </c>
      <c r="C427" s="30"/>
      <c r="D427" s="31"/>
      <c r="E427" s="32"/>
      <c r="F427" s="29"/>
      <c r="G427">
        <f>IF($A427="","","#"&amp;TRIM(SUBSTITUTE(SUBSTITUTE(SUBSTITUTE(SUBSTITUTE(SUBSTITUTE(SUBSTITUTE($A427,"-",""),"(",""),")",""),".",""),"+","")," ","")))</f>
      </c>
    </row>
    <row r="428" spans="1:7" x14ac:dyDescent="0.3">
      <c r="A428" s="28"/>
      <c r="B428" s="39">
        <f>IF($A428="","",IFERROR(IF(INDEX(Pledges!$D$5:$D$2500,MATCH($G428,Pledges!$K$5:$K$2500,0))="","⚠ no amount on Pledges",IF(INDEX(Pledges!$B$5:$B$2500,MATCH($G428,Pledges!$K$5:$K$2500,0))="","",INDEX(Pledges!$B$5:$B$2500,MATCH($G428,Pledges!$K$5:$K$2500,0)))),"⚠ phone not in Pledges"))</f>
      </c>
      <c r="C428" s="30"/>
      <c r="D428" s="31"/>
      <c r="E428" s="32"/>
      <c r="F428" s="29"/>
      <c r="G428">
        <f>IF($A428="","","#"&amp;TRIM(SUBSTITUTE(SUBSTITUTE(SUBSTITUTE(SUBSTITUTE(SUBSTITUTE(SUBSTITUTE($A428,"-",""),"(",""),")",""),".",""),"+","")," ","")))</f>
      </c>
    </row>
    <row r="429" spans="1:7" x14ac:dyDescent="0.3">
      <c r="A429" s="28"/>
      <c r="B429" s="39">
        <f>IF($A429="","",IFERROR(IF(INDEX(Pledges!$D$5:$D$2500,MATCH($G429,Pledges!$K$5:$K$2500,0))="","⚠ no amount on Pledges",IF(INDEX(Pledges!$B$5:$B$2500,MATCH($G429,Pledges!$K$5:$K$2500,0))="","",INDEX(Pledges!$B$5:$B$2500,MATCH($G429,Pledges!$K$5:$K$2500,0)))),"⚠ phone not in Pledges"))</f>
      </c>
      <c r="C429" s="30"/>
      <c r="D429" s="31"/>
      <c r="E429" s="32"/>
      <c r="F429" s="29"/>
      <c r="G429">
        <f>IF($A429="","","#"&amp;TRIM(SUBSTITUTE(SUBSTITUTE(SUBSTITUTE(SUBSTITUTE(SUBSTITUTE(SUBSTITUTE($A429,"-",""),"(",""),")",""),".",""),"+","")," ","")))</f>
      </c>
    </row>
    <row r="430" spans="1:7" x14ac:dyDescent="0.3">
      <c r="A430" s="28"/>
      <c r="B430" s="39">
        <f>IF($A430="","",IFERROR(IF(INDEX(Pledges!$D$5:$D$2500,MATCH($G430,Pledges!$K$5:$K$2500,0))="","⚠ no amount on Pledges",IF(INDEX(Pledges!$B$5:$B$2500,MATCH($G430,Pledges!$K$5:$K$2500,0))="","",INDEX(Pledges!$B$5:$B$2500,MATCH($G430,Pledges!$K$5:$K$2500,0)))),"⚠ phone not in Pledges"))</f>
      </c>
      <c r="C430" s="30"/>
      <c r="D430" s="31"/>
      <c r="E430" s="32"/>
      <c r="F430" s="29"/>
      <c r="G430">
        <f>IF($A430="","","#"&amp;TRIM(SUBSTITUTE(SUBSTITUTE(SUBSTITUTE(SUBSTITUTE(SUBSTITUTE(SUBSTITUTE($A430,"-",""),"(",""),")",""),".",""),"+","")," ","")))</f>
      </c>
    </row>
    <row r="431" spans="1:7" x14ac:dyDescent="0.3">
      <c r="A431" s="28"/>
      <c r="B431" s="39">
        <f>IF($A431="","",IFERROR(IF(INDEX(Pledges!$D$5:$D$2500,MATCH($G431,Pledges!$K$5:$K$2500,0))="","⚠ no amount on Pledges",IF(INDEX(Pledges!$B$5:$B$2500,MATCH($G431,Pledges!$K$5:$K$2500,0))="","",INDEX(Pledges!$B$5:$B$2500,MATCH($G431,Pledges!$K$5:$K$2500,0)))),"⚠ phone not in Pledges"))</f>
      </c>
      <c r="C431" s="30"/>
      <c r="D431" s="31"/>
      <c r="E431" s="32"/>
      <c r="F431" s="29"/>
      <c r="G431">
        <f>IF($A431="","","#"&amp;TRIM(SUBSTITUTE(SUBSTITUTE(SUBSTITUTE(SUBSTITUTE(SUBSTITUTE(SUBSTITUTE($A431,"-",""),"(",""),")",""),".",""),"+","")," ","")))</f>
      </c>
    </row>
    <row r="432" spans="1:7" x14ac:dyDescent="0.3">
      <c r="A432" s="28"/>
      <c r="B432" s="39">
        <f>IF($A432="","",IFERROR(IF(INDEX(Pledges!$D$5:$D$2500,MATCH($G432,Pledges!$K$5:$K$2500,0))="","⚠ no amount on Pledges",IF(INDEX(Pledges!$B$5:$B$2500,MATCH($G432,Pledges!$K$5:$K$2500,0))="","",INDEX(Pledges!$B$5:$B$2500,MATCH($G432,Pledges!$K$5:$K$2500,0)))),"⚠ phone not in Pledges"))</f>
      </c>
      <c r="C432" s="30"/>
      <c r="D432" s="31"/>
      <c r="E432" s="32"/>
      <c r="F432" s="29"/>
      <c r="G432">
        <f>IF($A432="","","#"&amp;TRIM(SUBSTITUTE(SUBSTITUTE(SUBSTITUTE(SUBSTITUTE(SUBSTITUTE(SUBSTITUTE($A432,"-",""),"(",""),")",""),".",""),"+","")," ","")))</f>
      </c>
    </row>
    <row r="433" spans="1:7" x14ac:dyDescent="0.3">
      <c r="A433" s="28"/>
      <c r="B433" s="39">
        <f>IF($A433="","",IFERROR(IF(INDEX(Pledges!$D$5:$D$2500,MATCH($G433,Pledges!$K$5:$K$2500,0))="","⚠ no amount on Pledges",IF(INDEX(Pledges!$B$5:$B$2500,MATCH($G433,Pledges!$K$5:$K$2500,0))="","",INDEX(Pledges!$B$5:$B$2500,MATCH($G433,Pledges!$K$5:$K$2500,0)))),"⚠ phone not in Pledges"))</f>
      </c>
      <c r="C433" s="30"/>
      <c r="D433" s="31"/>
      <c r="E433" s="32"/>
      <c r="F433" s="29"/>
      <c r="G433">
        <f>IF($A433="","","#"&amp;TRIM(SUBSTITUTE(SUBSTITUTE(SUBSTITUTE(SUBSTITUTE(SUBSTITUTE(SUBSTITUTE($A433,"-",""),"(",""),")",""),".",""),"+","")," ","")))</f>
      </c>
    </row>
    <row r="434" spans="1:7" x14ac:dyDescent="0.3">
      <c r="A434" s="28"/>
      <c r="B434" s="39">
        <f>IF($A434="","",IFERROR(IF(INDEX(Pledges!$D$5:$D$2500,MATCH($G434,Pledges!$K$5:$K$2500,0))="","⚠ no amount on Pledges",IF(INDEX(Pledges!$B$5:$B$2500,MATCH($G434,Pledges!$K$5:$K$2500,0))="","",INDEX(Pledges!$B$5:$B$2500,MATCH($G434,Pledges!$K$5:$K$2500,0)))),"⚠ phone not in Pledges"))</f>
      </c>
      <c r="C434" s="30"/>
      <c r="D434" s="31"/>
      <c r="E434" s="32"/>
      <c r="F434" s="29"/>
      <c r="G434">
        <f>IF($A434="","","#"&amp;TRIM(SUBSTITUTE(SUBSTITUTE(SUBSTITUTE(SUBSTITUTE(SUBSTITUTE(SUBSTITUTE($A434,"-",""),"(",""),")",""),".",""),"+","")," ","")))</f>
      </c>
    </row>
    <row r="435" spans="1:7" x14ac:dyDescent="0.3">
      <c r="A435" s="28"/>
      <c r="B435" s="39">
        <f>IF($A435="","",IFERROR(IF(INDEX(Pledges!$D$5:$D$2500,MATCH($G435,Pledges!$K$5:$K$2500,0))="","⚠ no amount on Pledges",IF(INDEX(Pledges!$B$5:$B$2500,MATCH($G435,Pledges!$K$5:$K$2500,0))="","",INDEX(Pledges!$B$5:$B$2500,MATCH($G435,Pledges!$K$5:$K$2500,0)))),"⚠ phone not in Pledges"))</f>
      </c>
      <c r="C435" s="30"/>
      <c r="D435" s="31"/>
      <c r="E435" s="32"/>
      <c r="F435" s="29"/>
      <c r="G435">
        <f>IF($A435="","","#"&amp;TRIM(SUBSTITUTE(SUBSTITUTE(SUBSTITUTE(SUBSTITUTE(SUBSTITUTE(SUBSTITUTE($A435,"-",""),"(",""),")",""),".",""),"+","")," ","")))</f>
      </c>
    </row>
    <row r="436" spans="1:7" x14ac:dyDescent="0.3">
      <c r="A436" s="28"/>
      <c r="B436" s="39">
        <f>IF($A436="","",IFERROR(IF(INDEX(Pledges!$D$5:$D$2500,MATCH($G436,Pledges!$K$5:$K$2500,0))="","⚠ no amount on Pledges",IF(INDEX(Pledges!$B$5:$B$2500,MATCH($G436,Pledges!$K$5:$K$2500,0))="","",INDEX(Pledges!$B$5:$B$2500,MATCH($G436,Pledges!$K$5:$K$2500,0)))),"⚠ phone not in Pledges"))</f>
      </c>
      <c r="C436" s="30"/>
      <c r="D436" s="31"/>
      <c r="E436" s="32"/>
      <c r="F436" s="29"/>
      <c r="G436">
        <f>IF($A436="","","#"&amp;TRIM(SUBSTITUTE(SUBSTITUTE(SUBSTITUTE(SUBSTITUTE(SUBSTITUTE(SUBSTITUTE($A436,"-",""),"(",""),")",""),".",""),"+","")," ","")))</f>
      </c>
    </row>
    <row r="437" spans="1:7" x14ac:dyDescent="0.3">
      <c r="A437" s="28"/>
      <c r="B437" s="39">
        <f>IF($A437="","",IFERROR(IF(INDEX(Pledges!$D$5:$D$2500,MATCH($G437,Pledges!$K$5:$K$2500,0))="","⚠ no amount on Pledges",IF(INDEX(Pledges!$B$5:$B$2500,MATCH($G437,Pledges!$K$5:$K$2500,0))="","",INDEX(Pledges!$B$5:$B$2500,MATCH($G437,Pledges!$K$5:$K$2500,0)))),"⚠ phone not in Pledges"))</f>
      </c>
      <c r="C437" s="30"/>
      <c r="D437" s="31"/>
      <c r="E437" s="32"/>
      <c r="F437" s="29"/>
      <c r="G437">
        <f>IF($A437="","","#"&amp;TRIM(SUBSTITUTE(SUBSTITUTE(SUBSTITUTE(SUBSTITUTE(SUBSTITUTE(SUBSTITUTE($A437,"-",""),"(",""),")",""),".",""),"+","")," ","")))</f>
      </c>
    </row>
    <row r="438" spans="1:7" x14ac:dyDescent="0.3">
      <c r="A438" s="28"/>
      <c r="B438" s="39">
        <f>IF($A438="","",IFERROR(IF(INDEX(Pledges!$D$5:$D$2500,MATCH($G438,Pledges!$K$5:$K$2500,0))="","⚠ no amount on Pledges",IF(INDEX(Pledges!$B$5:$B$2500,MATCH($G438,Pledges!$K$5:$K$2500,0))="","",INDEX(Pledges!$B$5:$B$2500,MATCH($G438,Pledges!$K$5:$K$2500,0)))),"⚠ phone not in Pledges"))</f>
      </c>
      <c r="C438" s="30"/>
      <c r="D438" s="31"/>
      <c r="E438" s="32"/>
      <c r="F438" s="29"/>
      <c r="G438">
        <f>IF($A438="","","#"&amp;TRIM(SUBSTITUTE(SUBSTITUTE(SUBSTITUTE(SUBSTITUTE(SUBSTITUTE(SUBSTITUTE($A438,"-",""),"(",""),")",""),".",""),"+","")," ","")))</f>
      </c>
    </row>
    <row r="439" spans="1:7" x14ac:dyDescent="0.3">
      <c r="A439" s="28"/>
      <c r="B439" s="39">
        <f>IF($A439="","",IFERROR(IF(INDEX(Pledges!$D$5:$D$2500,MATCH($G439,Pledges!$K$5:$K$2500,0))="","⚠ no amount on Pledges",IF(INDEX(Pledges!$B$5:$B$2500,MATCH($G439,Pledges!$K$5:$K$2500,0))="","",INDEX(Pledges!$B$5:$B$2500,MATCH($G439,Pledges!$K$5:$K$2500,0)))),"⚠ phone not in Pledges"))</f>
      </c>
      <c r="C439" s="30"/>
      <c r="D439" s="31"/>
      <c r="E439" s="32"/>
      <c r="F439" s="29"/>
      <c r="G439">
        <f>IF($A439="","","#"&amp;TRIM(SUBSTITUTE(SUBSTITUTE(SUBSTITUTE(SUBSTITUTE(SUBSTITUTE(SUBSTITUTE($A439,"-",""),"(",""),")",""),".",""),"+","")," ","")))</f>
      </c>
    </row>
    <row r="440" spans="1:7" x14ac:dyDescent="0.3">
      <c r="A440" s="28"/>
      <c r="B440" s="39">
        <f>IF($A440="","",IFERROR(IF(INDEX(Pledges!$D$5:$D$2500,MATCH($G440,Pledges!$K$5:$K$2500,0))="","⚠ no amount on Pledges",IF(INDEX(Pledges!$B$5:$B$2500,MATCH($G440,Pledges!$K$5:$K$2500,0))="","",INDEX(Pledges!$B$5:$B$2500,MATCH($G440,Pledges!$K$5:$K$2500,0)))),"⚠ phone not in Pledges"))</f>
      </c>
      <c r="C440" s="30"/>
      <c r="D440" s="31"/>
      <c r="E440" s="32"/>
      <c r="F440" s="29"/>
      <c r="G440">
        <f>IF($A440="","","#"&amp;TRIM(SUBSTITUTE(SUBSTITUTE(SUBSTITUTE(SUBSTITUTE(SUBSTITUTE(SUBSTITUTE($A440,"-",""),"(",""),")",""),".",""),"+","")," ","")))</f>
      </c>
    </row>
    <row r="441" spans="1:7" x14ac:dyDescent="0.3">
      <c r="A441" s="28"/>
      <c r="B441" s="39">
        <f>IF($A441="","",IFERROR(IF(INDEX(Pledges!$D$5:$D$2500,MATCH($G441,Pledges!$K$5:$K$2500,0))="","⚠ no amount on Pledges",IF(INDEX(Pledges!$B$5:$B$2500,MATCH($G441,Pledges!$K$5:$K$2500,0))="","",INDEX(Pledges!$B$5:$B$2500,MATCH($G441,Pledges!$K$5:$K$2500,0)))),"⚠ phone not in Pledges"))</f>
      </c>
      <c r="C441" s="30"/>
      <c r="D441" s="31"/>
      <c r="E441" s="32"/>
      <c r="F441" s="29"/>
      <c r="G441">
        <f>IF($A441="","","#"&amp;TRIM(SUBSTITUTE(SUBSTITUTE(SUBSTITUTE(SUBSTITUTE(SUBSTITUTE(SUBSTITUTE($A441,"-",""),"(",""),")",""),".",""),"+","")," ","")))</f>
      </c>
    </row>
    <row r="442" spans="1:7" x14ac:dyDescent="0.3">
      <c r="A442" s="28"/>
      <c r="B442" s="39">
        <f>IF($A442="","",IFERROR(IF(INDEX(Pledges!$D$5:$D$2500,MATCH($G442,Pledges!$K$5:$K$2500,0))="","⚠ no amount on Pledges",IF(INDEX(Pledges!$B$5:$B$2500,MATCH($G442,Pledges!$K$5:$K$2500,0))="","",INDEX(Pledges!$B$5:$B$2500,MATCH($G442,Pledges!$K$5:$K$2500,0)))),"⚠ phone not in Pledges"))</f>
      </c>
      <c r="C442" s="30"/>
      <c r="D442" s="31"/>
      <c r="E442" s="32"/>
      <c r="F442" s="29"/>
      <c r="G442">
        <f>IF($A442="","","#"&amp;TRIM(SUBSTITUTE(SUBSTITUTE(SUBSTITUTE(SUBSTITUTE(SUBSTITUTE(SUBSTITUTE($A442,"-",""),"(",""),")",""),".",""),"+","")," ","")))</f>
      </c>
    </row>
    <row r="443" spans="1:7" x14ac:dyDescent="0.3">
      <c r="A443" s="28"/>
      <c r="B443" s="39">
        <f>IF($A443="","",IFERROR(IF(INDEX(Pledges!$D$5:$D$2500,MATCH($G443,Pledges!$K$5:$K$2500,0))="","⚠ no amount on Pledges",IF(INDEX(Pledges!$B$5:$B$2500,MATCH($G443,Pledges!$K$5:$K$2500,0))="","",INDEX(Pledges!$B$5:$B$2500,MATCH($G443,Pledges!$K$5:$K$2500,0)))),"⚠ phone not in Pledges"))</f>
      </c>
      <c r="C443" s="30"/>
      <c r="D443" s="31"/>
      <c r="E443" s="32"/>
      <c r="F443" s="29"/>
      <c r="G443">
        <f>IF($A443="","","#"&amp;TRIM(SUBSTITUTE(SUBSTITUTE(SUBSTITUTE(SUBSTITUTE(SUBSTITUTE(SUBSTITUTE($A443,"-",""),"(",""),")",""),".",""),"+","")," ","")))</f>
      </c>
    </row>
    <row r="444" spans="1:7" x14ac:dyDescent="0.3">
      <c r="A444" s="28"/>
      <c r="B444" s="39">
        <f>IF($A444="","",IFERROR(IF(INDEX(Pledges!$D$5:$D$2500,MATCH($G444,Pledges!$K$5:$K$2500,0))="","⚠ no amount on Pledges",IF(INDEX(Pledges!$B$5:$B$2500,MATCH($G444,Pledges!$K$5:$K$2500,0))="","",INDEX(Pledges!$B$5:$B$2500,MATCH($G444,Pledges!$K$5:$K$2500,0)))),"⚠ phone not in Pledges"))</f>
      </c>
      <c r="C444" s="30"/>
      <c r="D444" s="31"/>
      <c r="E444" s="32"/>
      <c r="F444" s="29"/>
      <c r="G444">
        <f>IF($A444="","","#"&amp;TRIM(SUBSTITUTE(SUBSTITUTE(SUBSTITUTE(SUBSTITUTE(SUBSTITUTE(SUBSTITUTE($A444,"-",""),"(",""),")",""),".",""),"+","")," ","")))</f>
      </c>
    </row>
    <row r="445" spans="1:7" x14ac:dyDescent="0.3">
      <c r="A445" s="28"/>
      <c r="B445" s="39">
        <f>IF($A445="","",IFERROR(IF(INDEX(Pledges!$D$5:$D$2500,MATCH($G445,Pledges!$K$5:$K$2500,0))="","⚠ no amount on Pledges",IF(INDEX(Pledges!$B$5:$B$2500,MATCH($G445,Pledges!$K$5:$K$2500,0))="","",INDEX(Pledges!$B$5:$B$2500,MATCH($G445,Pledges!$K$5:$K$2500,0)))),"⚠ phone not in Pledges"))</f>
      </c>
      <c r="C445" s="30"/>
      <c r="D445" s="31"/>
      <c r="E445" s="32"/>
      <c r="F445" s="29"/>
      <c r="G445">
        <f>IF($A445="","","#"&amp;TRIM(SUBSTITUTE(SUBSTITUTE(SUBSTITUTE(SUBSTITUTE(SUBSTITUTE(SUBSTITUTE($A445,"-",""),"(",""),")",""),".",""),"+","")," ","")))</f>
      </c>
    </row>
    <row r="446" spans="1:7" x14ac:dyDescent="0.3">
      <c r="A446" s="28"/>
      <c r="B446" s="39">
        <f>IF($A446="","",IFERROR(IF(INDEX(Pledges!$D$5:$D$2500,MATCH($G446,Pledges!$K$5:$K$2500,0))="","⚠ no amount on Pledges",IF(INDEX(Pledges!$B$5:$B$2500,MATCH($G446,Pledges!$K$5:$K$2500,0))="","",INDEX(Pledges!$B$5:$B$2500,MATCH($G446,Pledges!$K$5:$K$2500,0)))),"⚠ phone not in Pledges"))</f>
      </c>
      <c r="C446" s="30"/>
      <c r="D446" s="31"/>
      <c r="E446" s="32"/>
      <c r="F446" s="29"/>
      <c r="G446">
        <f>IF($A446="","","#"&amp;TRIM(SUBSTITUTE(SUBSTITUTE(SUBSTITUTE(SUBSTITUTE(SUBSTITUTE(SUBSTITUTE($A446,"-",""),"(",""),")",""),".",""),"+","")," ","")))</f>
      </c>
    </row>
    <row r="447" spans="1:7" x14ac:dyDescent="0.3">
      <c r="A447" s="28"/>
      <c r="B447" s="39">
        <f>IF($A447="","",IFERROR(IF(INDEX(Pledges!$D$5:$D$2500,MATCH($G447,Pledges!$K$5:$K$2500,0))="","⚠ no amount on Pledges",IF(INDEX(Pledges!$B$5:$B$2500,MATCH($G447,Pledges!$K$5:$K$2500,0))="","",INDEX(Pledges!$B$5:$B$2500,MATCH($G447,Pledges!$K$5:$K$2500,0)))),"⚠ phone not in Pledges"))</f>
      </c>
      <c r="C447" s="30"/>
      <c r="D447" s="31"/>
      <c r="E447" s="32"/>
      <c r="F447" s="29"/>
      <c r="G447">
        <f>IF($A447="","","#"&amp;TRIM(SUBSTITUTE(SUBSTITUTE(SUBSTITUTE(SUBSTITUTE(SUBSTITUTE(SUBSTITUTE($A447,"-",""),"(",""),")",""),".",""),"+","")," ","")))</f>
      </c>
    </row>
    <row r="448" spans="1:7" x14ac:dyDescent="0.3">
      <c r="A448" s="28"/>
      <c r="B448" s="39">
        <f>IF($A448="","",IFERROR(IF(INDEX(Pledges!$D$5:$D$2500,MATCH($G448,Pledges!$K$5:$K$2500,0))="","⚠ no amount on Pledges",IF(INDEX(Pledges!$B$5:$B$2500,MATCH($G448,Pledges!$K$5:$K$2500,0))="","",INDEX(Pledges!$B$5:$B$2500,MATCH($G448,Pledges!$K$5:$K$2500,0)))),"⚠ phone not in Pledges"))</f>
      </c>
      <c r="C448" s="30"/>
      <c r="D448" s="31"/>
      <c r="E448" s="32"/>
      <c r="F448" s="29"/>
      <c r="G448">
        <f>IF($A448="","","#"&amp;TRIM(SUBSTITUTE(SUBSTITUTE(SUBSTITUTE(SUBSTITUTE(SUBSTITUTE(SUBSTITUTE($A448,"-",""),"(",""),")",""),".",""),"+","")," ","")))</f>
      </c>
    </row>
    <row r="449" spans="1:7" x14ac:dyDescent="0.3">
      <c r="A449" s="28"/>
      <c r="B449" s="39">
        <f>IF($A449="","",IFERROR(IF(INDEX(Pledges!$D$5:$D$2500,MATCH($G449,Pledges!$K$5:$K$2500,0))="","⚠ no amount on Pledges",IF(INDEX(Pledges!$B$5:$B$2500,MATCH($G449,Pledges!$K$5:$K$2500,0))="","",INDEX(Pledges!$B$5:$B$2500,MATCH($G449,Pledges!$K$5:$K$2500,0)))),"⚠ phone not in Pledges"))</f>
      </c>
      <c r="C449" s="30"/>
      <c r="D449" s="31"/>
      <c r="E449" s="32"/>
      <c r="F449" s="29"/>
      <c r="G449">
        <f>IF($A449="","","#"&amp;TRIM(SUBSTITUTE(SUBSTITUTE(SUBSTITUTE(SUBSTITUTE(SUBSTITUTE(SUBSTITUTE($A449,"-",""),"(",""),")",""),".",""),"+","")," ","")))</f>
      </c>
    </row>
    <row r="450" spans="1:7" x14ac:dyDescent="0.3">
      <c r="A450" s="28"/>
      <c r="B450" s="39">
        <f>IF($A450="","",IFERROR(IF(INDEX(Pledges!$D$5:$D$2500,MATCH($G450,Pledges!$K$5:$K$2500,0))="","⚠ no amount on Pledges",IF(INDEX(Pledges!$B$5:$B$2500,MATCH($G450,Pledges!$K$5:$K$2500,0))="","",INDEX(Pledges!$B$5:$B$2500,MATCH($G450,Pledges!$K$5:$K$2500,0)))),"⚠ phone not in Pledges"))</f>
      </c>
      <c r="C450" s="30"/>
      <c r="D450" s="31"/>
      <c r="E450" s="32"/>
      <c r="F450" s="29"/>
      <c r="G450">
        <f>IF($A450="","","#"&amp;TRIM(SUBSTITUTE(SUBSTITUTE(SUBSTITUTE(SUBSTITUTE(SUBSTITUTE(SUBSTITUTE($A450,"-",""),"(",""),")",""),".",""),"+","")," ","")))</f>
      </c>
    </row>
    <row r="451" spans="1:7" x14ac:dyDescent="0.3">
      <c r="A451" s="28"/>
      <c r="B451" s="39">
        <f>IF($A451="","",IFERROR(IF(INDEX(Pledges!$D$5:$D$2500,MATCH($G451,Pledges!$K$5:$K$2500,0))="","⚠ no amount on Pledges",IF(INDEX(Pledges!$B$5:$B$2500,MATCH($G451,Pledges!$K$5:$K$2500,0))="","",INDEX(Pledges!$B$5:$B$2500,MATCH($G451,Pledges!$K$5:$K$2500,0)))),"⚠ phone not in Pledges"))</f>
      </c>
      <c r="C451" s="30"/>
      <c r="D451" s="31"/>
      <c r="E451" s="32"/>
      <c r="F451" s="29"/>
      <c r="G451">
        <f>IF($A451="","","#"&amp;TRIM(SUBSTITUTE(SUBSTITUTE(SUBSTITUTE(SUBSTITUTE(SUBSTITUTE(SUBSTITUTE($A451,"-",""),"(",""),")",""),".",""),"+","")," ","")))</f>
      </c>
    </row>
    <row r="452" spans="1:7" x14ac:dyDescent="0.3">
      <c r="A452" s="28"/>
      <c r="B452" s="39">
        <f>IF($A452="","",IFERROR(IF(INDEX(Pledges!$D$5:$D$2500,MATCH($G452,Pledges!$K$5:$K$2500,0))="","⚠ no amount on Pledges",IF(INDEX(Pledges!$B$5:$B$2500,MATCH($G452,Pledges!$K$5:$K$2500,0))="","",INDEX(Pledges!$B$5:$B$2500,MATCH($G452,Pledges!$K$5:$K$2500,0)))),"⚠ phone not in Pledges"))</f>
      </c>
      <c r="C452" s="30"/>
      <c r="D452" s="31"/>
      <c r="E452" s="32"/>
      <c r="F452" s="29"/>
      <c r="G452">
        <f>IF($A452="","","#"&amp;TRIM(SUBSTITUTE(SUBSTITUTE(SUBSTITUTE(SUBSTITUTE(SUBSTITUTE(SUBSTITUTE($A452,"-",""),"(",""),")",""),".",""),"+","")," ","")))</f>
      </c>
    </row>
    <row r="453" spans="1:7" x14ac:dyDescent="0.3">
      <c r="A453" s="28"/>
      <c r="B453" s="39">
        <f>IF($A453="","",IFERROR(IF(INDEX(Pledges!$D$5:$D$2500,MATCH($G453,Pledges!$K$5:$K$2500,0))="","⚠ no amount on Pledges",IF(INDEX(Pledges!$B$5:$B$2500,MATCH($G453,Pledges!$K$5:$K$2500,0))="","",INDEX(Pledges!$B$5:$B$2500,MATCH($G453,Pledges!$K$5:$K$2500,0)))),"⚠ phone not in Pledges"))</f>
      </c>
      <c r="C453" s="30"/>
      <c r="D453" s="31"/>
      <c r="E453" s="32"/>
      <c r="F453" s="29"/>
      <c r="G453">
        <f>IF($A453="","","#"&amp;TRIM(SUBSTITUTE(SUBSTITUTE(SUBSTITUTE(SUBSTITUTE(SUBSTITUTE(SUBSTITUTE($A453,"-",""),"(",""),")",""),".",""),"+","")," ","")))</f>
      </c>
    </row>
    <row r="454" spans="1:7" x14ac:dyDescent="0.3">
      <c r="A454" s="28"/>
      <c r="B454" s="39">
        <f>IF($A454="","",IFERROR(IF(INDEX(Pledges!$D$5:$D$2500,MATCH($G454,Pledges!$K$5:$K$2500,0))="","⚠ no amount on Pledges",IF(INDEX(Pledges!$B$5:$B$2500,MATCH($G454,Pledges!$K$5:$K$2500,0))="","",INDEX(Pledges!$B$5:$B$2500,MATCH($G454,Pledges!$K$5:$K$2500,0)))),"⚠ phone not in Pledges"))</f>
      </c>
      <c r="C454" s="30"/>
      <c r="D454" s="31"/>
      <c r="E454" s="32"/>
      <c r="F454" s="29"/>
      <c r="G454">
        <f>IF($A454="","","#"&amp;TRIM(SUBSTITUTE(SUBSTITUTE(SUBSTITUTE(SUBSTITUTE(SUBSTITUTE(SUBSTITUTE($A454,"-",""),"(",""),")",""),".",""),"+","")," ","")))</f>
      </c>
    </row>
    <row r="455" spans="1:7" x14ac:dyDescent="0.3">
      <c r="A455" s="28"/>
      <c r="B455" s="39">
        <f>IF($A455="","",IFERROR(IF(INDEX(Pledges!$D$5:$D$2500,MATCH($G455,Pledges!$K$5:$K$2500,0))="","⚠ no amount on Pledges",IF(INDEX(Pledges!$B$5:$B$2500,MATCH($G455,Pledges!$K$5:$K$2500,0))="","",INDEX(Pledges!$B$5:$B$2500,MATCH($G455,Pledges!$K$5:$K$2500,0)))),"⚠ phone not in Pledges"))</f>
      </c>
      <c r="C455" s="30"/>
      <c r="D455" s="31"/>
      <c r="E455" s="32"/>
      <c r="F455" s="29"/>
      <c r="G455">
        <f>IF($A455="","","#"&amp;TRIM(SUBSTITUTE(SUBSTITUTE(SUBSTITUTE(SUBSTITUTE(SUBSTITUTE(SUBSTITUTE($A455,"-",""),"(",""),")",""),".",""),"+","")," ","")))</f>
      </c>
    </row>
    <row r="456" spans="1:7" x14ac:dyDescent="0.3">
      <c r="A456" s="28"/>
      <c r="B456" s="39">
        <f>IF($A456="","",IFERROR(IF(INDEX(Pledges!$D$5:$D$2500,MATCH($G456,Pledges!$K$5:$K$2500,0))="","⚠ no amount on Pledges",IF(INDEX(Pledges!$B$5:$B$2500,MATCH($G456,Pledges!$K$5:$K$2500,0))="","",INDEX(Pledges!$B$5:$B$2500,MATCH($G456,Pledges!$K$5:$K$2500,0)))),"⚠ phone not in Pledges"))</f>
      </c>
      <c r="C456" s="30"/>
      <c r="D456" s="31"/>
      <c r="E456" s="32"/>
      <c r="F456" s="29"/>
      <c r="G456">
        <f>IF($A456="","","#"&amp;TRIM(SUBSTITUTE(SUBSTITUTE(SUBSTITUTE(SUBSTITUTE(SUBSTITUTE(SUBSTITUTE($A456,"-",""),"(",""),")",""),".",""),"+","")," ","")))</f>
      </c>
    </row>
    <row r="457" spans="1:7" x14ac:dyDescent="0.3">
      <c r="A457" s="28"/>
      <c r="B457" s="39">
        <f>IF($A457="","",IFERROR(IF(INDEX(Pledges!$D$5:$D$2500,MATCH($G457,Pledges!$K$5:$K$2500,0))="","⚠ no amount on Pledges",IF(INDEX(Pledges!$B$5:$B$2500,MATCH($G457,Pledges!$K$5:$K$2500,0))="","",INDEX(Pledges!$B$5:$B$2500,MATCH($G457,Pledges!$K$5:$K$2500,0)))),"⚠ phone not in Pledges"))</f>
      </c>
      <c r="C457" s="30"/>
      <c r="D457" s="31"/>
      <c r="E457" s="32"/>
      <c r="F457" s="29"/>
      <c r="G457">
        <f>IF($A457="","","#"&amp;TRIM(SUBSTITUTE(SUBSTITUTE(SUBSTITUTE(SUBSTITUTE(SUBSTITUTE(SUBSTITUTE($A457,"-",""),"(",""),")",""),".",""),"+","")," ","")))</f>
      </c>
    </row>
    <row r="458" spans="1:7" x14ac:dyDescent="0.3">
      <c r="A458" s="28"/>
      <c r="B458" s="39">
        <f>IF($A458="","",IFERROR(IF(INDEX(Pledges!$D$5:$D$2500,MATCH($G458,Pledges!$K$5:$K$2500,0))="","⚠ no amount on Pledges",IF(INDEX(Pledges!$B$5:$B$2500,MATCH($G458,Pledges!$K$5:$K$2500,0))="","",INDEX(Pledges!$B$5:$B$2500,MATCH($G458,Pledges!$K$5:$K$2500,0)))),"⚠ phone not in Pledges"))</f>
      </c>
      <c r="C458" s="30"/>
      <c r="D458" s="31"/>
      <c r="E458" s="32"/>
      <c r="F458" s="29"/>
      <c r="G458">
        <f>IF($A458="","","#"&amp;TRIM(SUBSTITUTE(SUBSTITUTE(SUBSTITUTE(SUBSTITUTE(SUBSTITUTE(SUBSTITUTE($A458,"-",""),"(",""),")",""),".",""),"+","")," ","")))</f>
      </c>
    </row>
    <row r="459" spans="1:7" x14ac:dyDescent="0.3">
      <c r="A459" s="28"/>
      <c r="B459" s="39">
        <f>IF($A459="","",IFERROR(IF(INDEX(Pledges!$D$5:$D$2500,MATCH($G459,Pledges!$K$5:$K$2500,0))="","⚠ no amount on Pledges",IF(INDEX(Pledges!$B$5:$B$2500,MATCH($G459,Pledges!$K$5:$K$2500,0))="","",INDEX(Pledges!$B$5:$B$2500,MATCH($G459,Pledges!$K$5:$K$2500,0)))),"⚠ phone not in Pledges"))</f>
      </c>
      <c r="C459" s="30"/>
      <c r="D459" s="31"/>
      <c r="E459" s="32"/>
      <c r="F459" s="29"/>
      <c r="G459">
        <f>IF($A459="","","#"&amp;TRIM(SUBSTITUTE(SUBSTITUTE(SUBSTITUTE(SUBSTITUTE(SUBSTITUTE(SUBSTITUTE($A459,"-",""),"(",""),")",""),".",""),"+","")," ","")))</f>
      </c>
    </row>
    <row r="460" spans="1:7" x14ac:dyDescent="0.3">
      <c r="A460" s="28"/>
      <c r="B460" s="39">
        <f>IF($A460="","",IFERROR(IF(INDEX(Pledges!$D$5:$D$2500,MATCH($G460,Pledges!$K$5:$K$2500,0))="","⚠ no amount on Pledges",IF(INDEX(Pledges!$B$5:$B$2500,MATCH($G460,Pledges!$K$5:$K$2500,0))="","",INDEX(Pledges!$B$5:$B$2500,MATCH($G460,Pledges!$K$5:$K$2500,0)))),"⚠ phone not in Pledges"))</f>
      </c>
      <c r="C460" s="30"/>
      <c r="D460" s="31"/>
      <c r="E460" s="32"/>
      <c r="F460" s="29"/>
      <c r="G460">
        <f>IF($A460="","","#"&amp;TRIM(SUBSTITUTE(SUBSTITUTE(SUBSTITUTE(SUBSTITUTE(SUBSTITUTE(SUBSTITUTE($A460,"-",""),"(",""),")",""),".",""),"+","")," ","")))</f>
      </c>
    </row>
    <row r="461" spans="1:7" x14ac:dyDescent="0.3">
      <c r="A461" s="28"/>
      <c r="B461" s="39">
        <f>IF($A461="","",IFERROR(IF(INDEX(Pledges!$D$5:$D$2500,MATCH($G461,Pledges!$K$5:$K$2500,0))="","⚠ no amount on Pledges",IF(INDEX(Pledges!$B$5:$B$2500,MATCH($G461,Pledges!$K$5:$K$2500,0))="","",INDEX(Pledges!$B$5:$B$2500,MATCH($G461,Pledges!$K$5:$K$2500,0)))),"⚠ phone not in Pledges"))</f>
      </c>
      <c r="C461" s="30"/>
      <c r="D461" s="31"/>
      <c r="E461" s="32"/>
      <c r="F461" s="29"/>
      <c r="G461">
        <f>IF($A461="","","#"&amp;TRIM(SUBSTITUTE(SUBSTITUTE(SUBSTITUTE(SUBSTITUTE(SUBSTITUTE(SUBSTITUTE($A461,"-",""),"(",""),")",""),".",""),"+","")," ","")))</f>
      </c>
    </row>
    <row r="462" spans="1:7" x14ac:dyDescent="0.3">
      <c r="A462" s="28"/>
      <c r="B462" s="39">
        <f>IF($A462="","",IFERROR(IF(INDEX(Pledges!$D$5:$D$2500,MATCH($G462,Pledges!$K$5:$K$2500,0))="","⚠ no amount on Pledges",IF(INDEX(Pledges!$B$5:$B$2500,MATCH($G462,Pledges!$K$5:$K$2500,0))="","",INDEX(Pledges!$B$5:$B$2500,MATCH($G462,Pledges!$K$5:$K$2500,0)))),"⚠ phone not in Pledges"))</f>
      </c>
      <c r="C462" s="30"/>
      <c r="D462" s="31"/>
      <c r="E462" s="32"/>
      <c r="F462" s="29"/>
      <c r="G462">
        <f>IF($A462="","","#"&amp;TRIM(SUBSTITUTE(SUBSTITUTE(SUBSTITUTE(SUBSTITUTE(SUBSTITUTE(SUBSTITUTE($A462,"-",""),"(",""),")",""),".",""),"+","")," ","")))</f>
      </c>
    </row>
    <row r="463" spans="1:7" x14ac:dyDescent="0.3">
      <c r="A463" s="28"/>
      <c r="B463" s="39">
        <f>IF($A463="","",IFERROR(IF(INDEX(Pledges!$D$5:$D$2500,MATCH($G463,Pledges!$K$5:$K$2500,0))="","⚠ no amount on Pledges",IF(INDEX(Pledges!$B$5:$B$2500,MATCH($G463,Pledges!$K$5:$K$2500,0))="","",INDEX(Pledges!$B$5:$B$2500,MATCH($G463,Pledges!$K$5:$K$2500,0)))),"⚠ phone not in Pledges"))</f>
      </c>
      <c r="C463" s="30"/>
      <c r="D463" s="31"/>
      <c r="E463" s="32"/>
      <c r="F463" s="29"/>
      <c r="G463">
        <f>IF($A463="","","#"&amp;TRIM(SUBSTITUTE(SUBSTITUTE(SUBSTITUTE(SUBSTITUTE(SUBSTITUTE(SUBSTITUTE($A463,"-",""),"(",""),")",""),".",""),"+","")," ","")))</f>
      </c>
    </row>
    <row r="464" spans="1:7" x14ac:dyDescent="0.3">
      <c r="A464" s="28"/>
      <c r="B464" s="39">
        <f>IF($A464="","",IFERROR(IF(INDEX(Pledges!$D$5:$D$2500,MATCH($G464,Pledges!$K$5:$K$2500,0))="","⚠ no amount on Pledges",IF(INDEX(Pledges!$B$5:$B$2500,MATCH($G464,Pledges!$K$5:$K$2500,0))="","",INDEX(Pledges!$B$5:$B$2500,MATCH($G464,Pledges!$K$5:$K$2500,0)))),"⚠ phone not in Pledges"))</f>
      </c>
      <c r="C464" s="30"/>
      <c r="D464" s="31"/>
      <c r="E464" s="32"/>
      <c r="F464" s="29"/>
      <c r="G464">
        <f>IF($A464="","","#"&amp;TRIM(SUBSTITUTE(SUBSTITUTE(SUBSTITUTE(SUBSTITUTE(SUBSTITUTE(SUBSTITUTE($A464,"-",""),"(",""),")",""),".",""),"+","")," ","")))</f>
      </c>
    </row>
    <row r="465" spans="1:7" x14ac:dyDescent="0.3">
      <c r="A465" s="28"/>
      <c r="B465" s="39">
        <f>IF($A465="","",IFERROR(IF(INDEX(Pledges!$D$5:$D$2500,MATCH($G465,Pledges!$K$5:$K$2500,0))="","⚠ no amount on Pledges",IF(INDEX(Pledges!$B$5:$B$2500,MATCH($G465,Pledges!$K$5:$K$2500,0))="","",INDEX(Pledges!$B$5:$B$2500,MATCH($G465,Pledges!$K$5:$K$2500,0)))),"⚠ phone not in Pledges"))</f>
      </c>
      <c r="C465" s="30"/>
      <c r="D465" s="31"/>
      <c r="E465" s="32"/>
      <c r="F465" s="29"/>
      <c r="G465">
        <f>IF($A465="","","#"&amp;TRIM(SUBSTITUTE(SUBSTITUTE(SUBSTITUTE(SUBSTITUTE(SUBSTITUTE(SUBSTITUTE($A465,"-",""),"(",""),")",""),".",""),"+","")," ","")))</f>
      </c>
    </row>
    <row r="466" spans="1:7" x14ac:dyDescent="0.3">
      <c r="A466" s="28"/>
      <c r="B466" s="39">
        <f>IF($A466="","",IFERROR(IF(INDEX(Pledges!$D$5:$D$2500,MATCH($G466,Pledges!$K$5:$K$2500,0))="","⚠ no amount on Pledges",IF(INDEX(Pledges!$B$5:$B$2500,MATCH($G466,Pledges!$K$5:$K$2500,0))="","",INDEX(Pledges!$B$5:$B$2500,MATCH($G466,Pledges!$K$5:$K$2500,0)))),"⚠ phone not in Pledges"))</f>
      </c>
      <c r="C466" s="30"/>
      <c r="D466" s="31"/>
      <c r="E466" s="32"/>
      <c r="F466" s="29"/>
      <c r="G466">
        <f>IF($A466="","","#"&amp;TRIM(SUBSTITUTE(SUBSTITUTE(SUBSTITUTE(SUBSTITUTE(SUBSTITUTE(SUBSTITUTE($A466,"-",""),"(",""),")",""),".",""),"+","")," ","")))</f>
      </c>
    </row>
    <row r="467" spans="1:7" x14ac:dyDescent="0.3">
      <c r="A467" s="28"/>
      <c r="B467" s="39">
        <f>IF($A467="","",IFERROR(IF(INDEX(Pledges!$D$5:$D$2500,MATCH($G467,Pledges!$K$5:$K$2500,0))="","⚠ no amount on Pledges",IF(INDEX(Pledges!$B$5:$B$2500,MATCH($G467,Pledges!$K$5:$K$2500,0))="","",INDEX(Pledges!$B$5:$B$2500,MATCH($G467,Pledges!$K$5:$K$2500,0)))),"⚠ phone not in Pledges"))</f>
      </c>
      <c r="C467" s="30"/>
      <c r="D467" s="31"/>
      <c r="E467" s="32"/>
      <c r="F467" s="29"/>
      <c r="G467">
        <f>IF($A467="","","#"&amp;TRIM(SUBSTITUTE(SUBSTITUTE(SUBSTITUTE(SUBSTITUTE(SUBSTITUTE(SUBSTITUTE($A467,"-",""),"(",""),")",""),".",""),"+","")," ","")))</f>
      </c>
    </row>
    <row r="468" spans="1:7" x14ac:dyDescent="0.3">
      <c r="A468" s="28"/>
      <c r="B468" s="39">
        <f>IF($A468="","",IFERROR(IF(INDEX(Pledges!$D$5:$D$2500,MATCH($G468,Pledges!$K$5:$K$2500,0))="","⚠ no amount on Pledges",IF(INDEX(Pledges!$B$5:$B$2500,MATCH($G468,Pledges!$K$5:$K$2500,0))="","",INDEX(Pledges!$B$5:$B$2500,MATCH($G468,Pledges!$K$5:$K$2500,0)))),"⚠ phone not in Pledges"))</f>
      </c>
      <c r="C468" s="30"/>
      <c r="D468" s="31"/>
      <c r="E468" s="32"/>
      <c r="F468" s="29"/>
      <c r="G468">
        <f>IF($A468="","","#"&amp;TRIM(SUBSTITUTE(SUBSTITUTE(SUBSTITUTE(SUBSTITUTE(SUBSTITUTE(SUBSTITUTE($A468,"-",""),"(",""),")",""),".",""),"+","")," ","")))</f>
      </c>
    </row>
    <row r="469" spans="1:7" x14ac:dyDescent="0.3">
      <c r="A469" s="28"/>
      <c r="B469" s="39">
        <f>IF($A469="","",IFERROR(IF(INDEX(Pledges!$D$5:$D$2500,MATCH($G469,Pledges!$K$5:$K$2500,0))="","⚠ no amount on Pledges",IF(INDEX(Pledges!$B$5:$B$2500,MATCH($G469,Pledges!$K$5:$K$2500,0))="","",INDEX(Pledges!$B$5:$B$2500,MATCH($G469,Pledges!$K$5:$K$2500,0)))),"⚠ phone not in Pledges"))</f>
      </c>
      <c r="C469" s="30"/>
      <c r="D469" s="31"/>
      <c r="E469" s="32"/>
      <c r="F469" s="29"/>
      <c r="G469">
        <f>IF($A469="","","#"&amp;TRIM(SUBSTITUTE(SUBSTITUTE(SUBSTITUTE(SUBSTITUTE(SUBSTITUTE(SUBSTITUTE($A469,"-",""),"(",""),")",""),".",""),"+","")," ","")))</f>
      </c>
    </row>
    <row r="470" spans="1:7" x14ac:dyDescent="0.3">
      <c r="A470" s="28"/>
      <c r="B470" s="39">
        <f>IF($A470="","",IFERROR(IF(INDEX(Pledges!$D$5:$D$2500,MATCH($G470,Pledges!$K$5:$K$2500,0))="","⚠ no amount on Pledges",IF(INDEX(Pledges!$B$5:$B$2500,MATCH($G470,Pledges!$K$5:$K$2500,0))="","",INDEX(Pledges!$B$5:$B$2500,MATCH($G470,Pledges!$K$5:$K$2500,0)))),"⚠ phone not in Pledges"))</f>
      </c>
      <c r="C470" s="30"/>
      <c r="D470" s="31"/>
      <c r="E470" s="32"/>
      <c r="F470" s="29"/>
      <c r="G470">
        <f>IF($A470="","","#"&amp;TRIM(SUBSTITUTE(SUBSTITUTE(SUBSTITUTE(SUBSTITUTE(SUBSTITUTE(SUBSTITUTE($A470,"-",""),"(",""),")",""),".",""),"+","")," ","")))</f>
      </c>
    </row>
    <row r="471" spans="1:7" x14ac:dyDescent="0.3">
      <c r="A471" s="28"/>
      <c r="B471" s="39">
        <f>IF($A471="","",IFERROR(IF(INDEX(Pledges!$D$5:$D$2500,MATCH($G471,Pledges!$K$5:$K$2500,0))="","⚠ no amount on Pledges",IF(INDEX(Pledges!$B$5:$B$2500,MATCH($G471,Pledges!$K$5:$K$2500,0))="","",INDEX(Pledges!$B$5:$B$2500,MATCH($G471,Pledges!$K$5:$K$2500,0)))),"⚠ phone not in Pledges"))</f>
      </c>
      <c r="C471" s="30"/>
      <c r="D471" s="31"/>
      <c r="E471" s="32"/>
      <c r="F471" s="29"/>
      <c r="G471">
        <f>IF($A471="","","#"&amp;TRIM(SUBSTITUTE(SUBSTITUTE(SUBSTITUTE(SUBSTITUTE(SUBSTITUTE(SUBSTITUTE($A471,"-",""),"(",""),")",""),".",""),"+","")," ","")))</f>
      </c>
    </row>
    <row r="472" spans="1:7" x14ac:dyDescent="0.3">
      <c r="A472" s="28"/>
      <c r="B472" s="39">
        <f>IF($A472="","",IFERROR(IF(INDEX(Pledges!$D$5:$D$2500,MATCH($G472,Pledges!$K$5:$K$2500,0))="","⚠ no amount on Pledges",IF(INDEX(Pledges!$B$5:$B$2500,MATCH($G472,Pledges!$K$5:$K$2500,0))="","",INDEX(Pledges!$B$5:$B$2500,MATCH($G472,Pledges!$K$5:$K$2500,0)))),"⚠ phone not in Pledges"))</f>
      </c>
      <c r="C472" s="30"/>
      <c r="D472" s="31"/>
      <c r="E472" s="32"/>
      <c r="F472" s="29"/>
      <c r="G472">
        <f>IF($A472="","","#"&amp;TRIM(SUBSTITUTE(SUBSTITUTE(SUBSTITUTE(SUBSTITUTE(SUBSTITUTE(SUBSTITUTE($A472,"-",""),"(",""),")",""),".",""),"+","")," ","")))</f>
      </c>
    </row>
    <row r="473" spans="1:7" x14ac:dyDescent="0.3">
      <c r="A473" s="28"/>
      <c r="B473" s="39">
        <f>IF($A473="","",IFERROR(IF(INDEX(Pledges!$D$5:$D$2500,MATCH($G473,Pledges!$K$5:$K$2500,0))="","⚠ no amount on Pledges",IF(INDEX(Pledges!$B$5:$B$2500,MATCH($G473,Pledges!$K$5:$K$2500,0))="","",INDEX(Pledges!$B$5:$B$2500,MATCH($G473,Pledges!$K$5:$K$2500,0)))),"⚠ phone not in Pledges"))</f>
      </c>
      <c r="C473" s="30"/>
      <c r="D473" s="31"/>
      <c r="E473" s="32"/>
      <c r="F473" s="29"/>
      <c r="G473">
        <f>IF($A473="","","#"&amp;TRIM(SUBSTITUTE(SUBSTITUTE(SUBSTITUTE(SUBSTITUTE(SUBSTITUTE(SUBSTITUTE($A473,"-",""),"(",""),")",""),".",""),"+","")," ","")))</f>
      </c>
    </row>
    <row r="474" spans="1:7" x14ac:dyDescent="0.3">
      <c r="A474" s="28"/>
      <c r="B474" s="39">
        <f>IF($A474="","",IFERROR(IF(INDEX(Pledges!$D$5:$D$2500,MATCH($G474,Pledges!$K$5:$K$2500,0))="","⚠ no amount on Pledges",IF(INDEX(Pledges!$B$5:$B$2500,MATCH($G474,Pledges!$K$5:$K$2500,0))="","",INDEX(Pledges!$B$5:$B$2500,MATCH($G474,Pledges!$K$5:$K$2500,0)))),"⚠ phone not in Pledges"))</f>
      </c>
      <c r="C474" s="30"/>
      <c r="D474" s="31"/>
      <c r="E474" s="32"/>
      <c r="F474" s="29"/>
      <c r="G474">
        <f>IF($A474="","","#"&amp;TRIM(SUBSTITUTE(SUBSTITUTE(SUBSTITUTE(SUBSTITUTE(SUBSTITUTE(SUBSTITUTE($A474,"-",""),"(",""),")",""),".",""),"+","")," ","")))</f>
      </c>
    </row>
    <row r="475" spans="1:7" x14ac:dyDescent="0.3">
      <c r="A475" s="28"/>
      <c r="B475" s="39">
        <f>IF($A475="","",IFERROR(IF(INDEX(Pledges!$D$5:$D$2500,MATCH($G475,Pledges!$K$5:$K$2500,0))="","⚠ no amount on Pledges",IF(INDEX(Pledges!$B$5:$B$2500,MATCH($G475,Pledges!$K$5:$K$2500,0))="","",INDEX(Pledges!$B$5:$B$2500,MATCH($G475,Pledges!$K$5:$K$2500,0)))),"⚠ phone not in Pledges"))</f>
      </c>
      <c r="C475" s="30"/>
      <c r="D475" s="31"/>
      <c r="E475" s="32"/>
      <c r="F475" s="29"/>
      <c r="G475">
        <f>IF($A475="","","#"&amp;TRIM(SUBSTITUTE(SUBSTITUTE(SUBSTITUTE(SUBSTITUTE(SUBSTITUTE(SUBSTITUTE($A475,"-",""),"(",""),")",""),".",""),"+","")," ","")))</f>
      </c>
    </row>
    <row r="476" spans="1:7" x14ac:dyDescent="0.3">
      <c r="A476" s="28"/>
      <c r="B476" s="39">
        <f>IF($A476="","",IFERROR(IF(INDEX(Pledges!$D$5:$D$2500,MATCH($G476,Pledges!$K$5:$K$2500,0))="","⚠ no amount on Pledges",IF(INDEX(Pledges!$B$5:$B$2500,MATCH($G476,Pledges!$K$5:$K$2500,0))="","",INDEX(Pledges!$B$5:$B$2500,MATCH($G476,Pledges!$K$5:$K$2500,0)))),"⚠ phone not in Pledges"))</f>
      </c>
      <c r="C476" s="30"/>
      <c r="D476" s="31"/>
      <c r="E476" s="32"/>
      <c r="F476" s="29"/>
      <c r="G476">
        <f>IF($A476="","","#"&amp;TRIM(SUBSTITUTE(SUBSTITUTE(SUBSTITUTE(SUBSTITUTE(SUBSTITUTE(SUBSTITUTE($A476,"-",""),"(",""),")",""),".",""),"+","")," ","")))</f>
      </c>
    </row>
    <row r="477" spans="1:7" x14ac:dyDescent="0.3">
      <c r="A477" s="28"/>
      <c r="B477" s="39">
        <f>IF($A477="","",IFERROR(IF(INDEX(Pledges!$D$5:$D$2500,MATCH($G477,Pledges!$K$5:$K$2500,0))="","⚠ no amount on Pledges",IF(INDEX(Pledges!$B$5:$B$2500,MATCH($G477,Pledges!$K$5:$K$2500,0))="","",INDEX(Pledges!$B$5:$B$2500,MATCH($G477,Pledges!$K$5:$K$2500,0)))),"⚠ phone not in Pledges"))</f>
      </c>
      <c r="C477" s="30"/>
      <c r="D477" s="31"/>
      <c r="E477" s="32"/>
      <c r="F477" s="29"/>
      <c r="G477">
        <f>IF($A477="","","#"&amp;TRIM(SUBSTITUTE(SUBSTITUTE(SUBSTITUTE(SUBSTITUTE(SUBSTITUTE(SUBSTITUTE($A477,"-",""),"(",""),")",""),".",""),"+","")," ","")))</f>
      </c>
    </row>
    <row r="478" spans="1:7" x14ac:dyDescent="0.3">
      <c r="A478" s="28"/>
      <c r="B478" s="39">
        <f>IF($A478="","",IFERROR(IF(INDEX(Pledges!$D$5:$D$2500,MATCH($G478,Pledges!$K$5:$K$2500,0))="","⚠ no amount on Pledges",IF(INDEX(Pledges!$B$5:$B$2500,MATCH($G478,Pledges!$K$5:$K$2500,0))="","",INDEX(Pledges!$B$5:$B$2500,MATCH($G478,Pledges!$K$5:$K$2500,0)))),"⚠ phone not in Pledges"))</f>
      </c>
      <c r="C478" s="30"/>
      <c r="D478" s="31"/>
      <c r="E478" s="32"/>
      <c r="F478" s="29"/>
      <c r="G478">
        <f>IF($A478="","","#"&amp;TRIM(SUBSTITUTE(SUBSTITUTE(SUBSTITUTE(SUBSTITUTE(SUBSTITUTE(SUBSTITUTE($A478,"-",""),"(",""),")",""),".",""),"+","")," ","")))</f>
      </c>
    </row>
    <row r="479" spans="1:7" x14ac:dyDescent="0.3">
      <c r="A479" s="28"/>
      <c r="B479" s="39">
        <f>IF($A479="","",IFERROR(IF(INDEX(Pledges!$D$5:$D$2500,MATCH($G479,Pledges!$K$5:$K$2500,0))="","⚠ no amount on Pledges",IF(INDEX(Pledges!$B$5:$B$2500,MATCH($G479,Pledges!$K$5:$K$2500,0))="","",INDEX(Pledges!$B$5:$B$2500,MATCH($G479,Pledges!$K$5:$K$2500,0)))),"⚠ phone not in Pledges"))</f>
      </c>
      <c r="C479" s="30"/>
      <c r="D479" s="31"/>
      <c r="E479" s="32"/>
      <c r="F479" s="29"/>
      <c r="G479">
        <f>IF($A479="","","#"&amp;TRIM(SUBSTITUTE(SUBSTITUTE(SUBSTITUTE(SUBSTITUTE(SUBSTITUTE(SUBSTITUTE($A479,"-",""),"(",""),")",""),".",""),"+","")," ","")))</f>
      </c>
    </row>
    <row r="480" spans="1:7" x14ac:dyDescent="0.3">
      <c r="A480" s="28"/>
      <c r="B480" s="39">
        <f>IF($A480="","",IFERROR(IF(INDEX(Pledges!$D$5:$D$2500,MATCH($G480,Pledges!$K$5:$K$2500,0))="","⚠ no amount on Pledges",IF(INDEX(Pledges!$B$5:$B$2500,MATCH($G480,Pledges!$K$5:$K$2500,0))="","",INDEX(Pledges!$B$5:$B$2500,MATCH($G480,Pledges!$K$5:$K$2500,0)))),"⚠ phone not in Pledges"))</f>
      </c>
      <c r="C480" s="30"/>
      <c r="D480" s="31"/>
      <c r="E480" s="32"/>
      <c r="F480" s="29"/>
      <c r="G480">
        <f>IF($A480="","","#"&amp;TRIM(SUBSTITUTE(SUBSTITUTE(SUBSTITUTE(SUBSTITUTE(SUBSTITUTE(SUBSTITUTE($A480,"-",""),"(",""),")",""),".",""),"+","")," ","")))</f>
      </c>
    </row>
    <row r="481" spans="1:7" x14ac:dyDescent="0.3">
      <c r="A481" s="28"/>
      <c r="B481" s="39">
        <f>IF($A481="","",IFERROR(IF(INDEX(Pledges!$D$5:$D$2500,MATCH($G481,Pledges!$K$5:$K$2500,0))="","⚠ no amount on Pledges",IF(INDEX(Pledges!$B$5:$B$2500,MATCH($G481,Pledges!$K$5:$K$2500,0))="","",INDEX(Pledges!$B$5:$B$2500,MATCH($G481,Pledges!$K$5:$K$2500,0)))),"⚠ phone not in Pledges"))</f>
      </c>
      <c r="C481" s="30"/>
      <c r="D481" s="31"/>
      <c r="E481" s="32"/>
      <c r="F481" s="29"/>
      <c r="G481">
        <f>IF($A481="","","#"&amp;TRIM(SUBSTITUTE(SUBSTITUTE(SUBSTITUTE(SUBSTITUTE(SUBSTITUTE(SUBSTITUTE($A481,"-",""),"(",""),")",""),".",""),"+","")," ","")))</f>
      </c>
    </row>
    <row r="482" spans="1:7" x14ac:dyDescent="0.3">
      <c r="A482" s="28"/>
      <c r="B482" s="39">
        <f>IF($A482="","",IFERROR(IF(INDEX(Pledges!$D$5:$D$2500,MATCH($G482,Pledges!$K$5:$K$2500,0))="","⚠ no amount on Pledges",IF(INDEX(Pledges!$B$5:$B$2500,MATCH($G482,Pledges!$K$5:$K$2500,0))="","",INDEX(Pledges!$B$5:$B$2500,MATCH($G482,Pledges!$K$5:$K$2500,0)))),"⚠ phone not in Pledges"))</f>
      </c>
      <c r="C482" s="30"/>
      <c r="D482" s="31"/>
      <c r="E482" s="32"/>
      <c r="F482" s="29"/>
      <c r="G482">
        <f>IF($A482="","","#"&amp;TRIM(SUBSTITUTE(SUBSTITUTE(SUBSTITUTE(SUBSTITUTE(SUBSTITUTE(SUBSTITUTE($A482,"-",""),"(",""),")",""),".",""),"+","")," ","")))</f>
      </c>
    </row>
    <row r="483" spans="1:7" x14ac:dyDescent="0.3">
      <c r="A483" s="28"/>
      <c r="B483" s="39">
        <f>IF($A483="","",IFERROR(IF(INDEX(Pledges!$D$5:$D$2500,MATCH($G483,Pledges!$K$5:$K$2500,0))="","⚠ no amount on Pledges",IF(INDEX(Pledges!$B$5:$B$2500,MATCH($G483,Pledges!$K$5:$K$2500,0))="","",INDEX(Pledges!$B$5:$B$2500,MATCH($G483,Pledges!$K$5:$K$2500,0)))),"⚠ phone not in Pledges"))</f>
      </c>
      <c r="C483" s="30"/>
      <c r="D483" s="31"/>
      <c r="E483" s="32"/>
      <c r="F483" s="29"/>
      <c r="G483">
        <f>IF($A483="","","#"&amp;TRIM(SUBSTITUTE(SUBSTITUTE(SUBSTITUTE(SUBSTITUTE(SUBSTITUTE(SUBSTITUTE($A483,"-",""),"(",""),")",""),".",""),"+","")," ","")))</f>
      </c>
    </row>
    <row r="484" spans="1:7" x14ac:dyDescent="0.3">
      <c r="A484" s="28"/>
      <c r="B484" s="39">
        <f>IF($A484="","",IFERROR(IF(INDEX(Pledges!$D$5:$D$2500,MATCH($G484,Pledges!$K$5:$K$2500,0))="","⚠ no amount on Pledges",IF(INDEX(Pledges!$B$5:$B$2500,MATCH($G484,Pledges!$K$5:$K$2500,0))="","",INDEX(Pledges!$B$5:$B$2500,MATCH($G484,Pledges!$K$5:$K$2500,0)))),"⚠ phone not in Pledges"))</f>
      </c>
      <c r="C484" s="30"/>
      <c r="D484" s="31"/>
      <c r="E484" s="32"/>
      <c r="F484" s="29"/>
      <c r="G484">
        <f>IF($A484="","","#"&amp;TRIM(SUBSTITUTE(SUBSTITUTE(SUBSTITUTE(SUBSTITUTE(SUBSTITUTE(SUBSTITUTE($A484,"-",""),"(",""),")",""),".",""),"+","")," ","")))</f>
      </c>
    </row>
    <row r="485" spans="1:7" x14ac:dyDescent="0.3">
      <c r="A485" s="28"/>
      <c r="B485" s="39">
        <f>IF($A485="","",IFERROR(IF(INDEX(Pledges!$D$5:$D$2500,MATCH($G485,Pledges!$K$5:$K$2500,0))="","⚠ no amount on Pledges",IF(INDEX(Pledges!$B$5:$B$2500,MATCH($G485,Pledges!$K$5:$K$2500,0))="","",INDEX(Pledges!$B$5:$B$2500,MATCH($G485,Pledges!$K$5:$K$2500,0)))),"⚠ phone not in Pledges"))</f>
      </c>
      <c r="C485" s="30"/>
      <c r="D485" s="31"/>
      <c r="E485" s="32"/>
      <c r="F485" s="29"/>
      <c r="G485">
        <f>IF($A485="","","#"&amp;TRIM(SUBSTITUTE(SUBSTITUTE(SUBSTITUTE(SUBSTITUTE(SUBSTITUTE(SUBSTITUTE($A485,"-",""),"(",""),")",""),".",""),"+","")," ","")))</f>
      </c>
    </row>
    <row r="486" spans="1:7" x14ac:dyDescent="0.3">
      <c r="A486" s="28"/>
      <c r="B486" s="39">
        <f>IF($A486="","",IFERROR(IF(INDEX(Pledges!$D$5:$D$2500,MATCH($G486,Pledges!$K$5:$K$2500,0))="","⚠ no amount on Pledges",IF(INDEX(Pledges!$B$5:$B$2500,MATCH($G486,Pledges!$K$5:$K$2500,0))="","",INDEX(Pledges!$B$5:$B$2500,MATCH($G486,Pledges!$K$5:$K$2500,0)))),"⚠ phone not in Pledges"))</f>
      </c>
      <c r="C486" s="30"/>
      <c r="D486" s="31"/>
      <c r="E486" s="32"/>
      <c r="F486" s="29"/>
      <c r="G486">
        <f>IF($A486="","","#"&amp;TRIM(SUBSTITUTE(SUBSTITUTE(SUBSTITUTE(SUBSTITUTE(SUBSTITUTE(SUBSTITUTE($A486,"-",""),"(",""),")",""),".",""),"+","")," ","")))</f>
      </c>
    </row>
    <row r="487" spans="1:7" x14ac:dyDescent="0.3">
      <c r="A487" s="28"/>
      <c r="B487" s="39">
        <f>IF($A487="","",IFERROR(IF(INDEX(Pledges!$D$5:$D$2500,MATCH($G487,Pledges!$K$5:$K$2500,0))="","⚠ no amount on Pledges",IF(INDEX(Pledges!$B$5:$B$2500,MATCH($G487,Pledges!$K$5:$K$2500,0))="","",INDEX(Pledges!$B$5:$B$2500,MATCH($G487,Pledges!$K$5:$K$2500,0)))),"⚠ phone not in Pledges"))</f>
      </c>
      <c r="C487" s="30"/>
      <c r="D487" s="31"/>
      <c r="E487" s="32"/>
      <c r="F487" s="29"/>
      <c r="G487">
        <f>IF($A487="","","#"&amp;TRIM(SUBSTITUTE(SUBSTITUTE(SUBSTITUTE(SUBSTITUTE(SUBSTITUTE(SUBSTITUTE($A487,"-",""),"(",""),")",""),".",""),"+","")," ","")))</f>
      </c>
    </row>
    <row r="488" spans="1:7" x14ac:dyDescent="0.3">
      <c r="A488" s="28"/>
      <c r="B488" s="39">
        <f>IF($A488="","",IFERROR(IF(INDEX(Pledges!$D$5:$D$2500,MATCH($G488,Pledges!$K$5:$K$2500,0))="","⚠ no amount on Pledges",IF(INDEX(Pledges!$B$5:$B$2500,MATCH($G488,Pledges!$K$5:$K$2500,0))="","",INDEX(Pledges!$B$5:$B$2500,MATCH($G488,Pledges!$K$5:$K$2500,0)))),"⚠ phone not in Pledges"))</f>
      </c>
      <c r="C488" s="30"/>
      <c r="D488" s="31"/>
      <c r="E488" s="32"/>
      <c r="F488" s="29"/>
      <c r="G488">
        <f>IF($A488="","","#"&amp;TRIM(SUBSTITUTE(SUBSTITUTE(SUBSTITUTE(SUBSTITUTE(SUBSTITUTE(SUBSTITUTE($A488,"-",""),"(",""),")",""),".",""),"+","")," ","")))</f>
      </c>
    </row>
    <row r="489" spans="1:7" x14ac:dyDescent="0.3">
      <c r="A489" s="28"/>
      <c r="B489" s="39">
        <f>IF($A489="","",IFERROR(IF(INDEX(Pledges!$D$5:$D$2500,MATCH($G489,Pledges!$K$5:$K$2500,0))="","⚠ no amount on Pledges",IF(INDEX(Pledges!$B$5:$B$2500,MATCH($G489,Pledges!$K$5:$K$2500,0))="","",INDEX(Pledges!$B$5:$B$2500,MATCH($G489,Pledges!$K$5:$K$2500,0)))),"⚠ phone not in Pledges"))</f>
      </c>
      <c r="C489" s="30"/>
      <c r="D489" s="31"/>
      <c r="E489" s="32"/>
      <c r="F489" s="29"/>
      <c r="G489">
        <f>IF($A489="","","#"&amp;TRIM(SUBSTITUTE(SUBSTITUTE(SUBSTITUTE(SUBSTITUTE(SUBSTITUTE(SUBSTITUTE($A489,"-",""),"(",""),")",""),".",""),"+","")," ","")))</f>
      </c>
    </row>
    <row r="490" spans="1:7" x14ac:dyDescent="0.3">
      <c r="A490" s="28"/>
      <c r="B490" s="39">
        <f>IF($A490="","",IFERROR(IF(INDEX(Pledges!$D$5:$D$2500,MATCH($G490,Pledges!$K$5:$K$2500,0))="","⚠ no amount on Pledges",IF(INDEX(Pledges!$B$5:$B$2500,MATCH($G490,Pledges!$K$5:$K$2500,0))="","",INDEX(Pledges!$B$5:$B$2500,MATCH($G490,Pledges!$K$5:$K$2500,0)))),"⚠ phone not in Pledges"))</f>
      </c>
      <c r="C490" s="30"/>
      <c r="D490" s="31"/>
      <c r="E490" s="32"/>
      <c r="F490" s="29"/>
      <c r="G490">
        <f>IF($A490="","","#"&amp;TRIM(SUBSTITUTE(SUBSTITUTE(SUBSTITUTE(SUBSTITUTE(SUBSTITUTE(SUBSTITUTE($A490,"-",""),"(",""),")",""),".",""),"+","")," ","")))</f>
      </c>
    </row>
    <row r="491" spans="1:7" x14ac:dyDescent="0.3">
      <c r="A491" s="28"/>
      <c r="B491" s="39">
        <f>IF($A491="","",IFERROR(IF(INDEX(Pledges!$D$5:$D$2500,MATCH($G491,Pledges!$K$5:$K$2500,0))="","⚠ no amount on Pledges",IF(INDEX(Pledges!$B$5:$B$2500,MATCH($G491,Pledges!$K$5:$K$2500,0))="","",INDEX(Pledges!$B$5:$B$2500,MATCH($G491,Pledges!$K$5:$K$2500,0)))),"⚠ phone not in Pledges"))</f>
      </c>
      <c r="C491" s="30"/>
      <c r="D491" s="31"/>
      <c r="E491" s="32"/>
      <c r="F491" s="29"/>
      <c r="G491">
        <f>IF($A491="","","#"&amp;TRIM(SUBSTITUTE(SUBSTITUTE(SUBSTITUTE(SUBSTITUTE(SUBSTITUTE(SUBSTITUTE($A491,"-",""),"(",""),")",""),".",""),"+","")," ","")))</f>
      </c>
    </row>
    <row r="492" spans="1:7" x14ac:dyDescent="0.3">
      <c r="A492" s="28"/>
      <c r="B492" s="39">
        <f>IF($A492="","",IFERROR(IF(INDEX(Pledges!$D$5:$D$2500,MATCH($G492,Pledges!$K$5:$K$2500,0))="","⚠ no amount on Pledges",IF(INDEX(Pledges!$B$5:$B$2500,MATCH($G492,Pledges!$K$5:$K$2500,0))="","",INDEX(Pledges!$B$5:$B$2500,MATCH($G492,Pledges!$K$5:$K$2500,0)))),"⚠ phone not in Pledges"))</f>
      </c>
      <c r="C492" s="30"/>
      <c r="D492" s="31"/>
      <c r="E492" s="32"/>
      <c r="F492" s="29"/>
      <c r="G492">
        <f>IF($A492="","","#"&amp;TRIM(SUBSTITUTE(SUBSTITUTE(SUBSTITUTE(SUBSTITUTE(SUBSTITUTE(SUBSTITUTE($A492,"-",""),"(",""),")",""),".",""),"+","")," ","")))</f>
      </c>
    </row>
    <row r="493" spans="1:7" x14ac:dyDescent="0.3">
      <c r="A493" s="28"/>
      <c r="B493" s="39">
        <f>IF($A493="","",IFERROR(IF(INDEX(Pledges!$D$5:$D$2500,MATCH($G493,Pledges!$K$5:$K$2500,0))="","⚠ no amount on Pledges",IF(INDEX(Pledges!$B$5:$B$2500,MATCH($G493,Pledges!$K$5:$K$2500,0))="","",INDEX(Pledges!$B$5:$B$2500,MATCH($G493,Pledges!$K$5:$K$2500,0)))),"⚠ phone not in Pledges"))</f>
      </c>
      <c r="C493" s="30"/>
      <c r="D493" s="31"/>
      <c r="E493" s="32"/>
      <c r="F493" s="29"/>
      <c r="G493">
        <f>IF($A493="","","#"&amp;TRIM(SUBSTITUTE(SUBSTITUTE(SUBSTITUTE(SUBSTITUTE(SUBSTITUTE(SUBSTITUTE($A493,"-",""),"(",""),")",""),".",""),"+","")," ","")))</f>
      </c>
    </row>
    <row r="494" spans="1:7" x14ac:dyDescent="0.3">
      <c r="A494" s="28"/>
      <c r="B494" s="39">
        <f>IF($A494="","",IFERROR(IF(INDEX(Pledges!$D$5:$D$2500,MATCH($G494,Pledges!$K$5:$K$2500,0))="","⚠ no amount on Pledges",IF(INDEX(Pledges!$B$5:$B$2500,MATCH($G494,Pledges!$K$5:$K$2500,0))="","",INDEX(Pledges!$B$5:$B$2500,MATCH($G494,Pledges!$K$5:$K$2500,0)))),"⚠ phone not in Pledges"))</f>
      </c>
      <c r="C494" s="30"/>
      <c r="D494" s="31"/>
      <c r="E494" s="32"/>
      <c r="F494" s="29"/>
      <c r="G494">
        <f>IF($A494="","","#"&amp;TRIM(SUBSTITUTE(SUBSTITUTE(SUBSTITUTE(SUBSTITUTE(SUBSTITUTE(SUBSTITUTE($A494,"-",""),"(",""),")",""),".",""),"+","")," ","")))</f>
      </c>
    </row>
    <row r="495" spans="1:7" x14ac:dyDescent="0.3">
      <c r="A495" s="28"/>
      <c r="B495" s="39">
        <f>IF($A495="","",IFERROR(IF(INDEX(Pledges!$D$5:$D$2500,MATCH($G495,Pledges!$K$5:$K$2500,0))="","⚠ no amount on Pledges",IF(INDEX(Pledges!$B$5:$B$2500,MATCH($G495,Pledges!$K$5:$K$2500,0))="","",INDEX(Pledges!$B$5:$B$2500,MATCH($G495,Pledges!$K$5:$K$2500,0)))),"⚠ phone not in Pledges"))</f>
      </c>
      <c r="C495" s="30"/>
      <c r="D495" s="31"/>
      <c r="E495" s="32"/>
      <c r="F495" s="29"/>
      <c r="G495">
        <f>IF($A495="","","#"&amp;TRIM(SUBSTITUTE(SUBSTITUTE(SUBSTITUTE(SUBSTITUTE(SUBSTITUTE(SUBSTITUTE($A495,"-",""),"(",""),")",""),".",""),"+","")," ","")))</f>
      </c>
    </row>
    <row r="496" spans="1:7" x14ac:dyDescent="0.3">
      <c r="A496" s="28"/>
      <c r="B496" s="39">
        <f>IF($A496="","",IFERROR(IF(INDEX(Pledges!$D$5:$D$2500,MATCH($G496,Pledges!$K$5:$K$2500,0))="","⚠ no amount on Pledges",IF(INDEX(Pledges!$B$5:$B$2500,MATCH($G496,Pledges!$K$5:$K$2500,0))="","",INDEX(Pledges!$B$5:$B$2500,MATCH($G496,Pledges!$K$5:$K$2500,0)))),"⚠ phone not in Pledges"))</f>
      </c>
      <c r="C496" s="30"/>
      <c r="D496" s="31"/>
      <c r="E496" s="32"/>
      <c r="F496" s="29"/>
      <c r="G496">
        <f>IF($A496="","","#"&amp;TRIM(SUBSTITUTE(SUBSTITUTE(SUBSTITUTE(SUBSTITUTE(SUBSTITUTE(SUBSTITUTE($A496,"-",""),"(",""),")",""),".",""),"+","")," ","")))</f>
      </c>
    </row>
    <row r="497" spans="1:7" x14ac:dyDescent="0.3">
      <c r="A497" s="28"/>
      <c r="B497" s="39">
        <f>IF($A497="","",IFERROR(IF(INDEX(Pledges!$D$5:$D$2500,MATCH($G497,Pledges!$K$5:$K$2500,0))="","⚠ no amount on Pledges",IF(INDEX(Pledges!$B$5:$B$2500,MATCH($G497,Pledges!$K$5:$K$2500,0))="","",INDEX(Pledges!$B$5:$B$2500,MATCH($G497,Pledges!$K$5:$K$2500,0)))),"⚠ phone not in Pledges"))</f>
      </c>
      <c r="C497" s="30"/>
      <c r="D497" s="31"/>
      <c r="E497" s="32"/>
      <c r="F497" s="29"/>
      <c r="G497">
        <f>IF($A497="","","#"&amp;TRIM(SUBSTITUTE(SUBSTITUTE(SUBSTITUTE(SUBSTITUTE(SUBSTITUTE(SUBSTITUTE($A497,"-",""),"(",""),")",""),".",""),"+","")," ","")))</f>
      </c>
    </row>
    <row r="498" spans="1:7" x14ac:dyDescent="0.3">
      <c r="A498" s="28"/>
      <c r="B498" s="39">
        <f>IF($A498="","",IFERROR(IF(INDEX(Pledges!$D$5:$D$2500,MATCH($G498,Pledges!$K$5:$K$2500,0))="","⚠ no amount on Pledges",IF(INDEX(Pledges!$B$5:$B$2500,MATCH($G498,Pledges!$K$5:$K$2500,0))="","",INDEX(Pledges!$B$5:$B$2500,MATCH($G498,Pledges!$K$5:$K$2500,0)))),"⚠ phone not in Pledges"))</f>
      </c>
      <c r="C498" s="30"/>
      <c r="D498" s="31"/>
      <c r="E498" s="32"/>
      <c r="F498" s="29"/>
      <c r="G498">
        <f>IF($A498="","","#"&amp;TRIM(SUBSTITUTE(SUBSTITUTE(SUBSTITUTE(SUBSTITUTE(SUBSTITUTE(SUBSTITUTE($A498,"-",""),"(",""),")",""),".",""),"+","")," ","")))</f>
      </c>
    </row>
    <row r="499" spans="1:7" x14ac:dyDescent="0.3">
      <c r="A499" s="28"/>
      <c r="B499" s="39">
        <f>IF($A499="","",IFERROR(IF(INDEX(Pledges!$D$5:$D$2500,MATCH($G499,Pledges!$K$5:$K$2500,0))="","⚠ no amount on Pledges",IF(INDEX(Pledges!$B$5:$B$2500,MATCH($G499,Pledges!$K$5:$K$2500,0))="","",INDEX(Pledges!$B$5:$B$2500,MATCH($G499,Pledges!$K$5:$K$2500,0)))),"⚠ phone not in Pledges"))</f>
      </c>
      <c r="C499" s="30"/>
      <c r="D499" s="31"/>
      <c r="E499" s="32"/>
      <c r="F499" s="29"/>
      <c r="G499">
        <f>IF($A499="","","#"&amp;TRIM(SUBSTITUTE(SUBSTITUTE(SUBSTITUTE(SUBSTITUTE(SUBSTITUTE(SUBSTITUTE($A499,"-",""),"(",""),")",""),".",""),"+","")," ","")))</f>
      </c>
    </row>
    <row r="500" spans="1:7" x14ac:dyDescent="0.3">
      <c r="A500" s="28"/>
      <c r="B500" s="39">
        <f>IF($A500="","",IFERROR(IF(INDEX(Pledges!$D$5:$D$2500,MATCH($G500,Pledges!$K$5:$K$2500,0))="","⚠ no amount on Pledges",IF(INDEX(Pledges!$B$5:$B$2500,MATCH($G500,Pledges!$K$5:$K$2500,0))="","",INDEX(Pledges!$B$5:$B$2500,MATCH($G500,Pledges!$K$5:$K$2500,0)))),"⚠ phone not in Pledges"))</f>
      </c>
      <c r="C500" s="30"/>
      <c r="D500" s="31"/>
      <c r="E500" s="32"/>
      <c r="F500" s="29"/>
      <c r="G500">
        <f>IF($A500="","","#"&amp;TRIM(SUBSTITUTE(SUBSTITUTE(SUBSTITUTE(SUBSTITUTE(SUBSTITUTE(SUBSTITUTE($A500,"-",""),"(",""),")",""),".",""),"+","")," ","")))</f>
      </c>
    </row>
    <row r="501" spans="1:7" x14ac:dyDescent="0.3">
      <c r="A501" s="28"/>
      <c r="B501" s="39">
        <f>IF($A501="","",IFERROR(IF(INDEX(Pledges!$D$5:$D$2500,MATCH($G501,Pledges!$K$5:$K$2500,0))="","⚠ no amount on Pledges",IF(INDEX(Pledges!$B$5:$B$2500,MATCH($G501,Pledges!$K$5:$K$2500,0))="","",INDEX(Pledges!$B$5:$B$2500,MATCH($G501,Pledges!$K$5:$K$2500,0)))),"⚠ phone not in Pledges"))</f>
      </c>
      <c r="C501" s="30"/>
      <c r="D501" s="31"/>
      <c r="E501" s="32"/>
      <c r="F501" s="29"/>
      <c r="G501">
        <f>IF($A501="","","#"&amp;TRIM(SUBSTITUTE(SUBSTITUTE(SUBSTITUTE(SUBSTITUTE(SUBSTITUTE(SUBSTITUTE($A501,"-",""),"(",""),")",""),".",""),"+","")," ","")))</f>
      </c>
    </row>
    <row r="502" spans="1:7" x14ac:dyDescent="0.3">
      <c r="A502" s="28"/>
      <c r="B502" s="39">
        <f>IF($A502="","",IFERROR(IF(INDEX(Pledges!$D$5:$D$2500,MATCH($G502,Pledges!$K$5:$K$2500,0))="","⚠ no amount on Pledges",IF(INDEX(Pledges!$B$5:$B$2500,MATCH($G502,Pledges!$K$5:$K$2500,0))="","",INDEX(Pledges!$B$5:$B$2500,MATCH($G502,Pledges!$K$5:$K$2500,0)))),"⚠ phone not in Pledges"))</f>
      </c>
      <c r="C502" s="30"/>
      <c r="D502" s="31"/>
      <c r="E502" s="32"/>
      <c r="F502" s="29"/>
      <c r="G502">
        <f>IF($A502="","","#"&amp;TRIM(SUBSTITUTE(SUBSTITUTE(SUBSTITUTE(SUBSTITUTE(SUBSTITUTE(SUBSTITUTE($A502,"-",""),"(",""),")",""),".",""),"+","")," ","")))</f>
      </c>
    </row>
    <row r="503" spans="1:7" x14ac:dyDescent="0.3">
      <c r="A503" s="28"/>
      <c r="B503" s="39">
        <f>IF($A503="","",IFERROR(IF(INDEX(Pledges!$D$5:$D$2500,MATCH($G503,Pledges!$K$5:$K$2500,0))="","⚠ no amount on Pledges",IF(INDEX(Pledges!$B$5:$B$2500,MATCH($G503,Pledges!$K$5:$K$2500,0))="","",INDEX(Pledges!$B$5:$B$2500,MATCH($G503,Pledges!$K$5:$K$2500,0)))),"⚠ phone not in Pledges"))</f>
      </c>
      <c r="C503" s="30"/>
      <c r="D503" s="31"/>
      <c r="E503" s="32"/>
      <c r="F503" s="29"/>
      <c r="G503">
        <f>IF($A503="","","#"&amp;TRIM(SUBSTITUTE(SUBSTITUTE(SUBSTITUTE(SUBSTITUTE(SUBSTITUTE(SUBSTITUTE($A503,"-",""),"(",""),")",""),".",""),"+","")," ","")))</f>
      </c>
    </row>
    <row r="504" spans="1:7" x14ac:dyDescent="0.3">
      <c r="A504" s="28"/>
      <c r="B504" s="39">
        <f>IF($A504="","",IFERROR(IF(INDEX(Pledges!$D$5:$D$2500,MATCH($G504,Pledges!$K$5:$K$2500,0))="","⚠ no amount on Pledges",IF(INDEX(Pledges!$B$5:$B$2500,MATCH($G504,Pledges!$K$5:$K$2500,0))="","",INDEX(Pledges!$B$5:$B$2500,MATCH($G504,Pledges!$K$5:$K$2500,0)))),"⚠ phone not in Pledges"))</f>
      </c>
      <c r="C504" s="30"/>
      <c r="D504" s="31"/>
      <c r="E504" s="32"/>
      <c r="F504" s="29"/>
      <c r="G504">
        <f>IF($A504="","","#"&amp;TRIM(SUBSTITUTE(SUBSTITUTE(SUBSTITUTE(SUBSTITUTE(SUBSTITUTE(SUBSTITUTE($A504,"-",""),"(",""),")",""),".",""),"+","")," ","")))</f>
      </c>
    </row>
    <row r="505" spans="1:7" x14ac:dyDescent="0.3">
      <c r="A505" s="28"/>
      <c r="B505" s="39">
        <f>IF($A505="","",IFERROR(IF(INDEX(Pledges!$D$5:$D$2500,MATCH($G505,Pledges!$K$5:$K$2500,0))="","⚠ no amount on Pledges",IF(INDEX(Pledges!$B$5:$B$2500,MATCH($G505,Pledges!$K$5:$K$2500,0))="","",INDEX(Pledges!$B$5:$B$2500,MATCH($G505,Pledges!$K$5:$K$2500,0)))),"⚠ phone not in Pledges"))</f>
      </c>
      <c r="C505" s="30"/>
      <c r="D505" s="31"/>
      <c r="E505" s="32"/>
      <c r="F505" s="29"/>
      <c r="G505">
        <f>IF($A505="","","#"&amp;TRIM(SUBSTITUTE(SUBSTITUTE(SUBSTITUTE(SUBSTITUTE(SUBSTITUTE(SUBSTITUTE($A505,"-",""),"(",""),")",""),".",""),"+","")," ","")))</f>
      </c>
    </row>
    <row r="506" spans="1:7" x14ac:dyDescent="0.3">
      <c r="A506" s="28"/>
      <c r="B506" s="39">
        <f>IF($A506="","",IFERROR(IF(INDEX(Pledges!$D$5:$D$2500,MATCH($G506,Pledges!$K$5:$K$2500,0))="","⚠ no amount on Pledges",IF(INDEX(Pledges!$B$5:$B$2500,MATCH($G506,Pledges!$K$5:$K$2500,0))="","",INDEX(Pledges!$B$5:$B$2500,MATCH($G506,Pledges!$K$5:$K$2500,0)))),"⚠ phone not in Pledges"))</f>
      </c>
      <c r="C506" s="30"/>
      <c r="D506" s="31"/>
      <c r="E506" s="32"/>
      <c r="F506" s="29"/>
      <c r="G506">
        <f>IF($A506="","","#"&amp;TRIM(SUBSTITUTE(SUBSTITUTE(SUBSTITUTE(SUBSTITUTE(SUBSTITUTE(SUBSTITUTE($A506,"-",""),"(",""),")",""),".",""),"+","")," ","")))</f>
      </c>
    </row>
    <row r="507" spans="1:7" x14ac:dyDescent="0.3">
      <c r="A507" s="28"/>
      <c r="B507" s="39">
        <f>IF($A507="","",IFERROR(IF(INDEX(Pledges!$D$5:$D$2500,MATCH($G507,Pledges!$K$5:$K$2500,0))="","⚠ no amount on Pledges",IF(INDEX(Pledges!$B$5:$B$2500,MATCH($G507,Pledges!$K$5:$K$2500,0))="","",INDEX(Pledges!$B$5:$B$2500,MATCH($G507,Pledges!$K$5:$K$2500,0)))),"⚠ phone not in Pledges"))</f>
      </c>
      <c r="C507" s="30"/>
      <c r="D507" s="31"/>
      <c r="E507" s="32"/>
      <c r="F507" s="29"/>
      <c r="G507">
        <f>IF($A507="","","#"&amp;TRIM(SUBSTITUTE(SUBSTITUTE(SUBSTITUTE(SUBSTITUTE(SUBSTITUTE(SUBSTITUTE($A507,"-",""),"(",""),")",""),".",""),"+","")," ","")))</f>
      </c>
    </row>
    <row r="508" spans="1:7" x14ac:dyDescent="0.3">
      <c r="A508" s="28"/>
      <c r="B508" s="39">
        <f>IF($A508="","",IFERROR(IF(INDEX(Pledges!$D$5:$D$2500,MATCH($G508,Pledges!$K$5:$K$2500,0))="","⚠ no amount on Pledges",IF(INDEX(Pledges!$B$5:$B$2500,MATCH($G508,Pledges!$K$5:$K$2500,0))="","",INDEX(Pledges!$B$5:$B$2500,MATCH($G508,Pledges!$K$5:$K$2500,0)))),"⚠ phone not in Pledges"))</f>
      </c>
      <c r="C508" s="30"/>
      <c r="D508" s="31"/>
      <c r="E508" s="32"/>
      <c r="F508" s="29"/>
      <c r="G508">
        <f>IF($A508="","","#"&amp;TRIM(SUBSTITUTE(SUBSTITUTE(SUBSTITUTE(SUBSTITUTE(SUBSTITUTE(SUBSTITUTE($A508,"-",""),"(",""),")",""),".",""),"+","")," ","")))</f>
      </c>
    </row>
    <row r="509" spans="1:7" x14ac:dyDescent="0.3">
      <c r="A509" s="28"/>
      <c r="B509" s="39">
        <f>IF($A509="","",IFERROR(IF(INDEX(Pledges!$D$5:$D$2500,MATCH($G509,Pledges!$K$5:$K$2500,0))="","⚠ no amount on Pledges",IF(INDEX(Pledges!$B$5:$B$2500,MATCH($G509,Pledges!$K$5:$K$2500,0))="","",INDEX(Pledges!$B$5:$B$2500,MATCH($G509,Pledges!$K$5:$K$2500,0)))),"⚠ phone not in Pledges"))</f>
      </c>
      <c r="C509" s="30"/>
      <c r="D509" s="31"/>
      <c r="E509" s="32"/>
      <c r="F509" s="29"/>
      <c r="G509">
        <f>IF($A509="","","#"&amp;TRIM(SUBSTITUTE(SUBSTITUTE(SUBSTITUTE(SUBSTITUTE(SUBSTITUTE(SUBSTITUTE($A509,"-",""),"(",""),")",""),".",""),"+","")," ","")))</f>
      </c>
    </row>
    <row r="510" spans="1:7" x14ac:dyDescent="0.3">
      <c r="A510" s="28"/>
      <c r="B510" s="39">
        <f>IF($A510="","",IFERROR(IF(INDEX(Pledges!$D$5:$D$2500,MATCH($G510,Pledges!$K$5:$K$2500,0))="","⚠ no amount on Pledges",IF(INDEX(Pledges!$B$5:$B$2500,MATCH($G510,Pledges!$K$5:$K$2500,0))="","",INDEX(Pledges!$B$5:$B$2500,MATCH($G510,Pledges!$K$5:$K$2500,0)))),"⚠ phone not in Pledges"))</f>
      </c>
      <c r="C510" s="30"/>
      <c r="D510" s="31"/>
      <c r="E510" s="32"/>
      <c r="F510" s="29"/>
      <c r="G510">
        <f>IF($A510="","","#"&amp;TRIM(SUBSTITUTE(SUBSTITUTE(SUBSTITUTE(SUBSTITUTE(SUBSTITUTE(SUBSTITUTE($A510,"-",""),"(",""),")",""),".",""),"+","")," ","")))</f>
      </c>
    </row>
    <row r="511" spans="1:7" x14ac:dyDescent="0.3">
      <c r="A511" s="28"/>
      <c r="B511" s="39">
        <f>IF($A511="","",IFERROR(IF(INDEX(Pledges!$D$5:$D$2500,MATCH($G511,Pledges!$K$5:$K$2500,0))="","⚠ no amount on Pledges",IF(INDEX(Pledges!$B$5:$B$2500,MATCH($G511,Pledges!$K$5:$K$2500,0))="","",INDEX(Pledges!$B$5:$B$2500,MATCH($G511,Pledges!$K$5:$K$2500,0)))),"⚠ phone not in Pledges"))</f>
      </c>
      <c r="C511" s="30"/>
      <c r="D511" s="31"/>
      <c r="E511" s="32"/>
      <c r="F511" s="29"/>
      <c r="G511">
        <f>IF($A511="","","#"&amp;TRIM(SUBSTITUTE(SUBSTITUTE(SUBSTITUTE(SUBSTITUTE(SUBSTITUTE(SUBSTITUTE($A511,"-",""),"(",""),")",""),".",""),"+","")," ","")))</f>
      </c>
    </row>
    <row r="512" spans="1:7" x14ac:dyDescent="0.3">
      <c r="A512" s="28"/>
      <c r="B512" s="39">
        <f>IF($A512="","",IFERROR(IF(INDEX(Pledges!$D$5:$D$2500,MATCH($G512,Pledges!$K$5:$K$2500,0))="","⚠ no amount on Pledges",IF(INDEX(Pledges!$B$5:$B$2500,MATCH($G512,Pledges!$K$5:$K$2500,0))="","",INDEX(Pledges!$B$5:$B$2500,MATCH($G512,Pledges!$K$5:$K$2500,0)))),"⚠ phone not in Pledges"))</f>
      </c>
      <c r="C512" s="30"/>
      <c r="D512" s="31"/>
      <c r="E512" s="32"/>
      <c r="F512" s="29"/>
      <c r="G512">
        <f>IF($A512="","","#"&amp;TRIM(SUBSTITUTE(SUBSTITUTE(SUBSTITUTE(SUBSTITUTE(SUBSTITUTE(SUBSTITUTE($A512,"-",""),"(",""),")",""),".",""),"+","")," ","")))</f>
      </c>
    </row>
    <row r="513" spans="1:7" x14ac:dyDescent="0.3">
      <c r="A513" s="11"/>
      <c r="B513" s="38">
        <f>IF($A513="","",IFERROR(IF(INDEX(Pledges!$D$5:$D$2500,MATCH($G513,Pledges!$K$5:$K$2500,0))="","⚠ no amount on Pledges",IF(INDEX(Pledges!$B$5:$B$2500,MATCH($G513,Pledges!$K$5:$K$2500,0))="","",INDEX(Pledges!$B$5:$B$2500,MATCH($G513,Pledges!$K$5:$K$2500,0)))),"⚠ phone not in Pledges"))</f>
      </c>
      <c r="C513" s="12"/>
      <c r="D513" s="13"/>
      <c r="E513" s="22"/>
      <c r="F513" s="23"/>
      <c r="G513">
        <f>IF($A513="","","#"&amp;TRIM(SUBSTITUTE(SUBSTITUTE(SUBSTITUTE(SUBSTITUTE(SUBSTITUTE(SUBSTITUTE($A513,"-",""),"(",""),")",""),".",""),"+","")," ","")))</f>
      </c>
    </row>
    <row r="514" spans="1:7" x14ac:dyDescent="0.3">
      <c r="A514" s="11"/>
      <c r="B514" s="38">
        <f>IF($A514="","",IFERROR(IF(INDEX(Pledges!$D$5:$D$2500,MATCH($G514,Pledges!$K$5:$K$2500,0))="","⚠ no amount on Pledges",IF(INDEX(Pledges!$B$5:$B$2500,MATCH($G514,Pledges!$K$5:$K$2500,0))="","",INDEX(Pledges!$B$5:$B$2500,MATCH($G514,Pledges!$K$5:$K$2500,0)))),"⚠ phone not in Pledges"))</f>
      </c>
      <c r="C514" s="12"/>
      <c r="D514" s="13"/>
      <c r="E514" s="22"/>
      <c r="F514" s="23"/>
      <c r="G514">
        <f>IF($A514="","","#"&amp;TRIM(SUBSTITUTE(SUBSTITUTE(SUBSTITUTE(SUBSTITUTE(SUBSTITUTE(SUBSTITUTE($A514,"-",""),"(",""),")",""),".",""),"+","")," ","")))</f>
      </c>
    </row>
    <row r="515" spans="1:7" x14ac:dyDescent="0.3">
      <c r="A515" s="11"/>
      <c r="B515" s="38">
        <f>IF($A515="","",IFERROR(IF(INDEX(Pledges!$D$5:$D$2500,MATCH($G515,Pledges!$K$5:$K$2500,0))="","⚠ no amount on Pledges",IF(INDEX(Pledges!$B$5:$B$2500,MATCH($G515,Pledges!$K$5:$K$2500,0))="","",INDEX(Pledges!$B$5:$B$2500,MATCH($G515,Pledges!$K$5:$K$2500,0)))),"⚠ phone not in Pledges"))</f>
      </c>
      <c r="C515" s="12"/>
      <c r="D515" s="13"/>
      <c r="E515" s="22"/>
      <c r="F515" s="23"/>
      <c r="G515">
        <f>IF($A515="","","#"&amp;TRIM(SUBSTITUTE(SUBSTITUTE(SUBSTITUTE(SUBSTITUTE(SUBSTITUTE(SUBSTITUTE($A515,"-",""),"(",""),")",""),".",""),"+","")," ","")))</f>
      </c>
    </row>
    <row r="516" spans="1:7" x14ac:dyDescent="0.3">
      <c r="A516" s="11"/>
      <c r="B516" s="38">
        <f>IF($A516="","",IFERROR(IF(INDEX(Pledges!$D$5:$D$2500,MATCH($G516,Pledges!$K$5:$K$2500,0))="","⚠ no amount on Pledges",IF(INDEX(Pledges!$B$5:$B$2500,MATCH($G516,Pledges!$K$5:$K$2500,0))="","",INDEX(Pledges!$B$5:$B$2500,MATCH($G516,Pledges!$K$5:$K$2500,0)))),"⚠ phone not in Pledges"))</f>
      </c>
      <c r="C516" s="12"/>
      <c r="D516" s="13"/>
      <c r="E516" s="22"/>
      <c r="F516" s="23"/>
      <c r="G516">
        <f>IF($A516="","","#"&amp;TRIM(SUBSTITUTE(SUBSTITUTE(SUBSTITUTE(SUBSTITUTE(SUBSTITUTE(SUBSTITUTE($A516,"-",""),"(",""),")",""),".",""),"+","")," ","")))</f>
      </c>
    </row>
    <row r="517" spans="1:7" x14ac:dyDescent="0.3">
      <c r="A517" s="11"/>
      <c r="B517" s="38">
        <f>IF($A517="","",IFERROR(IF(INDEX(Pledges!$D$5:$D$2500,MATCH($G517,Pledges!$K$5:$K$2500,0))="","⚠ no amount on Pledges",IF(INDEX(Pledges!$B$5:$B$2500,MATCH($G517,Pledges!$K$5:$K$2500,0))="","",INDEX(Pledges!$B$5:$B$2500,MATCH($G517,Pledges!$K$5:$K$2500,0)))),"⚠ phone not in Pledges"))</f>
      </c>
      <c r="C517" s="12"/>
      <c r="D517" s="13"/>
      <c r="E517" s="22"/>
      <c r="F517" s="23"/>
      <c r="G517">
        <f>IF($A517="","","#"&amp;TRIM(SUBSTITUTE(SUBSTITUTE(SUBSTITUTE(SUBSTITUTE(SUBSTITUTE(SUBSTITUTE($A517,"-",""),"(",""),")",""),".",""),"+","")," ","")))</f>
      </c>
    </row>
    <row r="518" spans="1:7" x14ac:dyDescent="0.3">
      <c r="A518" s="11"/>
      <c r="B518" s="38">
        <f>IF($A518="","",IFERROR(IF(INDEX(Pledges!$D$5:$D$2500,MATCH($G518,Pledges!$K$5:$K$2500,0))="","⚠ no amount on Pledges",IF(INDEX(Pledges!$B$5:$B$2500,MATCH($G518,Pledges!$K$5:$K$2500,0))="","",INDEX(Pledges!$B$5:$B$2500,MATCH($G518,Pledges!$K$5:$K$2500,0)))),"⚠ phone not in Pledges"))</f>
      </c>
      <c r="C518" s="12"/>
      <c r="D518" s="13"/>
      <c r="E518" s="22"/>
      <c r="F518" s="23"/>
      <c r="G518">
        <f>IF($A518="","","#"&amp;TRIM(SUBSTITUTE(SUBSTITUTE(SUBSTITUTE(SUBSTITUTE(SUBSTITUTE(SUBSTITUTE($A518,"-",""),"(",""),")",""),".",""),"+","")," ","")))</f>
      </c>
    </row>
    <row r="519" spans="1:7" x14ac:dyDescent="0.3">
      <c r="A519" s="11"/>
      <c r="B519" s="38">
        <f>IF($A519="","",IFERROR(IF(INDEX(Pledges!$D$5:$D$2500,MATCH($G519,Pledges!$K$5:$K$2500,0))="","⚠ no amount on Pledges",IF(INDEX(Pledges!$B$5:$B$2500,MATCH($G519,Pledges!$K$5:$K$2500,0))="","",INDEX(Pledges!$B$5:$B$2500,MATCH($G519,Pledges!$K$5:$K$2500,0)))),"⚠ phone not in Pledges"))</f>
      </c>
      <c r="C519" s="12"/>
      <c r="D519" s="13"/>
      <c r="E519" s="22"/>
      <c r="F519" s="23"/>
      <c r="G519">
        <f>IF($A519="","","#"&amp;TRIM(SUBSTITUTE(SUBSTITUTE(SUBSTITUTE(SUBSTITUTE(SUBSTITUTE(SUBSTITUTE($A519,"-",""),"(",""),")",""),".",""),"+","")," ","")))</f>
      </c>
    </row>
    <row r="520" spans="1:7" x14ac:dyDescent="0.3">
      <c r="A520" s="11"/>
      <c r="B520" s="38">
        <f>IF($A520="","",IFERROR(IF(INDEX(Pledges!$D$5:$D$2500,MATCH($G520,Pledges!$K$5:$K$2500,0))="","⚠ no amount on Pledges",IF(INDEX(Pledges!$B$5:$B$2500,MATCH($G520,Pledges!$K$5:$K$2500,0))="","",INDEX(Pledges!$B$5:$B$2500,MATCH($G520,Pledges!$K$5:$K$2500,0)))),"⚠ phone not in Pledges"))</f>
      </c>
      <c r="C520" s="12"/>
      <c r="D520" s="13"/>
      <c r="E520" s="22"/>
      <c r="F520" s="23"/>
      <c r="G520">
        <f>IF($A520="","","#"&amp;TRIM(SUBSTITUTE(SUBSTITUTE(SUBSTITUTE(SUBSTITUTE(SUBSTITUTE(SUBSTITUTE($A520,"-",""),"(",""),")",""),".",""),"+","")," ","")))</f>
      </c>
    </row>
    <row r="521" spans="1:7" x14ac:dyDescent="0.3">
      <c r="A521" s="11"/>
      <c r="B521" s="38">
        <f>IF($A521="","",IFERROR(IF(INDEX(Pledges!$D$5:$D$2500,MATCH($G521,Pledges!$K$5:$K$2500,0))="","⚠ no amount on Pledges",IF(INDEX(Pledges!$B$5:$B$2500,MATCH($G521,Pledges!$K$5:$K$2500,0))="","",INDEX(Pledges!$B$5:$B$2500,MATCH($G521,Pledges!$K$5:$K$2500,0)))),"⚠ phone not in Pledges"))</f>
      </c>
      <c r="C521" s="12"/>
      <c r="D521" s="13"/>
      <c r="E521" s="22"/>
      <c r="F521" s="23"/>
      <c r="G521">
        <f>IF($A521="","","#"&amp;TRIM(SUBSTITUTE(SUBSTITUTE(SUBSTITUTE(SUBSTITUTE(SUBSTITUTE(SUBSTITUTE($A521,"-",""),"(",""),")",""),".",""),"+","")," ","")))</f>
      </c>
    </row>
    <row r="522" spans="1:7" x14ac:dyDescent="0.3">
      <c r="A522" s="11"/>
      <c r="B522" s="38">
        <f>IF($A522="","",IFERROR(IF(INDEX(Pledges!$D$5:$D$2500,MATCH($G522,Pledges!$K$5:$K$2500,0))="","⚠ no amount on Pledges",IF(INDEX(Pledges!$B$5:$B$2500,MATCH($G522,Pledges!$K$5:$K$2500,0))="","",INDEX(Pledges!$B$5:$B$2500,MATCH($G522,Pledges!$K$5:$K$2500,0)))),"⚠ phone not in Pledges"))</f>
      </c>
      <c r="C522" s="12"/>
      <c r="D522" s="13"/>
      <c r="E522" s="22"/>
      <c r="F522" s="23"/>
      <c r="G522">
        <f>IF($A522="","","#"&amp;TRIM(SUBSTITUTE(SUBSTITUTE(SUBSTITUTE(SUBSTITUTE(SUBSTITUTE(SUBSTITUTE($A522,"-",""),"(",""),")",""),".",""),"+","")," ","")))</f>
      </c>
    </row>
    <row r="523" spans="1:7" x14ac:dyDescent="0.3">
      <c r="A523" s="11"/>
      <c r="B523" s="38">
        <f>IF($A523="","",IFERROR(IF(INDEX(Pledges!$D$5:$D$2500,MATCH($G523,Pledges!$K$5:$K$2500,0))="","⚠ no amount on Pledges",IF(INDEX(Pledges!$B$5:$B$2500,MATCH($G523,Pledges!$K$5:$K$2500,0))="","",INDEX(Pledges!$B$5:$B$2500,MATCH($G523,Pledges!$K$5:$K$2500,0)))),"⚠ phone not in Pledges"))</f>
      </c>
      <c r="C523" s="12"/>
      <c r="D523" s="13"/>
      <c r="E523" s="22"/>
      <c r="F523" s="23"/>
      <c r="G523">
        <f>IF($A523="","","#"&amp;TRIM(SUBSTITUTE(SUBSTITUTE(SUBSTITUTE(SUBSTITUTE(SUBSTITUTE(SUBSTITUTE($A523,"-",""),"(",""),")",""),".",""),"+","")," ","")))</f>
      </c>
    </row>
    <row r="524" spans="1:7" x14ac:dyDescent="0.3">
      <c r="A524" s="11"/>
      <c r="B524" s="38">
        <f>IF($A524="","",IFERROR(IF(INDEX(Pledges!$D$5:$D$2500,MATCH($G524,Pledges!$K$5:$K$2500,0))="","⚠ no amount on Pledges",IF(INDEX(Pledges!$B$5:$B$2500,MATCH($G524,Pledges!$K$5:$K$2500,0))="","",INDEX(Pledges!$B$5:$B$2500,MATCH($G524,Pledges!$K$5:$K$2500,0)))),"⚠ phone not in Pledges"))</f>
      </c>
      <c r="C524" s="12"/>
      <c r="D524" s="13"/>
      <c r="E524" s="22"/>
      <c r="F524" s="23"/>
      <c r="G524">
        <f>IF($A524="","","#"&amp;TRIM(SUBSTITUTE(SUBSTITUTE(SUBSTITUTE(SUBSTITUTE(SUBSTITUTE(SUBSTITUTE($A524,"-",""),"(",""),")",""),".",""),"+","")," ","")))</f>
      </c>
    </row>
    <row r="525" spans="1:7" x14ac:dyDescent="0.3">
      <c r="A525" s="11"/>
      <c r="B525" s="38">
        <f>IF($A525="","",IFERROR(IF(INDEX(Pledges!$D$5:$D$2500,MATCH($G525,Pledges!$K$5:$K$2500,0))="","⚠ no amount on Pledges",IF(INDEX(Pledges!$B$5:$B$2500,MATCH($G525,Pledges!$K$5:$K$2500,0))="","",INDEX(Pledges!$B$5:$B$2500,MATCH($G525,Pledges!$K$5:$K$2500,0)))),"⚠ phone not in Pledges"))</f>
      </c>
      <c r="C525" s="12"/>
      <c r="D525" s="13"/>
      <c r="E525" s="22"/>
      <c r="F525" s="23"/>
      <c r="G525">
        <f>IF($A525="","","#"&amp;TRIM(SUBSTITUTE(SUBSTITUTE(SUBSTITUTE(SUBSTITUTE(SUBSTITUTE(SUBSTITUTE($A525,"-",""),"(",""),")",""),".",""),"+","")," ","")))</f>
      </c>
    </row>
    <row r="526" spans="1:7" x14ac:dyDescent="0.3">
      <c r="A526" s="11"/>
      <c r="B526" s="38">
        <f>IF($A526="","",IFERROR(IF(INDEX(Pledges!$D$5:$D$2500,MATCH($G526,Pledges!$K$5:$K$2500,0))="","⚠ no amount on Pledges",IF(INDEX(Pledges!$B$5:$B$2500,MATCH($G526,Pledges!$K$5:$K$2500,0))="","",INDEX(Pledges!$B$5:$B$2500,MATCH($G526,Pledges!$K$5:$K$2500,0)))),"⚠ phone not in Pledges"))</f>
      </c>
      <c r="C526" s="12"/>
      <c r="D526" s="13"/>
      <c r="E526" s="22"/>
      <c r="F526" s="23"/>
      <c r="G526">
        <f>IF($A526="","","#"&amp;TRIM(SUBSTITUTE(SUBSTITUTE(SUBSTITUTE(SUBSTITUTE(SUBSTITUTE(SUBSTITUTE($A526,"-",""),"(",""),")",""),".",""),"+","")," ","")))</f>
      </c>
    </row>
    <row r="527" spans="1:7" x14ac:dyDescent="0.3">
      <c r="A527" s="11"/>
      <c r="B527" s="38">
        <f>IF($A527="","",IFERROR(IF(INDEX(Pledges!$D$5:$D$2500,MATCH($G527,Pledges!$K$5:$K$2500,0))="","⚠ no amount on Pledges",IF(INDEX(Pledges!$B$5:$B$2500,MATCH($G527,Pledges!$K$5:$K$2500,0))="","",INDEX(Pledges!$B$5:$B$2500,MATCH($G527,Pledges!$K$5:$K$2500,0)))),"⚠ phone not in Pledges"))</f>
      </c>
      <c r="C527" s="12"/>
      <c r="D527" s="13"/>
      <c r="E527" s="22"/>
      <c r="F527" s="23"/>
      <c r="G527">
        <f>IF($A527="","","#"&amp;TRIM(SUBSTITUTE(SUBSTITUTE(SUBSTITUTE(SUBSTITUTE(SUBSTITUTE(SUBSTITUTE($A527,"-",""),"(",""),")",""),".",""),"+","")," ","")))</f>
      </c>
    </row>
    <row r="528" spans="1:7" x14ac:dyDescent="0.3">
      <c r="A528" s="11"/>
      <c r="B528" s="38">
        <f>IF($A528="","",IFERROR(IF(INDEX(Pledges!$D$5:$D$2500,MATCH($G528,Pledges!$K$5:$K$2500,0))="","⚠ no amount on Pledges",IF(INDEX(Pledges!$B$5:$B$2500,MATCH($G528,Pledges!$K$5:$K$2500,0))="","",INDEX(Pledges!$B$5:$B$2500,MATCH($G528,Pledges!$K$5:$K$2500,0)))),"⚠ phone not in Pledges"))</f>
      </c>
      <c r="C528" s="12"/>
      <c r="D528" s="13"/>
      <c r="E528" s="22"/>
      <c r="F528" s="23"/>
      <c r="G528">
        <f>IF($A528="","","#"&amp;TRIM(SUBSTITUTE(SUBSTITUTE(SUBSTITUTE(SUBSTITUTE(SUBSTITUTE(SUBSTITUTE($A528,"-",""),"(",""),")",""),".",""),"+","")," ","")))</f>
      </c>
    </row>
    <row r="529" spans="1:7" x14ac:dyDescent="0.3">
      <c r="A529" s="11"/>
      <c r="B529" s="38">
        <f>IF($A529="","",IFERROR(IF(INDEX(Pledges!$D$5:$D$2500,MATCH($G529,Pledges!$K$5:$K$2500,0))="","⚠ no amount on Pledges",IF(INDEX(Pledges!$B$5:$B$2500,MATCH($G529,Pledges!$K$5:$K$2500,0))="","",INDEX(Pledges!$B$5:$B$2500,MATCH($G529,Pledges!$K$5:$K$2500,0)))),"⚠ phone not in Pledges"))</f>
      </c>
      <c r="C529" s="12"/>
      <c r="D529" s="13"/>
      <c r="E529" s="22"/>
      <c r="F529" s="23"/>
      <c r="G529">
        <f>IF($A529="","","#"&amp;TRIM(SUBSTITUTE(SUBSTITUTE(SUBSTITUTE(SUBSTITUTE(SUBSTITUTE(SUBSTITUTE($A529,"-",""),"(",""),")",""),".",""),"+","")," ","")))</f>
      </c>
    </row>
    <row r="530" spans="1:7" x14ac:dyDescent="0.3">
      <c r="A530" s="11"/>
      <c r="B530" s="38">
        <f>IF($A530="","",IFERROR(IF(INDEX(Pledges!$D$5:$D$2500,MATCH($G530,Pledges!$K$5:$K$2500,0))="","⚠ no amount on Pledges",IF(INDEX(Pledges!$B$5:$B$2500,MATCH($G530,Pledges!$K$5:$K$2500,0))="","",INDEX(Pledges!$B$5:$B$2500,MATCH($G530,Pledges!$K$5:$K$2500,0)))),"⚠ phone not in Pledges"))</f>
      </c>
      <c r="C530" s="12"/>
      <c r="D530" s="13"/>
      <c r="E530" s="22"/>
      <c r="F530" s="23"/>
      <c r="G530">
        <f>IF($A530="","","#"&amp;TRIM(SUBSTITUTE(SUBSTITUTE(SUBSTITUTE(SUBSTITUTE(SUBSTITUTE(SUBSTITUTE($A530,"-",""),"(",""),")",""),".",""),"+","")," ","")))</f>
      </c>
    </row>
    <row r="531" spans="1:7" x14ac:dyDescent="0.3">
      <c r="A531" s="11"/>
      <c r="B531" s="38">
        <f>IF($A531="","",IFERROR(IF(INDEX(Pledges!$D$5:$D$2500,MATCH($G531,Pledges!$K$5:$K$2500,0))="","⚠ no amount on Pledges",IF(INDEX(Pledges!$B$5:$B$2500,MATCH($G531,Pledges!$K$5:$K$2500,0))="","",INDEX(Pledges!$B$5:$B$2500,MATCH($G531,Pledges!$K$5:$K$2500,0)))),"⚠ phone not in Pledges"))</f>
      </c>
      <c r="C531" s="12"/>
      <c r="D531" s="13"/>
      <c r="E531" s="22"/>
      <c r="F531" s="23"/>
      <c r="G531">
        <f>IF($A531="","","#"&amp;TRIM(SUBSTITUTE(SUBSTITUTE(SUBSTITUTE(SUBSTITUTE(SUBSTITUTE(SUBSTITUTE($A531,"-",""),"(",""),")",""),".",""),"+","")," ","")))</f>
      </c>
    </row>
    <row r="532" spans="1:7" x14ac:dyDescent="0.3">
      <c r="A532" s="11"/>
      <c r="B532" s="38">
        <f>IF($A532="","",IFERROR(IF(INDEX(Pledges!$D$5:$D$2500,MATCH($G532,Pledges!$K$5:$K$2500,0))="","⚠ no amount on Pledges",IF(INDEX(Pledges!$B$5:$B$2500,MATCH($G532,Pledges!$K$5:$K$2500,0))="","",INDEX(Pledges!$B$5:$B$2500,MATCH($G532,Pledges!$K$5:$K$2500,0)))),"⚠ phone not in Pledges"))</f>
      </c>
      <c r="C532" s="12"/>
      <c r="D532" s="13"/>
      <c r="E532" s="22"/>
      <c r="F532" s="23"/>
      <c r="G532">
        <f>IF($A532="","","#"&amp;TRIM(SUBSTITUTE(SUBSTITUTE(SUBSTITUTE(SUBSTITUTE(SUBSTITUTE(SUBSTITUTE($A532,"-",""),"(",""),")",""),".",""),"+","")," ","")))</f>
      </c>
    </row>
    <row r="533" spans="1:7" x14ac:dyDescent="0.3">
      <c r="A533" s="11"/>
      <c r="B533" s="38">
        <f>IF($A533="","",IFERROR(IF(INDEX(Pledges!$D$5:$D$2500,MATCH($G533,Pledges!$K$5:$K$2500,0))="","⚠ no amount on Pledges",IF(INDEX(Pledges!$B$5:$B$2500,MATCH($G533,Pledges!$K$5:$K$2500,0))="","",INDEX(Pledges!$B$5:$B$2500,MATCH($G533,Pledges!$K$5:$K$2500,0)))),"⚠ phone not in Pledges"))</f>
      </c>
      <c r="C533" s="12"/>
      <c r="D533" s="13"/>
      <c r="E533" s="22"/>
      <c r="F533" s="23"/>
      <c r="G533">
        <f>IF($A533="","","#"&amp;TRIM(SUBSTITUTE(SUBSTITUTE(SUBSTITUTE(SUBSTITUTE(SUBSTITUTE(SUBSTITUTE($A533,"-",""),"(",""),")",""),".",""),"+","")," ","")))</f>
      </c>
    </row>
    <row r="534" spans="1:7" x14ac:dyDescent="0.3">
      <c r="A534" s="11"/>
      <c r="B534" s="38">
        <f>IF($A534="","",IFERROR(IF(INDEX(Pledges!$D$5:$D$2500,MATCH($G534,Pledges!$K$5:$K$2500,0))="","⚠ no amount on Pledges",IF(INDEX(Pledges!$B$5:$B$2500,MATCH($G534,Pledges!$K$5:$K$2500,0))="","",INDEX(Pledges!$B$5:$B$2500,MATCH($G534,Pledges!$K$5:$K$2500,0)))),"⚠ phone not in Pledges"))</f>
      </c>
      <c r="C534" s="12"/>
      <c r="D534" s="13"/>
      <c r="E534" s="22"/>
      <c r="F534" s="23"/>
      <c r="G534">
        <f>IF($A534="","","#"&amp;TRIM(SUBSTITUTE(SUBSTITUTE(SUBSTITUTE(SUBSTITUTE(SUBSTITUTE(SUBSTITUTE($A534,"-",""),"(",""),")",""),".",""),"+","")," ","")))</f>
      </c>
    </row>
    <row r="535" spans="1:7" x14ac:dyDescent="0.3">
      <c r="A535" s="11"/>
      <c r="B535" s="38">
        <f>IF($A535="","",IFERROR(IF(INDEX(Pledges!$D$5:$D$2500,MATCH($G535,Pledges!$K$5:$K$2500,0))="","⚠ no amount on Pledges",IF(INDEX(Pledges!$B$5:$B$2500,MATCH($G535,Pledges!$K$5:$K$2500,0))="","",INDEX(Pledges!$B$5:$B$2500,MATCH($G535,Pledges!$K$5:$K$2500,0)))),"⚠ phone not in Pledges"))</f>
      </c>
      <c r="C535" s="12"/>
      <c r="D535" s="13"/>
      <c r="E535" s="22"/>
      <c r="F535" s="23"/>
      <c r="G535">
        <f>IF($A535="","","#"&amp;TRIM(SUBSTITUTE(SUBSTITUTE(SUBSTITUTE(SUBSTITUTE(SUBSTITUTE(SUBSTITUTE($A535,"-",""),"(",""),")",""),".",""),"+","")," ","")))</f>
      </c>
    </row>
    <row r="536" spans="1:7" x14ac:dyDescent="0.3">
      <c r="A536" s="11"/>
      <c r="B536" s="38">
        <f>IF($A536="","",IFERROR(IF(INDEX(Pledges!$D$5:$D$2500,MATCH($G536,Pledges!$K$5:$K$2500,0))="","⚠ no amount on Pledges",IF(INDEX(Pledges!$B$5:$B$2500,MATCH($G536,Pledges!$K$5:$K$2500,0))="","",INDEX(Pledges!$B$5:$B$2500,MATCH($G536,Pledges!$K$5:$K$2500,0)))),"⚠ phone not in Pledges"))</f>
      </c>
      <c r="C536" s="12"/>
      <c r="D536" s="13"/>
      <c r="E536" s="22"/>
      <c r="F536" s="23"/>
      <c r="G536">
        <f>IF($A536="","","#"&amp;TRIM(SUBSTITUTE(SUBSTITUTE(SUBSTITUTE(SUBSTITUTE(SUBSTITUTE(SUBSTITUTE($A536,"-",""),"(",""),")",""),".",""),"+","")," ","")))</f>
      </c>
    </row>
    <row r="537" spans="1:7" x14ac:dyDescent="0.3">
      <c r="A537" s="11"/>
      <c r="B537" s="38">
        <f>IF($A537="","",IFERROR(IF(INDEX(Pledges!$D$5:$D$2500,MATCH($G537,Pledges!$K$5:$K$2500,0))="","⚠ no amount on Pledges",IF(INDEX(Pledges!$B$5:$B$2500,MATCH($G537,Pledges!$K$5:$K$2500,0))="","",INDEX(Pledges!$B$5:$B$2500,MATCH($G537,Pledges!$K$5:$K$2500,0)))),"⚠ phone not in Pledges"))</f>
      </c>
      <c r="C537" s="12"/>
      <c r="D537" s="13"/>
      <c r="E537" s="22"/>
      <c r="F537" s="23"/>
      <c r="G537">
        <f>IF($A537="","","#"&amp;TRIM(SUBSTITUTE(SUBSTITUTE(SUBSTITUTE(SUBSTITUTE(SUBSTITUTE(SUBSTITUTE($A537,"-",""),"(",""),")",""),".",""),"+","")," ","")))</f>
      </c>
    </row>
    <row r="538" spans="1:7" x14ac:dyDescent="0.3">
      <c r="A538" s="11"/>
      <c r="B538" s="38">
        <f>IF($A538="","",IFERROR(IF(INDEX(Pledges!$D$5:$D$2500,MATCH($G538,Pledges!$K$5:$K$2500,0))="","⚠ no amount on Pledges",IF(INDEX(Pledges!$B$5:$B$2500,MATCH($G538,Pledges!$K$5:$K$2500,0))="","",INDEX(Pledges!$B$5:$B$2500,MATCH($G538,Pledges!$K$5:$K$2500,0)))),"⚠ phone not in Pledges"))</f>
      </c>
      <c r="C538" s="12"/>
      <c r="D538" s="13"/>
      <c r="E538" s="22"/>
      <c r="F538" s="23"/>
      <c r="G538">
        <f>IF($A538="","","#"&amp;TRIM(SUBSTITUTE(SUBSTITUTE(SUBSTITUTE(SUBSTITUTE(SUBSTITUTE(SUBSTITUTE($A538,"-",""),"(",""),")",""),".",""),"+","")," ","")))</f>
      </c>
    </row>
    <row r="539" spans="1:7" x14ac:dyDescent="0.3">
      <c r="A539" s="11"/>
      <c r="B539" s="38">
        <f>IF($A539="","",IFERROR(IF(INDEX(Pledges!$D$5:$D$2500,MATCH($G539,Pledges!$K$5:$K$2500,0))="","⚠ no amount on Pledges",IF(INDEX(Pledges!$B$5:$B$2500,MATCH($G539,Pledges!$K$5:$K$2500,0))="","",INDEX(Pledges!$B$5:$B$2500,MATCH($G539,Pledges!$K$5:$K$2500,0)))),"⚠ phone not in Pledges"))</f>
      </c>
      <c r="C539" s="12"/>
      <c r="D539" s="13"/>
      <c r="E539" s="22"/>
      <c r="F539" s="23"/>
      <c r="G539">
        <f>IF($A539="","","#"&amp;TRIM(SUBSTITUTE(SUBSTITUTE(SUBSTITUTE(SUBSTITUTE(SUBSTITUTE(SUBSTITUTE($A539,"-",""),"(",""),")",""),".",""),"+","")," ","")))</f>
      </c>
    </row>
    <row r="540" spans="1:7" x14ac:dyDescent="0.3">
      <c r="A540" s="11"/>
      <c r="B540" s="38">
        <f>IF($A540="","",IFERROR(IF(INDEX(Pledges!$D$5:$D$2500,MATCH($G540,Pledges!$K$5:$K$2500,0))="","⚠ no amount on Pledges",IF(INDEX(Pledges!$B$5:$B$2500,MATCH($G540,Pledges!$K$5:$K$2500,0))="","",INDEX(Pledges!$B$5:$B$2500,MATCH($G540,Pledges!$K$5:$K$2500,0)))),"⚠ phone not in Pledges"))</f>
      </c>
      <c r="C540" s="12"/>
      <c r="D540" s="13"/>
      <c r="E540" s="22"/>
      <c r="F540" s="23"/>
      <c r="G540">
        <f>IF($A540="","","#"&amp;TRIM(SUBSTITUTE(SUBSTITUTE(SUBSTITUTE(SUBSTITUTE(SUBSTITUTE(SUBSTITUTE($A540,"-",""),"(",""),")",""),".",""),"+","")," ","")))</f>
      </c>
    </row>
    <row r="541" spans="1:7" x14ac:dyDescent="0.3">
      <c r="A541" s="11"/>
      <c r="B541" s="38">
        <f>IF($A541="","",IFERROR(IF(INDEX(Pledges!$D$5:$D$2500,MATCH($G541,Pledges!$K$5:$K$2500,0))="","⚠ no amount on Pledges",IF(INDEX(Pledges!$B$5:$B$2500,MATCH($G541,Pledges!$K$5:$K$2500,0))="","",INDEX(Pledges!$B$5:$B$2500,MATCH($G541,Pledges!$K$5:$K$2500,0)))),"⚠ phone not in Pledges"))</f>
      </c>
      <c r="C541" s="12"/>
      <c r="D541" s="13"/>
      <c r="E541" s="22"/>
      <c r="F541" s="23"/>
      <c r="G541">
        <f>IF($A541="","","#"&amp;TRIM(SUBSTITUTE(SUBSTITUTE(SUBSTITUTE(SUBSTITUTE(SUBSTITUTE(SUBSTITUTE($A541,"-",""),"(",""),")",""),".",""),"+","")," ","")))</f>
      </c>
    </row>
    <row r="542" spans="1:7" x14ac:dyDescent="0.3">
      <c r="A542" s="11"/>
      <c r="B542" s="38">
        <f>IF($A542="","",IFERROR(IF(INDEX(Pledges!$D$5:$D$2500,MATCH($G542,Pledges!$K$5:$K$2500,0))="","⚠ no amount on Pledges",IF(INDEX(Pledges!$B$5:$B$2500,MATCH($G542,Pledges!$K$5:$K$2500,0))="","",INDEX(Pledges!$B$5:$B$2500,MATCH($G542,Pledges!$K$5:$K$2500,0)))),"⚠ phone not in Pledges"))</f>
      </c>
      <c r="C542" s="12"/>
      <c r="D542" s="13"/>
      <c r="E542" s="22"/>
      <c r="F542" s="23"/>
      <c r="G542">
        <f>IF($A542="","","#"&amp;TRIM(SUBSTITUTE(SUBSTITUTE(SUBSTITUTE(SUBSTITUTE(SUBSTITUTE(SUBSTITUTE($A542,"-",""),"(",""),")",""),".",""),"+","")," ","")))</f>
      </c>
    </row>
    <row r="543" spans="1:7" x14ac:dyDescent="0.3">
      <c r="A543" s="11"/>
      <c r="B543" s="38">
        <f>IF($A543="","",IFERROR(IF(INDEX(Pledges!$D$5:$D$2500,MATCH($G543,Pledges!$K$5:$K$2500,0))="","⚠ no amount on Pledges",IF(INDEX(Pledges!$B$5:$B$2500,MATCH($G543,Pledges!$K$5:$K$2500,0))="","",INDEX(Pledges!$B$5:$B$2500,MATCH($G543,Pledges!$K$5:$K$2500,0)))),"⚠ phone not in Pledges"))</f>
      </c>
      <c r="C543" s="12"/>
      <c r="D543" s="13"/>
      <c r="E543" s="22"/>
      <c r="F543" s="23"/>
      <c r="G543">
        <f>IF($A543="","","#"&amp;TRIM(SUBSTITUTE(SUBSTITUTE(SUBSTITUTE(SUBSTITUTE(SUBSTITUTE(SUBSTITUTE($A543,"-",""),"(",""),")",""),".",""),"+","")," ","")))</f>
      </c>
    </row>
    <row r="544" spans="1:7" x14ac:dyDescent="0.3">
      <c r="A544" s="11"/>
      <c r="B544" s="38">
        <f>IF($A544="","",IFERROR(IF(INDEX(Pledges!$D$5:$D$2500,MATCH($G544,Pledges!$K$5:$K$2500,0))="","⚠ no amount on Pledges",IF(INDEX(Pledges!$B$5:$B$2500,MATCH($G544,Pledges!$K$5:$K$2500,0))="","",INDEX(Pledges!$B$5:$B$2500,MATCH($G544,Pledges!$K$5:$K$2500,0)))),"⚠ phone not in Pledges"))</f>
      </c>
      <c r="C544" s="12"/>
      <c r="D544" s="13"/>
      <c r="E544" s="22"/>
      <c r="F544" s="23"/>
      <c r="G544">
        <f>IF($A544="","","#"&amp;TRIM(SUBSTITUTE(SUBSTITUTE(SUBSTITUTE(SUBSTITUTE(SUBSTITUTE(SUBSTITUTE($A544,"-",""),"(",""),")",""),".",""),"+","")," ","")))</f>
      </c>
    </row>
    <row r="545" spans="1:7" x14ac:dyDescent="0.3">
      <c r="A545" s="11"/>
      <c r="B545" s="38">
        <f>IF($A545="","",IFERROR(IF(INDEX(Pledges!$D$5:$D$2500,MATCH($G545,Pledges!$K$5:$K$2500,0))="","⚠ no amount on Pledges",IF(INDEX(Pledges!$B$5:$B$2500,MATCH($G545,Pledges!$K$5:$K$2500,0))="","",INDEX(Pledges!$B$5:$B$2500,MATCH($G545,Pledges!$K$5:$K$2500,0)))),"⚠ phone not in Pledges"))</f>
      </c>
      <c r="C545" s="12"/>
      <c r="D545" s="13"/>
      <c r="E545" s="22"/>
      <c r="F545" s="23"/>
      <c r="G545">
        <f>IF($A545="","","#"&amp;TRIM(SUBSTITUTE(SUBSTITUTE(SUBSTITUTE(SUBSTITUTE(SUBSTITUTE(SUBSTITUTE($A545,"-",""),"(",""),")",""),".",""),"+","")," ","")))</f>
      </c>
    </row>
    <row r="546" spans="1:7" x14ac:dyDescent="0.3">
      <c r="A546" s="11"/>
      <c r="B546" s="38">
        <f>IF($A546="","",IFERROR(IF(INDEX(Pledges!$D$5:$D$2500,MATCH($G546,Pledges!$K$5:$K$2500,0))="","⚠ no amount on Pledges",IF(INDEX(Pledges!$B$5:$B$2500,MATCH($G546,Pledges!$K$5:$K$2500,0))="","",INDEX(Pledges!$B$5:$B$2500,MATCH($G546,Pledges!$K$5:$K$2500,0)))),"⚠ phone not in Pledges"))</f>
      </c>
      <c r="C546" s="12"/>
      <c r="D546" s="13"/>
      <c r="E546" s="22"/>
      <c r="F546" s="23"/>
      <c r="G546">
        <f>IF($A546="","","#"&amp;TRIM(SUBSTITUTE(SUBSTITUTE(SUBSTITUTE(SUBSTITUTE(SUBSTITUTE(SUBSTITUTE($A546,"-",""),"(",""),")",""),".",""),"+","")," ","")))</f>
      </c>
    </row>
    <row r="547" spans="1:7" x14ac:dyDescent="0.3">
      <c r="A547" s="11"/>
      <c r="B547" s="38">
        <f>IF($A547="","",IFERROR(IF(INDEX(Pledges!$D$5:$D$2500,MATCH($G547,Pledges!$K$5:$K$2500,0))="","⚠ no amount on Pledges",IF(INDEX(Pledges!$B$5:$B$2500,MATCH($G547,Pledges!$K$5:$K$2500,0))="","",INDEX(Pledges!$B$5:$B$2500,MATCH($G547,Pledges!$K$5:$K$2500,0)))),"⚠ phone not in Pledges"))</f>
      </c>
      <c r="C547" s="12"/>
      <c r="D547" s="13"/>
      <c r="E547" s="22"/>
      <c r="F547" s="23"/>
      <c r="G547">
        <f>IF($A547="","","#"&amp;TRIM(SUBSTITUTE(SUBSTITUTE(SUBSTITUTE(SUBSTITUTE(SUBSTITUTE(SUBSTITUTE($A547,"-",""),"(",""),")",""),".",""),"+","")," ","")))</f>
      </c>
    </row>
    <row r="548" spans="1:7" x14ac:dyDescent="0.3">
      <c r="A548" s="11"/>
      <c r="B548" s="38">
        <f>IF($A548="","",IFERROR(IF(INDEX(Pledges!$D$5:$D$2500,MATCH($G548,Pledges!$K$5:$K$2500,0))="","⚠ no amount on Pledges",IF(INDEX(Pledges!$B$5:$B$2500,MATCH($G548,Pledges!$K$5:$K$2500,0))="","",INDEX(Pledges!$B$5:$B$2500,MATCH($G548,Pledges!$K$5:$K$2500,0)))),"⚠ phone not in Pledges"))</f>
      </c>
      <c r="C548" s="12"/>
      <c r="D548" s="13"/>
      <c r="E548" s="22"/>
      <c r="F548" s="23"/>
      <c r="G548">
        <f>IF($A548="","","#"&amp;TRIM(SUBSTITUTE(SUBSTITUTE(SUBSTITUTE(SUBSTITUTE(SUBSTITUTE(SUBSTITUTE($A548,"-",""),"(",""),")",""),".",""),"+","")," ","")))</f>
      </c>
    </row>
    <row r="549" spans="1:7" x14ac:dyDescent="0.3">
      <c r="A549" s="11"/>
      <c r="B549" s="38">
        <f>IF($A549="","",IFERROR(IF(INDEX(Pledges!$D$5:$D$2500,MATCH($G549,Pledges!$K$5:$K$2500,0))="","⚠ no amount on Pledges",IF(INDEX(Pledges!$B$5:$B$2500,MATCH($G549,Pledges!$K$5:$K$2500,0))="","",INDEX(Pledges!$B$5:$B$2500,MATCH($G549,Pledges!$K$5:$K$2500,0)))),"⚠ phone not in Pledges"))</f>
      </c>
      <c r="C549" s="12"/>
      <c r="D549" s="13"/>
      <c r="E549" s="22"/>
      <c r="F549" s="23"/>
      <c r="G549">
        <f>IF($A549="","","#"&amp;TRIM(SUBSTITUTE(SUBSTITUTE(SUBSTITUTE(SUBSTITUTE(SUBSTITUTE(SUBSTITUTE($A549,"-",""),"(",""),")",""),".",""),"+","")," ","")))</f>
      </c>
    </row>
    <row r="550" spans="1:7" x14ac:dyDescent="0.3">
      <c r="A550" s="11"/>
      <c r="B550" s="38">
        <f>IF($A550="","",IFERROR(IF(INDEX(Pledges!$D$5:$D$2500,MATCH($G550,Pledges!$K$5:$K$2500,0))="","⚠ no amount on Pledges",IF(INDEX(Pledges!$B$5:$B$2500,MATCH($G550,Pledges!$K$5:$K$2500,0))="","",INDEX(Pledges!$B$5:$B$2500,MATCH($G550,Pledges!$K$5:$K$2500,0)))),"⚠ phone not in Pledges"))</f>
      </c>
      <c r="C550" s="12"/>
      <c r="D550" s="13"/>
      <c r="E550" s="22"/>
      <c r="F550" s="23"/>
      <c r="G550">
        <f>IF($A550="","","#"&amp;TRIM(SUBSTITUTE(SUBSTITUTE(SUBSTITUTE(SUBSTITUTE(SUBSTITUTE(SUBSTITUTE($A550,"-",""),"(",""),")",""),".",""),"+","")," ","")))</f>
      </c>
    </row>
    <row r="551" spans="1:7" x14ac:dyDescent="0.3">
      <c r="A551" s="11"/>
      <c r="B551" s="38">
        <f>IF($A551="","",IFERROR(IF(INDEX(Pledges!$D$5:$D$2500,MATCH($G551,Pledges!$K$5:$K$2500,0))="","⚠ no amount on Pledges",IF(INDEX(Pledges!$B$5:$B$2500,MATCH($G551,Pledges!$K$5:$K$2500,0))="","",INDEX(Pledges!$B$5:$B$2500,MATCH($G551,Pledges!$K$5:$K$2500,0)))),"⚠ phone not in Pledges"))</f>
      </c>
      <c r="C551" s="12"/>
      <c r="D551" s="13"/>
      <c r="E551" s="22"/>
      <c r="F551" s="23"/>
      <c r="G551">
        <f>IF($A551="","","#"&amp;TRIM(SUBSTITUTE(SUBSTITUTE(SUBSTITUTE(SUBSTITUTE(SUBSTITUTE(SUBSTITUTE($A551,"-",""),"(",""),")",""),".",""),"+","")," ","")))</f>
      </c>
    </row>
    <row r="552" spans="1:7" x14ac:dyDescent="0.3">
      <c r="A552" s="11"/>
      <c r="B552" s="38">
        <f>IF($A552="","",IFERROR(IF(INDEX(Pledges!$D$5:$D$2500,MATCH($G552,Pledges!$K$5:$K$2500,0))="","⚠ no amount on Pledges",IF(INDEX(Pledges!$B$5:$B$2500,MATCH($G552,Pledges!$K$5:$K$2500,0))="","",INDEX(Pledges!$B$5:$B$2500,MATCH($G552,Pledges!$K$5:$K$2500,0)))),"⚠ phone not in Pledges"))</f>
      </c>
      <c r="C552" s="12"/>
      <c r="D552" s="13"/>
      <c r="E552" s="22"/>
      <c r="F552" s="23"/>
      <c r="G552">
        <f>IF($A552="","","#"&amp;TRIM(SUBSTITUTE(SUBSTITUTE(SUBSTITUTE(SUBSTITUTE(SUBSTITUTE(SUBSTITUTE($A552,"-",""),"(",""),")",""),".",""),"+","")," ","")))</f>
      </c>
    </row>
    <row r="553" spans="1:7" x14ac:dyDescent="0.3">
      <c r="A553" s="11"/>
      <c r="B553" s="38">
        <f>IF($A553="","",IFERROR(IF(INDEX(Pledges!$D$5:$D$2500,MATCH($G553,Pledges!$K$5:$K$2500,0))="","⚠ no amount on Pledges",IF(INDEX(Pledges!$B$5:$B$2500,MATCH($G553,Pledges!$K$5:$K$2500,0))="","",INDEX(Pledges!$B$5:$B$2500,MATCH($G553,Pledges!$K$5:$K$2500,0)))),"⚠ phone not in Pledges"))</f>
      </c>
      <c r="C553" s="12"/>
      <c r="D553" s="13"/>
      <c r="E553" s="22"/>
      <c r="F553" s="23"/>
      <c r="G553">
        <f>IF($A553="","","#"&amp;TRIM(SUBSTITUTE(SUBSTITUTE(SUBSTITUTE(SUBSTITUTE(SUBSTITUTE(SUBSTITUTE($A553,"-",""),"(",""),")",""),".",""),"+","")," ","")))</f>
      </c>
    </row>
    <row r="554" spans="1:7" x14ac:dyDescent="0.3">
      <c r="A554" s="11"/>
      <c r="B554" s="38">
        <f>IF($A554="","",IFERROR(IF(INDEX(Pledges!$D$5:$D$2500,MATCH($G554,Pledges!$K$5:$K$2500,0))="","⚠ no amount on Pledges",IF(INDEX(Pledges!$B$5:$B$2500,MATCH($G554,Pledges!$K$5:$K$2500,0))="","",INDEX(Pledges!$B$5:$B$2500,MATCH($G554,Pledges!$K$5:$K$2500,0)))),"⚠ phone not in Pledges"))</f>
      </c>
      <c r="C554" s="12"/>
      <c r="D554" s="13"/>
      <c r="E554" s="22"/>
      <c r="F554" s="23"/>
      <c r="G554">
        <f>IF($A554="","","#"&amp;TRIM(SUBSTITUTE(SUBSTITUTE(SUBSTITUTE(SUBSTITUTE(SUBSTITUTE(SUBSTITUTE($A554,"-",""),"(",""),")",""),".",""),"+","")," ","")))</f>
      </c>
    </row>
    <row r="555" spans="1:7" x14ac:dyDescent="0.3">
      <c r="A555" s="11"/>
      <c r="B555" s="38">
        <f>IF($A555="","",IFERROR(IF(INDEX(Pledges!$D$5:$D$2500,MATCH($G555,Pledges!$K$5:$K$2500,0))="","⚠ no amount on Pledges",IF(INDEX(Pledges!$B$5:$B$2500,MATCH($G555,Pledges!$K$5:$K$2500,0))="","",INDEX(Pledges!$B$5:$B$2500,MATCH($G555,Pledges!$K$5:$K$2500,0)))),"⚠ phone not in Pledges"))</f>
      </c>
      <c r="C555" s="12"/>
      <c r="D555" s="13"/>
      <c r="E555" s="22"/>
      <c r="F555" s="23"/>
      <c r="G555">
        <f>IF($A555="","","#"&amp;TRIM(SUBSTITUTE(SUBSTITUTE(SUBSTITUTE(SUBSTITUTE(SUBSTITUTE(SUBSTITUTE($A555,"-",""),"(",""),")",""),".",""),"+","")," ","")))</f>
      </c>
    </row>
    <row r="556" spans="1:7" x14ac:dyDescent="0.3">
      <c r="A556" s="11"/>
      <c r="B556" s="38">
        <f>IF($A556="","",IFERROR(IF(INDEX(Pledges!$D$5:$D$2500,MATCH($G556,Pledges!$K$5:$K$2500,0))="","⚠ no amount on Pledges",IF(INDEX(Pledges!$B$5:$B$2500,MATCH($G556,Pledges!$K$5:$K$2500,0))="","",INDEX(Pledges!$B$5:$B$2500,MATCH($G556,Pledges!$K$5:$K$2500,0)))),"⚠ phone not in Pledges"))</f>
      </c>
      <c r="C556" s="12"/>
      <c r="D556" s="13"/>
      <c r="E556" s="22"/>
      <c r="F556" s="23"/>
      <c r="G556">
        <f>IF($A556="","","#"&amp;TRIM(SUBSTITUTE(SUBSTITUTE(SUBSTITUTE(SUBSTITUTE(SUBSTITUTE(SUBSTITUTE($A556,"-",""),"(",""),")",""),".",""),"+","")," ","")))</f>
      </c>
    </row>
    <row r="557" spans="1:7" x14ac:dyDescent="0.3">
      <c r="A557" s="11"/>
      <c r="B557" s="38">
        <f>IF($A557="","",IFERROR(IF(INDEX(Pledges!$D$5:$D$2500,MATCH($G557,Pledges!$K$5:$K$2500,0))="","⚠ no amount on Pledges",IF(INDEX(Pledges!$B$5:$B$2500,MATCH($G557,Pledges!$K$5:$K$2500,0))="","",INDEX(Pledges!$B$5:$B$2500,MATCH($G557,Pledges!$K$5:$K$2500,0)))),"⚠ phone not in Pledges"))</f>
      </c>
      <c r="C557" s="12"/>
      <c r="D557" s="13"/>
      <c r="E557" s="22"/>
      <c r="F557" s="23"/>
      <c r="G557">
        <f>IF($A557="","","#"&amp;TRIM(SUBSTITUTE(SUBSTITUTE(SUBSTITUTE(SUBSTITUTE(SUBSTITUTE(SUBSTITUTE($A557,"-",""),"(",""),")",""),".",""),"+","")," ","")))</f>
      </c>
    </row>
    <row r="558" spans="1:7" x14ac:dyDescent="0.3">
      <c r="A558" s="11"/>
      <c r="B558" s="38">
        <f>IF($A558="","",IFERROR(IF(INDEX(Pledges!$D$5:$D$2500,MATCH($G558,Pledges!$K$5:$K$2500,0))="","⚠ no amount on Pledges",IF(INDEX(Pledges!$B$5:$B$2500,MATCH($G558,Pledges!$K$5:$K$2500,0))="","",INDEX(Pledges!$B$5:$B$2500,MATCH($G558,Pledges!$K$5:$K$2500,0)))),"⚠ phone not in Pledges"))</f>
      </c>
      <c r="C558" s="12"/>
      <c r="D558" s="13"/>
      <c r="E558" s="22"/>
      <c r="F558" s="23"/>
      <c r="G558">
        <f>IF($A558="","","#"&amp;TRIM(SUBSTITUTE(SUBSTITUTE(SUBSTITUTE(SUBSTITUTE(SUBSTITUTE(SUBSTITUTE($A558,"-",""),"(",""),")",""),".",""),"+","")," ","")))</f>
      </c>
    </row>
    <row r="559" spans="1:7" x14ac:dyDescent="0.3">
      <c r="A559" s="11"/>
      <c r="B559" s="38">
        <f>IF($A559="","",IFERROR(IF(INDEX(Pledges!$D$5:$D$2500,MATCH($G559,Pledges!$K$5:$K$2500,0))="","⚠ no amount on Pledges",IF(INDEX(Pledges!$B$5:$B$2500,MATCH($G559,Pledges!$K$5:$K$2500,0))="","",INDEX(Pledges!$B$5:$B$2500,MATCH($G559,Pledges!$K$5:$K$2500,0)))),"⚠ phone not in Pledges"))</f>
      </c>
      <c r="C559" s="12"/>
      <c r="D559" s="13"/>
      <c r="E559" s="22"/>
      <c r="F559" s="23"/>
      <c r="G559">
        <f>IF($A559="","","#"&amp;TRIM(SUBSTITUTE(SUBSTITUTE(SUBSTITUTE(SUBSTITUTE(SUBSTITUTE(SUBSTITUTE($A559,"-",""),"(",""),")",""),".",""),"+","")," ","")))</f>
      </c>
    </row>
    <row r="560" spans="1:7" x14ac:dyDescent="0.3">
      <c r="A560" s="11"/>
      <c r="B560" s="38">
        <f>IF($A560="","",IFERROR(IF(INDEX(Pledges!$D$5:$D$2500,MATCH($G560,Pledges!$K$5:$K$2500,0))="","⚠ no amount on Pledges",IF(INDEX(Pledges!$B$5:$B$2500,MATCH($G560,Pledges!$K$5:$K$2500,0))="","",INDEX(Pledges!$B$5:$B$2500,MATCH($G560,Pledges!$K$5:$K$2500,0)))),"⚠ phone not in Pledges"))</f>
      </c>
      <c r="C560" s="12"/>
      <c r="D560" s="13"/>
      <c r="E560" s="22"/>
      <c r="F560" s="23"/>
      <c r="G560">
        <f>IF($A560="","","#"&amp;TRIM(SUBSTITUTE(SUBSTITUTE(SUBSTITUTE(SUBSTITUTE(SUBSTITUTE(SUBSTITUTE($A560,"-",""),"(",""),")",""),".",""),"+","")," ","")))</f>
      </c>
    </row>
    <row r="561" spans="1:7" x14ac:dyDescent="0.3">
      <c r="A561" s="11"/>
      <c r="B561" s="38">
        <f>IF($A561="","",IFERROR(IF(INDEX(Pledges!$D$5:$D$2500,MATCH($G561,Pledges!$K$5:$K$2500,0))="","⚠ no amount on Pledges",IF(INDEX(Pledges!$B$5:$B$2500,MATCH($G561,Pledges!$K$5:$K$2500,0))="","",INDEX(Pledges!$B$5:$B$2500,MATCH($G561,Pledges!$K$5:$K$2500,0)))),"⚠ phone not in Pledges"))</f>
      </c>
      <c r="C561" s="12"/>
      <c r="D561" s="13"/>
      <c r="E561" s="22"/>
      <c r="F561" s="23"/>
      <c r="G561">
        <f>IF($A561="","","#"&amp;TRIM(SUBSTITUTE(SUBSTITUTE(SUBSTITUTE(SUBSTITUTE(SUBSTITUTE(SUBSTITUTE($A561,"-",""),"(",""),")",""),".",""),"+","")," ","")))</f>
      </c>
    </row>
    <row r="562" spans="1:7" x14ac:dyDescent="0.3">
      <c r="A562" s="11"/>
      <c r="B562" s="38">
        <f>IF($A562="","",IFERROR(IF(INDEX(Pledges!$D$5:$D$2500,MATCH($G562,Pledges!$K$5:$K$2500,0))="","⚠ no amount on Pledges",IF(INDEX(Pledges!$B$5:$B$2500,MATCH($G562,Pledges!$K$5:$K$2500,0))="","",INDEX(Pledges!$B$5:$B$2500,MATCH($G562,Pledges!$K$5:$K$2500,0)))),"⚠ phone not in Pledges"))</f>
      </c>
      <c r="C562" s="12"/>
      <c r="D562" s="13"/>
      <c r="E562" s="22"/>
      <c r="F562" s="23"/>
      <c r="G562">
        <f>IF($A562="","","#"&amp;TRIM(SUBSTITUTE(SUBSTITUTE(SUBSTITUTE(SUBSTITUTE(SUBSTITUTE(SUBSTITUTE($A562,"-",""),"(",""),")",""),".",""),"+","")," ","")))</f>
      </c>
    </row>
    <row r="563" spans="1:7" x14ac:dyDescent="0.3">
      <c r="A563" s="11"/>
      <c r="B563" s="38">
        <f>IF($A563="","",IFERROR(IF(INDEX(Pledges!$D$5:$D$2500,MATCH($G563,Pledges!$K$5:$K$2500,0))="","⚠ no amount on Pledges",IF(INDEX(Pledges!$B$5:$B$2500,MATCH($G563,Pledges!$K$5:$K$2500,0))="","",INDEX(Pledges!$B$5:$B$2500,MATCH($G563,Pledges!$K$5:$K$2500,0)))),"⚠ phone not in Pledges"))</f>
      </c>
      <c r="C563" s="12"/>
      <c r="D563" s="13"/>
      <c r="E563" s="22"/>
      <c r="F563" s="23"/>
      <c r="G563">
        <f>IF($A563="","","#"&amp;TRIM(SUBSTITUTE(SUBSTITUTE(SUBSTITUTE(SUBSTITUTE(SUBSTITUTE(SUBSTITUTE($A563,"-",""),"(",""),")",""),".",""),"+","")," ","")))</f>
      </c>
    </row>
    <row r="564" spans="1:7" x14ac:dyDescent="0.3">
      <c r="A564" s="11"/>
      <c r="B564" s="38">
        <f>IF($A564="","",IFERROR(IF(INDEX(Pledges!$D$5:$D$2500,MATCH($G564,Pledges!$K$5:$K$2500,0))="","⚠ no amount on Pledges",IF(INDEX(Pledges!$B$5:$B$2500,MATCH($G564,Pledges!$K$5:$K$2500,0))="","",INDEX(Pledges!$B$5:$B$2500,MATCH($G564,Pledges!$K$5:$K$2500,0)))),"⚠ phone not in Pledges"))</f>
      </c>
      <c r="C564" s="12"/>
      <c r="D564" s="13"/>
      <c r="E564" s="22"/>
      <c r="F564" s="23"/>
      <c r="G564">
        <f>IF($A564="","","#"&amp;TRIM(SUBSTITUTE(SUBSTITUTE(SUBSTITUTE(SUBSTITUTE(SUBSTITUTE(SUBSTITUTE($A564,"-",""),"(",""),")",""),".",""),"+","")," ","")))</f>
      </c>
    </row>
    <row r="565" spans="1:7" x14ac:dyDescent="0.3">
      <c r="A565" s="11"/>
      <c r="B565" s="38">
        <f>IF($A565="","",IFERROR(IF(INDEX(Pledges!$D$5:$D$2500,MATCH($G565,Pledges!$K$5:$K$2500,0))="","⚠ no amount on Pledges",IF(INDEX(Pledges!$B$5:$B$2500,MATCH($G565,Pledges!$K$5:$K$2500,0))="","",INDEX(Pledges!$B$5:$B$2500,MATCH($G565,Pledges!$K$5:$K$2500,0)))),"⚠ phone not in Pledges"))</f>
      </c>
      <c r="C565" s="12"/>
      <c r="D565" s="13"/>
      <c r="E565" s="22"/>
      <c r="F565" s="23"/>
      <c r="G565">
        <f>IF($A565="","","#"&amp;TRIM(SUBSTITUTE(SUBSTITUTE(SUBSTITUTE(SUBSTITUTE(SUBSTITUTE(SUBSTITUTE($A565,"-",""),"(",""),")",""),".",""),"+","")," ","")))</f>
      </c>
    </row>
    <row r="566" spans="1:7" x14ac:dyDescent="0.3">
      <c r="A566" s="11"/>
      <c r="B566" s="38">
        <f>IF($A566="","",IFERROR(IF(INDEX(Pledges!$D$5:$D$2500,MATCH($G566,Pledges!$K$5:$K$2500,0))="","⚠ no amount on Pledges",IF(INDEX(Pledges!$B$5:$B$2500,MATCH($G566,Pledges!$K$5:$K$2500,0))="","",INDEX(Pledges!$B$5:$B$2500,MATCH($G566,Pledges!$K$5:$K$2500,0)))),"⚠ phone not in Pledges"))</f>
      </c>
      <c r="C566" s="12"/>
      <c r="D566" s="13"/>
      <c r="E566" s="22"/>
      <c r="F566" s="23"/>
      <c r="G566">
        <f>IF($A566="","","#"&amp;TRIM(SUBSTITUTE(SUBSTITUTE(SUBSTITUTE(SUBSTITUTE(SUBSTITUTE(SUBSTITUTE($A566,"-",""),"(",""),")",""),".",""),"+","")," ","")))</f>
      </c>
    </row>
    <row r="567" spans="1:7" x14ac:dyDescent="0.3">
      <c r="A567" s="11"/>
      <c r="B567" s="38">
        <f>IF($A567="","",IFERROR(IF(INDEX(Pledges!$D$5:$D$2500,MATCH($G567,Pledges!$K$5:$K$2500,0))="","⚠ no amount on Pledges",IF(INDEX(Pledges!$B$5:$B$2500,MATCH($G567,Pledges!$K$5:$K$2500,0))="","",INDEX(Pledges!$B$5:$B$2500,MATCH($G567,Pledges!$K$5:$K$2500,0)))),"⚠ phone not in Pledges"))</f>
      </c>
      <c r="C567" s="12"/>
      <c r="D567" s="13"/>
      <c r="E567" s="22"/>
      <c r="F567" s="23"/>
      <c r="G567">
        <f>IF($A567="","","#"&amp;TRIM(SUBSTITUTE(SUBSTITUTE(SUBSTITUTE(SUBSTITUTE(SUBSTITUTE(SUBSTITUTE($A567,"-",""),"(",""),")",""),".",""),"+","")," ","")))</f>
      </c>
    </row>
    <row r="568" spans="1:7" x14ac:dyDescent="0.3">
      <c r="A568" s="11"/>
      <c r="B568" s="38">
        <f>IF($A568="","",IFERROR(IF(INDEX(Pledges!$D$5:$D$2500,MATCH($G568,Pledges!$K$5:$K$2500,0))="","⚠ no amount on Pledges",IF(INDEX(Pledges!$B$5:$B$2500,MATCH($G568,Pledges!$K$5:$K$2500,0))="","",INDEX(Pledges!$B$5:$B$2500,MATCH($G568,Pledges!$K$5:$K$2500,0)))),"⚠ phone not in Pledges"))</f>
      </c>
      <c r="C568" s="12"/>
      <c r="D568" s="13"/>
      <c r="E568" s="22"/>
      <c r="F568" s="23"/>
      <c r="G568">
        <f>IF($A568="","","#"&amp;TRIM(SUBSTITUTE(SUBSTITUTE(SUBSTITUTE(SUBSTITUTE(SUBSTITUTE(SUBSTITUTE($A568,"-",""),"(",""),")",""),".",""),"+","")," ","")))</f>
      </c>
    </row>
    <row r="569" spans="1:7" x14ac:dyDescent="0.3">
      <c r="A569" s="11"/>
      <c r="B569" s="38">
        <f>IF($A569="","",IFERROR(IF(INDEX(Pledges!$D$5:$D$2500,MATCH($G569,Pledges!$K$5:$K$2500,0))="","⚠ no amount on Pledges",IF(INDEX(Pledges!$B$5:$B$2500,MATCH($G569,Pledges!$K$5:$K$2500,0))="","",INDEX(Pledges!$B$5:$B$2500,MATCH($G569,Pledges!$K$5:$K$2500,0)))),"⚠ phone not in Pledges"))</f>
      </c>
      <c r="C569" s="12"/>
      <c r="D569" s="13"/>
      <c r="E569" s="22"/>
      <c r="F569" s="23"/>
      <c r="G569">
        <f>IF($A569="","","#"&amp;TRIM(SUBSTITUTE(SUBSTITUTE(SUBSTITUTE(SUBSTITUTE(SUBSTITUTE(SUBSTITUTE($A569,"-",""),"(",""),")",""),".",""),"+","")," ","")))</f>
      </c>
    </row>
    <row r="570" spans="1:7" x14ac:dyDescent="0.3">
      <c r="A570" s="11"/>
      <c r="B570" s="38">
        <f>IF($A570="","",IFERROR(IF(INDEX(Pledges!$D$5:$D$2500,MATCH($G570,Pledges!$K$5:$K$2500,0))="","⚠ no amount on Pledges",IF(INDEX(Pledges!$B$5:$B$2500,MATCH($G570,Pledges!$K$5:$K$2500,0))="","",INDEX(Pledges!$B$5:$B$2500,MATCH($G570,Pledges!$K$5:$K$2500,0)))),"⚠ phone not in Pledges"))</f>
      </c>
      <c r="C570" s="12"/>
      <c r="D570" s="13"/>
      <c r="E570" s="22"/>
      <c r="F570" s="23"/>
      <c r="G570">
        <f>IF($A570="","","#"&amp;TRIM(SUBSTITUTE(SUBSTITUTE(SUBSTITUTE(SUBSTITUTE(SUBSTITUTE(SUBSTITUTE($A570,"-",""),"(",""),")",""),".",""),"+","")," ","")))</f>
      </c>
    </row>
    <row r="571" spans="1:7" x14ac:dyDescent="0.3">
      <c r="A571" s="11"/>
      <c r="B571" s="38">
        <f>IF($A571="","",IFERROR(IF(INDEX(Pledges!$D$5:$D$2500,MATCH($G571,Pledges!$K$5:$K$2500,0))="","⚠ no amount on Pledges",IF(INDEX(Pledges!$B$5:$B$2500,MATCH($G571,Pledges!$K$5:$K$2500,0))="","",INDEX(Pledges!$B$5:$B$2500,MATCH($G571,Pledges!$K$5:$K$2500,0)))),"⚠ phone not in Pledges"))</f>
      </c>
      <c r="C571" s="12"/>
      <c r="D571" s="13"/>
      <c r="E571" s="22"/>
      <c r="F571" s="23"/>
      <c r="G571">
        <f>IF($A571="","","#"&amp;TRIM(SUBSTITUTE(SUBSTITUTE(SUBSTITUTE(SUBSTITUTE(SUBSTITUTE(SUBSTITUTE($A571,"-",""),"(",""),")",""),".",""),"+","")," ","")))</f>
      </c>
    </row>
    <row r="572" spans="1:7" x14ac:dyDescent="0.3">
      <c r="A572" s="11"/>
      <c r="B572" s="38">
        <f>IF($A572="","",IFERROR(IF(INDEX(Pledges!$D$5:$D$2500,MATCH($G572,Pledges!$K$5:$K$2500,0))="","⚠ no amount on Pledges",IF(INDEX(Pledges!$B$5:$B$2500,MATCH($G572,Pledges!$K$5:$K$2500,0))="","",INDEX(Pledges!$B$5:$B$2500,MATCH($G572,Pledges!$K$5:$K$2500,0)))),"⚠ phone not in Pledges"))</f>
      </c>
      <c r="C572" s="12"/>
      <c r="D572" s="13"/>
      <c r="E572" s="22"/>
      <c r="F572" s="23"/>
      <c r="G572">
        <f>IF($A572="","","#"&amp;TRIM(SUBSTITUTE(SUBSTITUTE(SUBSTITUTE(SUBSTITUTE(SUBSTITUTE(SUBSTITUTE($A572,"-",""),"(",""),")",""),".",""),"+","")," ","")))</f>
      </c>
    </row>
    <row r="573" spans="1:7" x14ac:dyDescent="0.3">
      <c r="A573" s="11"/>
      <c r="B573" s="38">
        <f>IF($A573="","",IFERROR(IF(INDEX(Pledges!$D$5:$D$2500,MATCH($G573,Pledges!$K$5:$K$2500,0))="","⚠ no amount on Pledges",IF(INDEX(Pledges!$B$5:$B$2500,MATCH($G573,Pledges!$K$5:$K$2500,0))="","",INDEX(Pledges!$B$5:$B$2500,MATCH($G573,Pledges!$K$5:$K$2500,0)))),"⚠ phone not in Pledges"))</f>
      </c>
      <c r="C573" s="12"/>
      <c r="D573" s="13"/>
      <c r="E573" s="22"/>
      <c r="F573" s="23"/>
      <c r="G573">
        <f>IF($A573="","","#"&amp;TRIM(SUBSTITUTE(SUBSTITUTE(SUBSTITUTE(SUBSTITUTE(SUBSTITUTE(SUBSTITUTE($A573,"-",""),"(",""),")",""),".",""),"+","")," ","")))</f>
      </c>
    </row>
    <row r="574" spans="1:7" x14ac:dyDescent="0.3">
      <c r="A574" s="11"/>
      <c r="B574" s="38">
        <f>IF($A574="","",IFERROR(IF(INDEX(Pledges!$D$5:$D$2500,MATCH($G574,Pledges!$K$5:$K$2500,0))="","⚠ no amount on Pledges",IF(INDEX(Pledges!$B$5:$B$2500,MATCH($G574,Pledges!$K$5:$K$2500,0))="","",INDEX(Pledges!$B$5:$B$2500,MATCH($G574,Pledges!$K$5:$K$2500,0)))),"⚠ phone not in Pledges"))</f>
      </c>
      <c r="C574" s="12"/>
      <c r="D574" s="13"/>
      <c r="E574" s="22"/>
      <c r="F574" s="23"/>
      <c r="G574">
        <f>IF($A574="","","#"&amp;TRIM(SUBSTITUTE(SUBSTITUTE(SUBSTITUTE(SUBSTITUTE(SUBSTITUTE(SUBSTITUTE($A574,"-",""),"(",""),")",""),".",""),"+","")," ","")))</f>
      </c>
    </row>
    <row r="575" spans="1:7" x14ac:dyDescent="0.3">
      <c r="A575" s="11"/>
      <c r="B575" s="38">
        <f>IF($A575="","",IFERROR(IF(INDEX(Pledges!$D$5:$D$2500,MATCH($G575,Pledges!$K$5:$K$2500,0))="","⚠ no amount on Pledges",IF(INDEX(Pledges!$B$5:$B$2500,MATCH($G575,Pledges!$K$5:$K$2500,0))="","",INDEX(Pledges!$B$5:$B$2500,MATCH($G575,Pledges!$K$5:$K$2500,0)))),"⚠ phone not in Pledges"))</f>
      </c>
      <c r="C575" s="12"/>
      <c r="D575" s="13"/>
      <c r="E575" s="22"/>
      <c r="F575" s="23"/>
      <c r="G575">
        <f>IF($A575="","","#"&amp;TRIM(SUBSTITUTE(SUBSTITUTE(SUBSTITUTE(SUBSTITUTE(SUBSTITUTE(SUBSTITUTE($A575,"-",""),"(",""),")",""),".",""),"+","")," ","")))</f>
      </c>
    </row>
    <row r="576" spans="1:7" x14ac:dyDescent="0.3">
      <c r="A576" s="11"/>
      <c r="B576" s="38">
        <f>IF($A576="","",IFERROR(IF(INDEX(Pledges!$D$5:$D$2500,MATCH($G576,Pledges!$K$5:$K$2500,0))="","⚠ no amount on Pledges",IF(INDEX(Pledges!$B$5:$B$2500,MATCH($G576,Pledges!$K$5:$K$2500,0))="","",INDEX(Pledges!$B$5:$B$2500,MATCH($G576,Pledges!$K$5:$K$2500,0)))),"⚠ phone not in Pledges"))</f>
      </c>
      <c r="C576" s="12"/>
      <c r="D576" s="13"/>
      <c r="E576" s="22"/>
      <c r="F576" s="23"/>
      <c r="G576">
        <f>IF($A576="","","#"&amp;TRIM(SUBSTITUTE(SUBSTITUTE(SUBSTITUTE(SUBSTITUTE(SUBSTITUTE(SUBSTITUTE($A576,"-",""),"(",""),")",""),".",""),"+","")," ","")))</f>
      </c>
    </row>
    <row r="577" spans="1:7" x14ac:dyDescent="0.3">
      <c r="A577" s="11"/>
      <c r="B577" s="38">
        <f>IF($A577="","",IFERROR(IF(INDEX(Pledges!$D$5:$D$2500,MATCH($G577,Pledges!$K$5:$K$2500,0))="","⚠ no amount on Pledges",IF(INDEX(Pledges!$B$5:$B$2500,MATCH($G577,Pledges!$K$5:$K$2500,0))="","",INDEX(Pledges!$B$5:$B$2500,MATCH($G577,Pledges!$K$5:$K$2500,0)))),"⚠ phone not in Pledges"))</f>
      </c>
      <c r="C577" s="12"/>
      <c r="D577" s="13"/>
      <c r="E577" s="22"/>
      <c r="F577" s="23"/>
      <c r="G577">
        <f>IF($A577="","","#"&amp;TRIM(SUBSTITUTE(SUBSTITUTE(SUBSTITUTE(SUBSTITUTE(SUBSTITUTE(SUBSTITUTE($A577,"-",""),"(",""),")",""),".",""),"+","")," ","")))</f>
      </c>
    </row>
    <row r="578" spans="1:7" x14ac:dyDescent="0.3">
      <c r="A578" s="11"/>
      <c r="B578" s="38">
        <f>IF($A578="","",IFERROR(IF(INDEX(Pledges!$D$5:$D$2500,MATCH($G578,Pledges!$K$5:$K$2500,0))="","⚠ no amount on Pledges",IF(INDEX(Pledges!$B$5:$B$2500,MATCH($G578,Pledges!$K$5:$K$2500,0))="","",INDEX(Pledges!$B$5:$B$2500,MATCH($G578,Pledges!$K$5:$K$2500,0)))),"⚠ phone not in Pledges"))</f>
      </c>
      <c r="C578" s="12"/>
      <c r="D578" s="13"/>
      <c r="E578" s="22"/>
      <c r="F578" s="23"/>
      <c r="G578">
        <f>IF($A578="","","#"&amp;TRIM(SUBSTITUTE(SUBSTITUTE(SUBSTITUTE(SUBSTITUTE(SUBSTITUTE(SUBSTITUTE($A578,"-",""),"(",""),")",""),".",""),"+","")," ","")))</f>
      </c>
    </row>
    <row r="579" spans="1:7" x14ac:dyDescent="0.3">
      <c r="A579" s="11"/>
      <c r="B579" s="38">
        <f>IF($A579="","",IFERROR(IF(INDEX(Pledges!$D$5:$D$2500,MATCH($G579,Pledges!$K$5:$K$2500,0))="","⚠ no amount on Pledges",IF(INDEX(Pledges!$B$5:$B$2500,MATCH($G579,Pledges!$K$5:$K$2500,0))="","",INDEX(Pledges!$B$5:$B$2500,MATCH($G579,Pledges!$K$5:$K$2500,0)))),"⚠ phone not in Pledges"))</f>
      </c>
      <c r="C579" s="12"/>
      <c r="D579" s="13"/>
      <c r="E579" s="22"/>
      <c r="F579" s="23"/>
      <c r="G579">
        <f>IF($A579="","","#"&amp;TRIM(SUBSTITUTE(SUBSTITUTE(SUBSTITUTE(SUBSTITUTE(SUBSTITUTE(SUBSTITUTE($A579,"-",""),"(",""),")",""),".",""),"+","")," ","")))</f>
      </c>
    </row>
    <row r="580" spans="1:7" x14ac:dyDescent="0.3">
      <c r="A580" s="11"/>
      <c r="B580" s="38">
        <f>IF($A580="","",IFERROR(IF(INDEX(Pledges!$D$5:$D$2500,MATCH($G580,Pledges!$K$5:$K$2500,0))="","⚠ no amount on Pledges",IF(INDEX(Pledges!$B$5:$B$2500,MATCH($G580,Pledges!$K$5:$K$2500,0))="","",INDEX(Pledges!$B$5:$B$2500,MATCH($G580,Pledges!$K$5:$K$2500,0)))),"⚠ phone not in Pledges"))</f>
      </c>
      <c r="C580" s="12"/>
      <c r="D580" s="13"/>
      <c r="E580" s="22"/>
      <c r="F580" s="23"/>
      <c r="G580">
        <f>IF($A580="","","#"&amp;TRIM(SUBSTITUTE(SUBSTITUTE(SUBSTITUTE(SUBSTITUTE(SUBSTITUTE(SUBSTITUTE($A580,"-",""),"(",""),")",""),".",""),"+","")," ","")))</f>
      </c>
    </row>
    <row r="581" spans="1:7" x14ac:dyDescent="0.3">
      <c r="A581" s="11"/>
      <c r="B581" s="38">
        <f>IF($A581="","",IFERROR(IF(INDEX(Pledges!$D$5:$D$2500,MATCH($G581,Pledges!$K$5:$K$2500,0))="","⚠ no amount on Pledges",IF(INDEX(Pledges!$B$5:$B$2500,MATCH($G581,Pledges!$K$5:$K$2500,0))="","",INDEX(Pledges!$B$5:$B$2500,MATCH($G581,Pledges!$K$5:$K$2500,0)))),"⚠ phone not in Pledges"))</f>
      </c>
      <c r="C581" s="12"/>
      <c r="D581" s="13"/>
      <c r="E581" s="22"/>
      <c r="F581" s="23"/>
      <c r="G581">
        <f>IF($A581="","","#"&amp;TRIM(SUBSTITUTE(SUBSTITUTE(SUBSTITUTE(SUBSTITUTE(SUBSTITUTE(SUBSTITUTE($A581,"-",""),"(",""),")",""),".",""),"+","")," ","")))</f>
      </c>
    </row>
    <row r="582" spans="1:7" x14ac:dyDescent="0.3">
      <c r="A582" s="11"/>
      <c r="B582" s="38">
        <f>IF($A582="","",IFERROR(IF(INDEX(Pledges!$D$5:$D$2500,MATCH($G582,Pledges!$K$5:$K$2500,0))="","⚠ no amount on Pledges",IF(INDEX(Pledges!$B$5:$B$2500,MATCH($G582,Pledges!$K$5:$K$2500,0))="","",INDEX(Pledges!$B$5:$B$2500,MATCH($G582,Pledges!$K$5:$K$2500,0)))),"⚠ phone not in Pledges"))</f>
      </c>
      <c r="C582" s="12"/>
      <c r="D582" s="13"/>
      <c r="E582" s="22"/>
      <c r="F582" s="23"/>
      <c r="G582">
        <f>IF($A582="","","#"&amp;TRIM(SUBSTITUTE(SUBSTITUTE(SUBSTITUTE(SUBSTITUTE(SUBSTITUTE(SUBSTITUTE($A582,"-",""),"(",""),")",""),".",""),"+","")," ","")))</f>
      </c>
    </row>
    <row r="583" spans="1:7" x14ac:dyDescent="0.3">
      <c r="A583" s="11"/>
      <c r="B583" s="38">
        <f>IF($A583="","",IFERROR(IF(INDEX(Pledges!$D$5:$D$2500,MATCH($G583,Pledges!$K$5:$K$2500,0))="","⚠ no amount on Pledges",IF(INDEX(Pledges!$B$5:$B$2500,MATCH($G583,Pledges!$K$5:$K$2500,0))="","",INDEX(Pledges!$B$5:$B$2500,MATCH($G583,Pledges!$K$5:$K$2500,0)))),"⚠ phone not in Pledges"))</f>
      </c>
      <c r="C583" s="12"/>
      <c r="D583" s="13"/>
      <c r="E583" s="22"/>
      <c r="F583" s="23"/>
      <c r="G583">
        <f>IF($A583="","","#"&amp;TRIM(SUBSTITUTE(SUBSTITUTE(SUBSTITUTE(SUBSTITUTE(SUBSTITUTE(SUBSTITUTE($A583,"-",""),"(",""),")",""),".",""),"+","")," ","")))</f>
      </c>
    </row>
    <row r="584" spans="1:7" x14ac:dyDescent="0.3">
      <c r="A584" s="11"/>
      <c r="B584" s="38">
        <f>IF($A584="","",IFERROR(IF(INDEX(Pledges!$D$5:$D$2500,MATCH($G584,Pledges!$K$5:$K$2500,0))="","⚠ no amount on Pledges",IF(INDEX(Pledges!$B$5:$B$2500,MATCH($G584,Pledges!$K$5:$K$2500,0))="","",INDEX(Pledges!$B$5:$B$2500,MATCH($G584,Pledges!$K$5:$K$2500,0)))),"⚠ phone not in Pledges"))</f>
      </c>
      <c r="C584" s="12"/>
      <c r="D584" s="13"/>
      <c r="E584" s="22"/>
      <c r="F584" s="23"/>
      <c r="G584">
        <f>IF($A584="","","#"&amp;TRIM(SUBSTITUTE(SUBSTITUTE(SUBSTITUTE(SUBSTITUTE(SUBSTITUTE(SUBSTITUTE($A584,"-",""),"(",""),")",""),".",""),"+","")," ","")))</f>
      </c>
    </row>
    <row r="585" spans="1:7" x14ac:dyDescent="0.3">
      <c r="A585" s="11"/>
      <c r="B585" s="38">
        <f>IF($A585="","",IFERROR(IF(INDEX(Pledges!$D$5:$D$2500,MATCH($G585,Pledges!$K$5:$K$2500,0))="","⚠ no amount on Pledges",IF(INDEX(Pledges!$B$5:$B$2500,MATCH($G585,Pledges!$K$5:$K$2500,0))="","",INDEX(Pledges!$B$5:$B$2500,MATCH($G585,Pledges!$K$5:$K$2500,0)))),"⚠ phone not in Pledges"))</f>
      </c>
      <c r="C585" s="12"/>
      <c r="D585" s="13"/>
      <c r="E585" s="22"/>
      <c r="F585" s="23"/>
      <c r="G585">
        <f>IF($A585="","","#"&amp;TRIM(SUBSTITUTE(SUBSTITUTE(SUBSTITUTE(SUBSTITUTE(SUBSTITUTE(SUBSTITUTE($A585,"-",""),"(",""),")",""),".",""),"+","")," ","")))</f>
      </c>
    </row>
    <row r="586" spans="1:7" x14ac:dyDescent="0.3">
      <c r="A586" s="11"/>
      <c r="B586" s="38">
        <f>IF($A586="","",IFERROR(IF(INDEX(Pledges!$D$5:$D$2500,MATCH($G586,Pledges!$K$5:$K$2500,0))="","⚠ no amount on Pledges",IF(INDEX(Pledges!$B$5:$B$2500,MATCH($G586,Pledges!$K$5:$K$2500,0))="","",INDEX(Pledges!$B$5:$B$2500,MATCH($G586,Pledges!$K$5:$K$2500,0)))),"⚠ phone not in Pledges"))</f>
      </c>
      <c r="C586" s="12"/>
      <c r="D586" s="13"/>
      <c r="E586" s="22"/>
      <c r="F586" s="23"/>
      <c r="G586">
        <f>IF($A586="","","#"&amp;TRIM(SUBSTITUTE(SUBSTITUTE(SUBSTITUTE(SUBSTITUTE(SUBSTITUTE(SUBSTITUTE($A586,"-",""),"(",""),")",""),".",""),"+","")," ","")))</f>
      </c>
    </row>
    <row r="587" spans="1:7" x14ac:dyDescent="0.3">
      <c r="A587" s="11"/>
      <c r="B587" s="38">
        <f>IF($A587="","",IFERROR(IF(INDEX(Pledges!$D$5:$D$2500,MATCH($G587,Pledges!$K$5:$K$2500,0))="","⚠ no amount on Pledges",IF(INDEX(Pledges!$B$5:$B$2500,MATCH($G587,Pledges!$K$5:$K$2500,0))="","",INDEX(Pledges!$B$5:$B$2500,MATCH($G587,Pledges!$K$5:$K$2500,0)))),"⚠ phone not in Pledges"))</f>
      </c>
      <c r="C587" s="12"/>
      <c r="D587" s="13"/>
      <c r="E587" s="22"/>
      <c r="F587" s="23"/>
      <c r="G587">
        <f>IF($A587="","","#"&amp;TRIM(SUBSTITUTE(SUBSTITUTE(SUBSTITUTE(SUBSTITUTE(SUBSTITUTE(SUBSTITUTE($A587,"-",""),"(",""),")",""),".",""),"+","")," ","")))</f>
      </c>
    </row>
    <row r="588" spans="1:7" x14ac:dyDescent="0.3">
      <c r="A588" s="11"/>
      <c r="B588" s="38">
        <f>IF($A588="","",IFERROR(IF(INDEX(Pledges!$D$5:$D$2500,MATCH($G588,Pledges!$K$5:$K$2500,0))="","⚠ no amount on Pledges",IF(INDEX(Pledges!$B$5:$B$2500,MATCH($G588,Pledges!$K$5:$K$2500,0))="","",INDEX(Pledges!$B$5:$B$2500,MATCH($G588,Pledges!$K$5:$K$2500,0)))),"⚠ phone not in Pledges"))</f>
      </c>
      <c r="C588" s="12"/>
      <c r="D588" s="13"/>
      <c r="E588" s="22"/>
      <c r="F588" s="23"/>
      <c r="G588">
        <f>IF($A588="","","#"&amp;TRIM(SUBSTITUTE(SUBSTITUTE(SUBSTITUTE(SUBSTITUTE(SUBSTITUTE(SUBSTITUTE($A588,"-",""),"(",""),")",""),".",""),"+","")," ","")))</f>
      </c>
    </row>
    <row r="589" spans="1:7" x14ac:dyDescent="0.3">
      <c r="A589" s="11"/>
      <c r="B589" s="38">
        <f>IF($A589="","",IFERROR(IF(INDEX(Pledges!$D$5:$D$2500,MATCH($G589,Pledges!$K$5:$K$2500,0))="","⚠ no amount on Pledges",IF(INDEX(Pledges!$B$5:$B$2500,MATCH($G589,Pledges!$K$5:$K$2500,0))="","",INDEX(Pledges!$B$5:$B$2500,MATCH($G589,Pledges!$K$5:$K$2500,0)))),"⚠ phone not in Pledges"))</f>
      </c>
      <c r="C589" s="12"/>
      <c r="D589" s="13"/>
      <c r="E589" s="22"/>
      <c r="F589" s="23"/>
      <c r="G589">
        <f>IF($A589="","","#"&amp;TRIM(SUBSTITUTE(SUBSTITUTE(SUBSTITUTE(SUBSTITUTE(SUBSTITUTE(SUBSTITUTE($A589,"-",""),"(",""),")",""),".",""),"+","")," ","")))</f>
      </c>
    </row>
    <row r="590" spans="1:7" x14ac:dyDescent="0.3">
      <c r="A590" s="11"/>
      <c r="B590" s="38">
        <f>IF($A590="","",IFERROR(IF(INDEX(Pledges!$D$5:$D$2500,MATCH($G590,Pledges!$K$5:$K$2500,0))="","⚠ no amount on Pledges",IF(INDEX(Pledges!$B$5:$B$2500,MATCH($G590,Pledges!$K$5:$K$2500,0))="","",INDEX(Pledges!$B$5:$B$2500,MATCH($G590,Pledges!$K$5:$K$2500,0)))),"⚠ phone not in Pledges"))</f>
      </c>
      <c r="C590" s="12"/>
      <c r="D590" s="13"/>
      <c r="E590" s="22"/>
      <c r="F590" s="23"/>
      <c r="G590">
        <f>IF($A590="","","#"&amp;TRIM(SUBSTITUTE(SUBSTITUTE(SUBSTITUTE(SUBSTITUTE(SUBSTITUTE(SUBSTITUTE($A590,"-",""),"(",""),")",""),".",""),"+","")," ","")))</f>
      </c>
    </row>
    <row r="591" spans="1:7" x14ac:dyDescent="0.3">
      <c r="A591" s="11"/>
      <c r="B591" s="38">
        <f>IF($A591="","",IFERROR(IF(INDEX(Pledges!$D$5:$D$2500,MATCH($G591,Pledges!$K$5:$K$2500,0))="","⚠ no amount on Pledges",IF(INDEX(Pledges!$B$5:$B$2500,MATCH($G591,Pledges!$K$5:$K$2500,0))="","",INDEX(Pledges!$B$5:$B$2500,MATCH($G591,Pledges!$K$5:$K$2500,0)))),"⚠ phone not in Pledges"))</f>
      </c>
      <c r="C591" s="12"/>
      <c r="D591" s="13"/>
      <c r="E591" s="22"/>
      <c r="F591" s="23"/>
      <c r="G591">
        <f>IF($A591="","","#"&amp;TRIM(SUBSTITUTE(SUBSTITUTE(SUBSTITUTE(SUBSTITUTE(SUBSTITUTE(SUBSTITUTE($A591,"-",""),"(",""),")",""),".",""),"+","")," ","")))</f>
      </c>
    </row>
    <row r="592" spans="1:7" x14ac:dyDescent="0.3">
      <c r="A592" s="11"/>
      <c r="B592" s="38">
        <f>IF($A592="","",IFERROR(IF(INDEX(Pledges!$D$5:$D$2500,MATCH($G592,Pledges!$K$5:$K$2500,0))="","⚠ no amount on Pledges",IF(INDEX(Pledges!$B$5:$B$2500,MATCH($G592,Pledges!$K$5:$K$2500,0))="","",INDEX(Pledges!$B$5:$B$2500,MATCH($G592,Pledges!$K$5:$K$2500,0)))),"⚠ phone not in Pledges"))</f>
      </c>
      <c r="C592" s="12"/>
      <c r="D592" s="13"/>
      <c r="E592" s="22"/>
      <c r="F592" s="23"/>
      <c r="G592">
        <f>IF($A592="","","#"&amp;TRIM(SUBSTITUTE(SUBSTITUTE(SUBSTITUTE(SUBSTITUTE(SUBSTITUTE(SUBSTITUTE($A592,"-",""),"(",""),")",""),".",""),"+","")," ","")))</f>
      </c>
    </row>
    <row r="593" spans="1:7" x14ac:dyDescent="0.3">
      <c r="A593" s="11"/>
      <c r="B593" s="38">
        <f>IF($A593="","",IFERROR(IF(INDEX(Pledges!$D$5:$D$2500,MATCH($G593,Pledges!$K$5:$K$2500,0))="","⚠ no amount on Pledges",IF(INDEX(Pledges!$B$5:$B$2500,MATCH($G593,Pledges!$K$5:$K$2500,0))="","",INDEX(Pledges!$B$5:$B$2500,MATCH($G593,Pledges!$K$5:$K$2500,0)))),"⚠ phone not in Pledges"))</f>
      </c>
      <c r="C593" s="12"/>
      <c r="D593" s="13"/>
      <c r="E593" s="22"/>
      <c r="F593" s="23"/>
      <c r="G593">
        <f>IF($A593="","","#"&amp;TRIM(SUBSTITUTE(SUBSTITUTE(SUBSTITUTE(SUBSTITUTE(SUBSTITUTE(SUBSTITUTE($A593,"-",""),"(",""),")",""),".",""),"+","")," ","")))</f>
      </c>
    </row>
    <row r="594" spans="1:7" x14ac:dyDescent="0.3">
      <c r="A594" s="11"/>
      <c r="B594" s="38">
        <f>IF($A594="","",IFERROR(IF(INDEX(Pledges!$D$5:$D$2500,MATCH($G594,Pledges!$K$5:$K$2500,0))="","⚠ no amount on Pledges",IF(INDEX(Pledges!$B$5:$B$2500,MATCH($G594,Pledges!$K$5:$K$2500,0))="","",INDEX(Pledges!$B$5:$B$2500,MATCH($G594,Pledges!$K$5:$K$2500,0)))),"⚠ phone not in Pledges"))</f>
      </c>
      <c r="C594" s="12"/>
      <c r="D594" s="13"/>
      <c r="E594" s="22"/>
      <c r="F594" s="23"/>
      <c r="G594">
        <f>IF($A594="","","#"&amp;TRIM(SUBSTITUTE(SUBSTITUTE(SUBSTITUTE(SUBSTITUTE(SUBSTITUTE(SUBSTITUTE($A594,"-",""),"(",""),")",""),".",""),"+","")," ","")))</f>
      </c>
    </row>
    <row r="595" spans="1:7" x14ac:dyDescent="0.3">
      <c r="A595" s="11"/>
      <c r="B595" s="38">
        <f>IF($A595="","",IFERROR(IF(INDEX(Pledges!$D$5:$D$2500,MATCH($G595,Pledges!$K$5:$K$2500,0))="","⚠ no amount on Pledges",IF(INDEX(Pledges!$B$5:$B$2500,MATCH($G595,Pledges!$K$5:$K$2500,0))="","",INDEX(Pledges!$B$5:$B$2500,MATCH($G595,Pledges!$K$5:$K$2500,0)))),"⚠ phone not in Pledges"))</f>
      </c>
      <c r="C595" s="12"/>
      <c r="D595" s="13"/>
      <c r="E595" s="22"/>
      <c r="F595" s="23"/>
      <c r="G595">
        <f>IF($A595="","","#"&amp;TRIM(SUBSTITUTE(SUBSTITUTE(SUBSTITUTE(SUBSTITUTE(SUBSTITUTE(SUBSTITUTE($A595,"-",""),"(",""),")",""),".",""),"+","")," ","")))</f>
      </c>
    </row>
    <row r="596" spans="1:7" x14ac:dyDescent="0.3">
      <c r="A596" s="11"/>
      <c r="B596" s="38">
        <f>IF($A596="","",IFERROR(IF(INDEX(Pledges!$D$5:$D$2500,MATCH($G596,Pledges!$K$5:$K$2500,0))="","⚠ no amount on Pledges",IF(INDEX(Pledges!$B$5:$B$2500,MATCH($G596,Pledges!$K$5:$K$2500,0))="","",INDEX(Pledges!$B$5:$B$2500,MATCH($G596,Pledges!$K$5:$K$2500,0)))),"⚠ phone not in Pledges"))</f>
      </c>
      <c r="C596" s="12"/>
      <c r="D596" s="13"/>
      <c r="E596" s="22"/>
      <c r="F596" s="23"/>
      <c r="G596">
        <f>IF($A596="","","#"&amp;TRIM(SUBSTITUTE(SUBSTITUTE(SUBSTITUTE(SUBSTITUTE(SUBSTITUTE(SUBSTITUTE($A596,"-",""),"(",""),")",""),".",""),"+","")," ","")))</f>
      </c>
    </row>
    <row r="597" spans="1:7" x14ac:dyDescent="0.3">
      <c r="A597" s="11"/>
      <c r="B597" s="38">
        <f>IF($A597="","",IFERROR(IF(INDEX(Pledges!$D$5:$D$2500,MATCH($G597,Pledges!$K$5:$K$2500,0))="","⚠ no amount on Pledges",IF(INDEX(Pledges!$B$5:$B$2500,MATCH($G597,Pledges!$K$5:$K$2500,0))="","",INDEX(Pledges!$B$5:$B$2500,MATCH($G597,Pledges!$K$5:$K$2500,0)))),"⚠ phone not in Pledges"))</f>
      </c>
      <c r="C597" s="12"/>
      <c r="D597" s="13"/>
      <c r="E597" s="22"/>
      <c r="F597" s="23"/>
      <c r="G597">
        <f>IF($A597="","","#"&amp;TRIM(SUBSTITUTE(SUBSTITUTE(SUBSTITUTE(SUBSTITUTE(SUBSTITUTE(SUBSTITUTE($A597,"-",""),"(",""),")",""),".",""),"+","")," ","")))</f>
      </c>
    </row>
    <row r="598" spans="1:7" x14ac:dyDescent="0.3">
      <c r="A598" s="11"/>
      <c r="B598" s="38">
        <f>IF($A598="","",IFERROR(IF(INDEX(Pledges!$D$5:$D$2500,MATCH($G598,Pledges!$K$5:$K$2500,0))="","⚠ no amount on Pledges",IF(INDEX(Pledges!$B$5:$B$2500,MATCH($G598,Pledges!$K$5:$K$2500,0))="","",INDEX(Pledges!$B$5:$B$2500,MATCH($G598,Pledges!$K$5:$K$2500,0)))),"⚠ phone not in Pledges"))</f>
      </c>
      <c r="C598" s="12"/>
      <c r="D598" s="13"/>
      <c r="E598" s="22"/>
      <c r="F598" s="23"/>
      <c r="G598">
        <f>IF($A598="","","#"&amp;TRIM(SUBSTITUTE(SUBSTITUTE(SUBSTITUTE(SUBSTITUTE(SUBSTITUTE(SUBSTITUTE($A598,"-",""),"(",""),")",""),".",""),"+","")," ","")))</f>
      </c>
    </row>
    <row r="599" spans="1:7" x14ac:dyDescent="0.3">
      <c r="A599" s="11"/>
      <c r="B599" s="38">
        <f>IF($A599="","",IFERROR(IF(INDEX(Pledges!$D$5:$D$2500,MATCH($G599,Pledges!$K$5:$K$2500,0))="","⚠ no amount on Pledges",IF(INDEX(Pledges!$B$5:$B$2500,MATCH($G599,Pledges!$K$5:$K$2500,0))="","",INDEX(Pledges!$B$5:$B$2500,MATCH($G599,Pledges!$K$5:$K$2500,0)))),"⚠ phone not in Pledges"))</f>
      </c>
      <c r="C599" s="12"/>
      <c r="D599" s="13"/>
      <c r="E599" s="22"/>
      <c r="F599" s="23"/>
      <c r="G599">
        <f>IF($A599="","","#"&amp;TRIM(SUBSTITUTE(SUBSTITUTE(SUBSTITUTE(SUBSTITUTE(SUBSTITUTE(SUBSTITUTE($A599,"-",""),"(",""),")",""),".",""),"+","")," ","")))</f>
      </c>
    </row>
    <row r="600" spans="1:7" x14ac:dyDescent="0.3">
      <c r="A600" s="11"/>
      <c r="B600" s="38">
        <f>IF($A600="","",IFERROR(IF(INDEX(Pledges!$D$5:$D$2500,MATCH($G600,Pledges!$K$5:$K$2500,0))="","⚠ no amount on Pledges",IF(INDEX(Pledges!$B$5:$B$2500,MATCH($G600,Pledges!$K$5:$K$2500,0))="","",INDEX(Pledges!$B$5:$B$2500,MATCH($G600,Pledges!$K$5:$K$2500,0)))),"⚠ phone not in Pledges"))</f>
      </c>
      <c r="C600" s="12"/>
      <c r="D600" s="13"/>
      <c r="E600" s="22"/>
      <c r="F600" s="23"/>
      <c r="G600">
        <f>IF($A600="","","#"&amp;TRIM(SUBSTITUTE(SUBSTITUTE(SUBSTITUTE(SUBSTITUTE(SUBSTITUTE(SUBSTITUTE($A600,"-",""),"(",""),")",""),".",""),"+","")," ","")))</f>
      </c>
    </row>
    <row r="601" spans="1:7" x14ac:dyDescent="0.3">
      <c r="A601" s="11"/>
      <c r="B601" s="38">
        <f>IF($A601="","",IFERROR(IF(INDEX(Pledges!$D$5:$D$2500,MATCH($G601,Pledges!$K$5:$K$2500,0))="","⚠ no amount on Pledges",IF(INDEX(Pledges!$B$5:$B$2500,MATCH($G601,Pledges!$K$5:$K$2500,0))="","",INDEX(Pledges!$B$5:$B$2500,MATCH($G601,Pledges!$K$5:$K$2500,0)))),"⚠ phone not in Pledges"))</f>
      </c>
      <c r="C601" s="12"/>
      <c r="D601" s="13"/>
      <c r="E601" s="22"/>
      <c r="F601" s="23"/>
      <c r="G601">
        <f>IF($A601="","","#"&amp;TRIM(SUBSTITUTE(SUBSTITUTE(SUBSTITUTE(SUBSTITUTE(SUBSTITUTE(SUBSTITUTE($A601,"-",""),"(",""),")",""),".",""),"+","")," ","")))</f>
      </c>
    </row>
    <row r="602" spans="1:7" x14ac:dyDescent="0.3">
      <c r="A602" s="11"/>
      <c r="B602" s="38">
        <f>IF($A602="","",IFERROR(IF(INDEX(Pledges!$D$5:$D$2500,MATCH($G602,Pledges!$K$5:$K$2500,0))="","⚠ no amount on Pledges",IF(INDEX(Pledges!$B$5:$B$2500,MATCH($G602,Pledges!$K$5:$K$2500,0))="","",INDEX(Pledges!$B$5:$B$2500,MATCH($G602,Pledges!$K$5:$K$2500,0)))),"⚠ phone not in Pledges"))</f>
      </c>
      <c r="C602" s="12"/>
      <c r="D602" s="13"/>
      <c r="E602" s="22"/>
      <c r="F602" s="23"/>
      <c r="G602">
        <f>IF($A602="","","#"&amp;TRIM(SUBSTITUTE(SUBSTITUTE(SUBSTITUTE(SUBSTITUTE(SUBSTITUTE(SUBSTITUTE($A602,"-",""),"(",""),")",""),".",""),"+","")," ","")))</f>
      </c>
    </row>
    <row r="603" spans="1:7" x14ac:dyDescent="0.3">
      <c r="A603" s="11"/>
      <c r="B603" s="38">
        <f>IF($A603="","",IFERROR(IF(INDEX(Pledges!$D$5:$D$2500,MATCH($G603,Pledges!$K$5:$K$2500,0))="","⚠ no amount on Pledges",IF(INDEX(Pledges!$B$5:$B$2500,MATCH($G603,Pledges!$K$5:$K$2500,0))="","",INDEX(Pledges!$B$5:$B$2500,MATCH($G603,Pledges!$K$5:$K$2500,0)))),"⚠ phone not in Pledges"))</f>
      </c>
      <c r="C603" s="12"/>
      <c r="D603" s="13"/>
      <c r="E603" s="22"/>
      <c r="F603" s="23"/>
      <c r="G603">
        <f>IF($A603="","","#"&amp;TRIM(SUBSTITUTE(SUBSTITUTE(SUBSTITUTE(SUBSTITUTE(SUBSTITUTE(SUBSTITUTE($A603,"-",""),"(",""),")",""),".",""),"+","")," ","")))</f>
      </c>
    </row>
    <row r="604" spans="1:7" x14ac:dyDescent="0.3">
      <c r="A604" s="11"/>
      <c r="B604" s="38">
        <f>IF($A604="","",IFERROR(IF(INDEX(Pledges!$D$5:$D$2500,MATCH($G604,Pledges!$K$5:$K$2500,0))="","⚠ no amount on Pledges",IF(INDEX(Pledges!$B$5:$B$2500,MATCH($G604,Pledges!$K$5:$K$2500,0))="","",INDEX(Pledges!$B$5:$B$2500,MATCH($G604,Pledges!$K$5:$K$2500,0)))),"⚠ phone not in Pledges"))</f>
      </c>
      <c r="C604" s="12"/>
      <c r="D604" s="13"/>
      <c r="E604" s="22"/>
      <c r="F604" s="23"/>
      <c r="G604">
        <f>IF($A604="","","#"&amp;TRIM(SUBSTITUTE(SUBSTITUTE(SUBSTITUTE(SUBSTITUTE(SUBSTITUTE(SUBSTITUTE($A604,"-",""),"(",""),")",""),".",""),"+","")," ","")))</f>
      </c>
    </row>
    <row r="605" spans="1:7" x14ac:dyDescent="0.3">
      <c r="A605" s="11"/>
      <c r="B605" s="38">
        <f>IF($A605="","",IFERROR(IF(INDEX(Pledges!$D$5:$D$2500,MATCH($G605,Pledges!$K$5:$K$2500,0))="","⚠ no amount on Pledges",IF(INDEX(Pledges!$B$5:$B$2500,MATCH($G605,Pledges!$K$5:$K$2500,0))="","",INDEX(Pledges!$B$5:$B$2500,MATCH($G605,Pledges!$K$5:$K$2500,0)))),"⚠ phone not in Pledges"))</f>
      </c>
      <c r="C605" s="12"/>
      <c r="D605" s="13"/>
      <c r="E605" s="22"/>
      <c r="F605" s="23"/>
      <c r="G605">
        <f>IF($A605="","","#"&amp;TRIM(SUBSTITUTE(SUBSTITUTE(SUBSTITUTE(SUBSTITUTE(SUBSTITUTE(SUBSTITUTE($A605,"-",""),"(",""),")",""),".",""),"+","")," ","")))</f>
      </c>
    </row>
    <row r="606" spans="1:7" x14ac:dyDescent="0.3">
      <c r="A606" s="11"/>
      <c r="B606" s="38">
        <f>IF($A606="","",IFERROR(IF(INDEX(Pledges!$D$5:$D$2500,MATCH($G606,Pledges!$K$5:$K$2500,0))="","⚠ no amount on Pledges",IF(INDEX(Pledges!$B$5:$B$2500,MATCH($G606,Pledges!$K$5:$K$2500,0))="","",INDEX(Pledges!$B$5:$B$2500,MATCH($G606,Pledges!$K$5:$K$2500,0)))),"⚠ phone not in Pledges"))</f>
      </c>
      <c r="C606" s="12"/>
      <c r="D606" s="13"/>
      <c r="E606" s="22"/>
      <c r="F606" s="23"/>
      <c r="G606">
        <f>IF($A606="","","#"&amp;TRIM(SUBSTITUTE(SUBSTITUTE(SUBSTITUTE(SUBSTITUTE(SUBSTITUTE(SUBSTITUTE($A606,"-",""),"(",""),")",""),".",""),"+","")," ","")))</f>
      </c>
    </row>
    <row r="607" spans="1:7" x14ac:dyDescent="0.3">
      <c r="A607" s="11"/>
      <c r="B607" s="38">
        <f>IF($A607="","",IFERROR(IF(INDEX(Pledges!$D$5:$D$2500,MATCH($G607,Pledges!$K$5:$K$2500,0))="","⚠ no amount on Pledges",IF(INDEX(Pledges!$B$5:$B$2500,MATCH($G607,Pledges!$K$5:$K$2500,0))="","",INDEX(Pledges!$B$5:$B$2500,MATCH($G607,Pledges!$K$5:$K$2500,0)))),"⚠ phone not in Pledges"))</f>
      </c>
      <c r="C607" s="12"/>
      <c r="D607" s="13"/>
      <c r="E607" s="22"/>
      <c r="F607" s="23"/>
      <c r="G607">
        <f>IF($A607="","","#"&amp;TRIM(SUBSTITUTE(SUBSTITUTE(SUBSTITUTE(SUBSTITUTE(SUBSTITUTE(SUBSTITUTE($A607,"-",""),"(",""),")",""),".",""),"+","")," ","")))</f>
      </c>
    </row>
    <row r="608" spans="1:7" x14ac:dyDescent="0.3">
      <c r="A608" s="11"/>
      <c r="B608" s="38">
        <f>IF($A608="","",IFERROR(IF(INDEX(Pledges!$D$5:$D$2500,MATCH($G608,Pledges!$K$5:$K$2500,0))="","⚠ no amount on Pledges",IF(INDEX(Pledges!$B$5:$B$2500,MATCH($G608,Pledges!$K$5:$K$2500,0))="","",INDEX(Pledges!$B$5:$B$2500,MATCH($G608,Pledges!$K$5:$K$2500,0)))),"⚠ phone not in Pledges"))</f>
      </c>
      <c r="C608" s="12"/>
      <c r="D608" s="13"/>
      <c r="E608" s="22"/>
      <c r="F608" s="23"/>
      <c r="G608">
        <f>IF($A608="","","#"&amp;TRIM(SUBSTITUTE(SUBSTITUTE(SUBSTITUTE(SUBSTITUTE(SUBSTITUTE(SUBSTITUTE($A608,"-",""),"(",""),")",""),".",""),"+","")," ","")))</f>
      </c>
    </row>
    <row r="609" spans="1:7" x14ac:dyDescent="0.3">
      <c r="A609" s="11"/>
      <c r="B609" s="38">
        <f>IF($A609="","",IFERROR(IF(INDEX(Pledges!$D$5:$D$2500,MATCH($G609,Pledges!$K$5:$K$2500,0))="","⚠ no amount on Pledges",IF(INDEX(Pledges!$B$5:$B$2500,MATCH($G609,Pledges!$K$5:$K$2500,0))="","",INDEX(Pledges!$B$5:$B$2500,MATCH($G609,Pledges!$K$5:$K$2500,0)))),"⚠ phone not in Pledges"))</f>
      </c>
      <c r="C609" s="12"/>
      <c r="D609" s="13"/>
      <c r="E609" s="22"/>
      <c r="F609" s="23"/>
      <c r="G609">
        <f>IF($A609="","","#"&amp;TRIM(SUBSTITUTE(SUBSTITUTE(SUBSTITUTE(SUBSTITUTE(SUBSTITUTE(SUBSTITUTE($A609,"-",""),"(",""),")",""),".",""),"+","")," ","")))</f>
      </c>
    </row>
    <row r="610" spans="1:7" x14ac:dyDescent="0.3">
      <c r="A610" s="11"/>
      <c r="B610" s="38">
        <f>IF($A610="","",IFERROR(IF(INDEX(Pledges!$D$5:$D$2500,MATCH($G610,Pledges!$K$5:$K$2500,0))="","⚠ no amount on Pledges",IF(INDEX(Pledges!$B$5:$B$2500,MATCH($G610,Pledges!$K$5:$K$2500,0))="","",INDEX(Pledges!$B$5:$B$2500,MATCH($G610,Pledges!$K$5:$K$2500,0)))),"⚠ phone not in Pledges"))</f>
      </c>
      <c r="C610" s="12"/>
      <c r="D610" s="13"/>
      <c r="E610" s="22"/>
      <c r="F610" s="23"/>
      <c r="G610">
        <f>IF($A610="","","#"&amp;TRIM(SUBSTITUTE(SUBSTITUTE(SUBSTITUTE(SUBSTITUTE(SUBSTITUTE(SUBSTITUTE($A610,"-",""),"(",""),")",""),".",""),"+","")," ","")))</f>
      </c>
    </row>
    <row r="611" spans="1:7" x14ac:dyDescent="0.3">
      <c r="A611" s="11"/>
      <c r="B611" s="38">
        <f>IF($A611="","",IFERROR(IF(INDEX(Pledges!$D$5:$D$2500,MATCH($G611,Pledges!$K$5:$K$2500,0))="","⚠ no amount on Pledges",IF(INDEX(Pledges!$B$5:$B$2500,MATCH($G611,Pledges!$K$5:$K$2500,0))="","",INDEX(Pledges!$B$5:$B$2500,MATCH($G611,Pledges!$K$5:$K$2500,0)))),"⚠ phone not in Pledges"))</f>
      </c>
      <c r="C611" s="12"/>
      <c r="D611" s="13"/>
      <c r="E611" s="22"/>
      <c r="F611" s="23"/>
      <c r="G611">
        <f>IF($A611="","","#"&amp;TRIM(SUBSTITUTE(SUBSTITUTE(SUBSTITUTE(SUBSTITUTE(SUBSTITUTE(SUBSTITUTE($A611,"-",""),"(",""),")",""),".",""),"+","")," ","")))</f>
      </c>
    </row>
    <row r="612" spans="1:7" x14ac:dyDescent="0.3">
      <c r="A612" s="11"/>
      <c r="B612" s="38">
        <f>IF($A612="","",IFERROR(IF(INDEX(Pledges!$D$5:$D$2500,MATCH($G612,Pledges!$K$5:$K$2500,0))="","⚠ no amount on Pledges",IF(INDEX(Pledges!$B$5:$B$2500,MATCH($G612,Pledges!$K$5:$K$2500,0))="","",INDEX(Pledges!$B$5:$B$2500,MATCH($G612,Pledges!$K$5:$K$2500,0)))),"⚠ phone not in Pledges"))</f>
      </c>
      <c r="C612" s="12"/>
      <c r="D612" s="13"/>
      <c r="E612" s="22"/>
      <c r="F612" s="23"/>
      <c r="G612">
        <f>IF($A612="","","#"&amp;TRIM(SUBSTITUTE(SUBSTITUTE(SUBSTITUTE(SUBSTITUTE(SUBSTITUTE(SUBSTITUTE($A612,"-",""),"(",""),")",""),".",""),"+","")," ","")))</f>
      </c>
    </row>
    <row r="613" spans="1:7" x14ac:dyDescent="0.3">
      <c r="A613" s="11"/>
      <c r="B613" s="38">
        <f>IF($A613="","",IFERROR(IF(INDEX(Pledges!$D$5:$D$2500,MATCH($G613,Pledges!$K$5:$K$2500,0))="","⚠ no amount on Pledges",IF(INDEX(Pledges!$B$5:$B$2500,MATCH($G613,Pledges!$K$5:$K$2500,0))="","",INDEX(Pledges!$B$5:$B$2500,MATCH($G613,Pledges!$K$5:$K$2500,0)))),"⚠ phone not in Pledges"))</f>
      </c>
      <c r="C613" s="12"/>
      <c r="D613" s="13"/>
      <c r="E613" s="22"/>
      <c r="F613" s="23"/>
      <c r="G613">
        <f>IF($A613="","","#"&amp;TRIM(SUBSTITUTE(SUBSTITUTE(SUBSTITUTE(SUBSTITUTE(SUBSTITUTE(SUBSTITUTE($A613,"-",""),"(",""),")",""),".",""),"+","")," ","")))</f>
      </c>
    </row>
    <row r="614" spans="1:7" x14ac:dyDescent="0.3">
      <c r="A614" s="11"/>
      <c r="B614" s="38">
        <f>IF($A614="","",IFERROR(IF(INDEX(Pledges!$D$5:$D$2500,MATCH($G614,Pledges!$K$5:$K$2500,0))="","⚠ no amount on Pledges",IF(INDEX(Pledges!$B$5:$B$2500,MATCH($G614,Pledges!$K$5:$K$2500,0))="","",INDEX(Pledges!$B$5:$B$2500,MATCH($G614,Pledges!$K$5:$K$2500,0)))),"⚠ phone not in Pledges"))</f>
      </c>
      <c r="C614" s="12"/>
      <c r="D614" s="13"/>
      <c r="E614" s="22"/>
      <c r="F614" s="23"/>
      <c r="G614">
        <f>IF($A614="","","#"&amp;TRIM(SUBSTITUTE(SUBSTITUTE(SUBSTITUTE(SUBSTITUTE(SUBSTITUTE(SUBSTITUTE($A614,"-",""),"(",""),")",""),".",""),"+","")," ","")))</f>
      </c>
    </row>
    <row r="615" spans="1:7" x14ac:dyDescent="0.3">
      <c r="A615" s="11"/>
      <c r="B615" s="38">
        <f>IF($A615="","",IFERROR(IF(INDEX(Pledges!$D$5:$D$2500,MATCH($G615,Pledges!$K$5:$K$2500,0))="","⚠ no amount on Pledges",IF(INDEX(Pledges!$B$5:$B$2500,MATCH($G615,Pledges!$K$5:$K$2500,0))="","",INDEX(Pledges!$B$5:$B$2500,MATCH($G615,Pledges!$K$5:$K$2500,0)))),"⚠ phone not in Pledges"))</f>
      </c>
      <c r="C615" s="12"/>
      <c r="D615" s="13"/>
      <c r="E615" s="22"/>
      <c r="F615" s="23"/>
      <c r="G615">
        <f>IF($A615="","","#"&amp;TRIM(SUBSTITUTE(SUBSTITUTE(SUBSTITUTE(SUBSTITUTE(SUBSTITUTE(SUBSTITUTE($A615,"-",""),"(",""),")",""),".",""),"+","")," ","")))</f>
      </c>
    </row>
    <row r="616" spans="1:7" x14ac:dyDescent="0.3">
      <c r="A616" s="11"/>
      <c r="B616" s="38">
        <f>IF($A616="","",IFERROR(IF(INDEX(Pledges!$D$5:$D$2500,MATCH($G616,Pledges!$K$5:$K$2500,0))="","⚠ no amount on Pledges",IF(INDEX(Pledges!$B$5:$B$2500,MATCH($G616,Pledges!$K$5:$K$2500,0))="","",INDEX(Pledges!$B$5:$B$2500,MATCH($G616,Pledges!$K$5:$K$2500,0)))),"⚠ phone not in Pledges"))</f>
      </c>
      <c r="C616" s="12"/>
      <c r="D616" s="13"/>
      <c r="E616" s="22"/>
      <c r="F616" s="23"/>
      <c r="G616">
        <f>IF($A616="","","#"&amp;TRIM(SUBSTITUTE(SUBSTITUTE(SUBSTITUTE(SUBSTITUTE(SUBSTITUTE(SUBSTITUTE($A616,"-",""),"(",""),")",""),".",""),"+","")," ","")))</f>
      </c>
    </row>
    <row r="617" spans="1:7" x14ac:dyDescent="0.3">
      <c r="A617" s="11"/>
      <c r="B617" s="38">
        <f>IF($A617="","",IFERROR(IF(INDEX(Pledges!$D$5:$D$2500,MATCH($G617,Pledges!$K$5:$K$2500,0))="","⚠ no amount on Pledges",IF(INDEX(Pledges!$B$5:$B$2500,MATCH($G617,Pledges!$K$5:$K$2500,0))="","",INDEX(Pledges!$B$5:$B$2500,MATCH($G617,Pledges!$K$5:$K$2500,0)))),"⚠ phone not in Pledges"))</f>
      </c>
      <c r="C617" s="12"/>
      <c r="D617" s="13"/>
      <c r="E617" s="22"/>
      <c r="F617" s="23"/>
      <c r="G617">
        <f>IF($A617="","","#"&amp;TRIM(SUBSTITUTE(SUBSTITUTE(SUBSTITUTE(SUBSTITUTE(SUBSTITUTE(SUBSTITUTE($A617,"-",""),"(",""),")",""),".",""),"+","")," ","")))</f>
      </c>
    </row>
    <row r="618" spans="1:7" x14ac:dyDescent="0.3">
      <c r="A618" s="11"/>
      <c r="B618" s="38">
        <f>IF($A618="","",IFERROR(IF(INDEX(Pledges!$D$5:$D$2500,MATCH($G618,Pledges!$K$5:$K$2500,0))="","⚠ no amount on Pledges",IF(INDEX(Pledges!$B$5:$B$2500,MATCH($G618,Pledges!$K$5:$K$2500,0))="","",INDEX(Pledges!$B$5:$B$2500,MATCH($G618,Pledges!$K$5:$K$2500,0)))),"⚠ phone not in Pledges"))</f>
      </c>
      <c r="C618" s="12"/>
      <c r="D618" s="13"/>
      <c r="E618" s="22"/>
      <c r="F618" s="23"/>
      <c r="G618">
        <f>IF($A618="","","#"&amp;TRIM(SUBSTITUTE(SUBSTITUTE(SUBSTITUTE(SUBSTITUTE(SUBSTITUTE(SUBSTITUTE($A618,"-",""),"(",""),")",""),".",""),"+","")," ","")))</f>
      </c>
    </row>
    <row r="619" spans="1:7" x14ac:dyDescent="0.3">
      <c r="A619" s="11"/>
      <c r="B619" s="38">
        <f>IF($A619="","",IFERROR(IF(INDEX(Pledges!$D$5:$D$2500,MATCH($G619,Pledges!$K$5:$K$2500,0))="","⚠ no amount on Pledges",IF(INDEX(Pledges!$B$5:$B$2500,MATCH($G619,Pledges!$K$5:$K$2500,0))="","",INDEX(Pledges!$B$5:$B$2500,MATCH($G619,Pledges!$K$5:$K$2500,0)))),"⚠ phone not in Pledges"))</f>
      </c>
      <c r="C619" s="12"/>
      <c r="D619" s="13"/>
      <c r="E619" s="22"/>
      <c r="F619" s="23"/>
      <c r="G619">
        <f>IF($A619="","","#"&amp;TRIM(SUBSTITUTE(SUBSTITUTE(SUBSTITUTE(SUBSTITUTE(SUBSTITUTE(SUBSTITUTE($A619,"-",""),"(",""),")",""),".",""),"+","")," ","")))</f>
      </c>
    </row>
    <row r="620" spans="1:7" x14ac:dyDescent="0.3">
      <c r="A620" s="11"/>
      <c r="B620" s="38">
        <f>IF($A620="","",IFERROR(IF(INDEX(Pledges!$D$5:$D$2500,MATCH($G620,Pledges!$K$5:$K$2500,0))="","⚠ no amount on Pledges",IF(INDEX(Pledges!$B$5:$B$2500,MATCH($G620,Pledges!$K$5:$K$2500,0))="","",INDEX(Pledges!$B$5:$B$2500,MATCH($G620,Pledges!$K$5:$K$2500,0)))),"⚠ phone not in Pledges"))</f>
      </c>
      <c r="C620" s="12"/>
      <c r="D620" s="13"/>
      <c r="E620" s="22"/>
      <c r="F620" s="23"/>
      <c r="G620">
        <f>IF($A620="","","#"&amp;TRIM(SUBSTITUTE(SUBSTITUTE(SUBSTITUTE(SUBSTITUTE(SUBSTITUTE(SUBSTITUTE($A620,"-",""),"(",""),")",""),".",""),"+","")," ","")))</f>
      </c>
    </row>
    <row r="621" spans="1:7" x14ac:dyDescent="0.3">
      <c r="A621" s="11"/>
      <c r="B621" s="38">
        <f>IF($A621="","",IFERROR(IF(INDEX(Pledges!$D$5:$D$2500,MATCH($G621,Pledges!$K$5:$K$2500,0))="","⚠ no amount on Pledges",IF(INDEX(Pledges!$B$5:$B$2500,MATCH($G621,Pledges!$K$5:$K$2500,0))="","",INDEX(Pledges!$B$5:$B$2500,MATCH($G621,Pledges!$K$5:$K$2500,0)))),"⚠ phone not in Pledges"))</f>
      </c>
      <c r="C621" s="12"/>
      <c r="D621" s="13"/>
      <c r="E621" s="22"/>
      <c r="F621" s="23"/>
      <c r="G621">
        <f>IF($A621="","","#"&amp;TRIM(SUBSTITUTE(SUBSTITUTE(SUBSTITUTE(SUBSTITUTE(SUBSTITUTE(SUBSTITUTE($A621,"-",""),"(",""),")",""),".",""),"+","")," ","")))</f>
      </c>
    </row>
    <row r="622" spans="1:7" x14ac:dyDescent="0.3">
      <c r="A622" s="11"/>
      <c r="B622" s="38">
        <f>IF($A622="","",IFERROR(IF(INDEX(Pledges!$D$5:$D$2500,MATCH($G622,Pledges!$K$5:$K$2500,0))="","⚠ no amount on Pledges",IF(INDEX(Pledges!$B$5:$B$2500,MATCH($G622,Pledges!$K$5:$K$2500,0))="","",INDEX(Pledges!$B$5:$B$2500,MATCH($G622,Pledges!$K$5:$K$2500,0)))),"⚠ phone not in Pledges"))</f>
      </c>
      <c r="C622" s="12"/>
      <c r="D622" s="13"/>
      <c r="E622" s="22"/>
      <c r="F622" s="23"/>
      <c r="G622">
        <f>IF($A622="","","#"&amp;TRIM(SUBSTITUTE(SUBSTITUTE(SUBSTITUTE(SUBSTITUTE(SUBSTITUTE(SUBSTITUTE($A622,"-",""),"(",""),")",""),".",""),"+","")," ","")))</f>
      </c>
    </row>
    <row r="623" spans="1:7" x14ac:dyDescent="0.3">
      <c r="A623" s="11"/>
      <c r="B623" s="38">
        <f>IF($A623="","",IFERROR(IF(INDEX(Pledges!$D$5:$D$2500,MATCH($G623,Pledges!$K$5:$K$2500,0))="","⚠ no amount on Pledges",IF(INDEX(Pledges!$B$5:$B$2500,MATCH($G623,Pledges!$K$5:$K$2500,0))="","",INDEX(Pledges!$B$5:$B$2500,MATCH($G623,Pledges!$K$5:$K$2500,0)))),"⚠ phone not in Pledges"))</f>
      </c>
      <c r="C623" s="12"/>
      <c r="D623" s="13"/>
      <c r="E623" s="22"/>
      <c r="F623" s="23"/>
      <c r="G623">
        <f>IF($A623="","","#"&amp;TRIM(SUBSTITUTE(SUBSTITUTE(SUBSTITUTE(SUBSTITUTE(SUBSTITUTE(SUBSTITUTE($A623,"-",""),"(",""),")",""),".",""),"+","")," ","")))</f>
      </c>
    </row>
    <row r="624" spans="1:7" x14ac:dyDescent="0.3">
      <c r="A624" s="11"/>
      <c r="B624" s="38">
        <f>IF($A624="","",IFERROR(IF(INDEX(Pledges!$D$5:$D$2500,MATCH($G624,Pledges!$K$5:$K$2500,0))="","⚠ no amount on Pledges",IF(INDEX(Pledges!$B$5:$B$2500,MATCH($G624,Pledges!$K$5:$K$2500,0))="","",INDEX(Pledges!$B$5:$B$2500,MATCH($G624,Pledges!$K$5:$K$2500,0)))),"⚠ phone not in Pledges"))</f>
      </c>
      <c r="C624" s="12"/>
      <c r="D624" s="13"/>
      <c r="E624" s="22"/>
      <c r="F624" s="23"/>
      <c r="G624">
        <f>IF($A624="","","#"&amp;TRIM(SUBSTITUTE(SUBSTITUTE(SUBSTITUTE(SUBSTITUTE(SUBSTITUTE(SUBSTITUTE($A624,"-",""),"(",""),")",""),".",""),"+","")," ","")))</f>
      </c>
    </row>
    <row r="625" spans="1:7" x14ac:dyDescent="0.3">
      <c r="A625" s="11"/>
      <c r="B625" s="38">
        <f>IF($A625="","",IFERROR(IF(INDEX(Pledges!$D$5:$D$2500,MATCH($G625,Pledges!$K$5:$K$2500,0))="","⚠ no amount on Pledges",IF(INDEX(Pledges!$B$5:$B$2500,MATCH($G625,Pledges!$K$5:$K$2500,0))="","",INDEX(Pledges!$B$5:$B$2500,MATCH($G625,Pledges!$K$5:$K$2500,0)))),"⚠ phone not in Pledges"))</f>
      </c>
      <c r="C625" s="12"/>
      <c r="D625" s="13"/>
      <c r="E625" s="22"/>
      <c r="F625" s="23"/>
      <c r="G625">
        <f>IF($A625="","","#"&amp;TRIM(SUBSTITUTE(SUBSTITUTE(SUBSTITUTE(SUBSTITUTE(SUBSTITUTE(SUBSTITUTE($A625,"-",""),"(",""),")",""),".",""),"+","")," ","")))</f>
      </c>
    </row>
    <row r="626" spans="1:7" x14ac:dyDescent="0.3">
      <c r="A626" s="11"/>
      <c r="B626" s="38">
        <f>IF($A626="","",IFERROR(IF(INDEX(Pledges!$D$5:$D$2500,MATCH($G626,Pledges!$K$5:$K$2500,0))="","⚠ no amount on Pledges",IF(INDEX(Pledges!$B$5:$B$2500,MATCH($G626,Pledges!$K$5:$K$2500,0))="","",INDEX(Pledges!$B$5:$B$2500,MATCH($G626,Pledges!$K$5:$K$2500,0)))),"⚠ phone not in Pledges"))</f>
      </c>
      <c r="C626" s="12"/>
      <c r="D626" s="13"/>
      <c r="E626" s="22"/>
      <c r="F626" s="23"/>
      <c r="G626">
        <f>IF($A626="","","#"&amp;TRIM(SUBSTITUTE(SUBSTITUTE(SUBSTITUTE(SUBSTITUTE(SUBSTITUTE(SUBSTITUTE($A626,"-",""),"(",""),")",""),".",""),"+","")," ","")))</f>
      </c>
    </row>
    <row r="627" spans="1:7" x14ac:dyDescent="0.3">
      <c r="A627" s="11"/>
      <c r="B627" s="38">
        <f>IF($A627="","",IFERROR(IF(INDEX(Pledges!$D$5:$D$2500,MATCH($G627,Pledges!$K$5:$K$2500,0))="","⚠ no amount on Pledges",IF(INDEX(Pledges!$B$5:$B$2500,MATCH($G627,Pledges!$K$5:$K$2500,0))="","",INDEX(Pledges!$B$5:$B$2500,MATCH($G627,Pledges!$K$5:$K$2500,0)))),"⚠ phone not in Pledges"))</f>
      </c>
      <c r="C627" s="12"/>
      <c r="D627" s="13"/>
      <c r="E627" s="22"/>
      <c r="F627" s="23"/>
      <c r="G627">
        <f>IF($A627="","","#"&amp;TRIM(SUBSTITUTE(SUBSTITUTE(SUBSTITUTE(SUBSTITUTE(SUBSTITUTE(SUBSTITUTE($A627,"-",""),"(",""),")",""),".",""),"+","")," ","")))</f>
      </c>
    </row>
    <row r="628" spans="1:7" x14ac:dyDescent="0.3">
      <c r="A628" s="11"/>
      <c r="B628" s="38">
        <f>IF($A628="","",IFERROR(IF(INDEX(Pledges!$D$5:$D$2500,MATCH($G628,Pledges!$K$5:$K$2500,0))="","⚠ no amount on Pledges",IF(INDEX(Pledges!$B$5:$B$2500,MATCH($G628,Pledges!$K$5:$K$2500,0))="","",INDEX(Pledges!$B$5:$B$2500,MATCH($G628,Pledges!$K$5:$K$2500,0)))),"⚠ phone not in Pledges"))</f>
      </c>
      <c r="C628" s="12"/>
      <c r="D628" s="13"/>
      <c r="E628" s="22"/>
      <c r="F628" s="23"/>
      <c r="G628">
        <f>IF($A628="","","#"&amp;TRIM(SUBSTITUTE(SUBSTITUTE(SUBSTITUTE(SUBSTITUTE(SUBSTITUTE(SUBSTITUTE($A628,"-",""),"(",""),")",""),".",""),"+","")," ","")))</f>
      </c>
    </row>
    <row r="629" spans="1:7" x14ac:dyDescent="0.3">
      <c r="A629" s="11"/>
      <c r="B629" s="38">
        <f>IF($A629="","",IFERROR(IF(INDEX(Pledges!$D$5:$D$2500,MATCH($G629,Pledges!$K$5:$K$2500,0))="","⚠ no amount on Pledges",IF(INDEX(Pledges!$B$5:$B$2500,MATCH($G629,Pledges!$K$5:$K$2500,0))="","",INDEX(Pledges!$B$5:$B$2500,MATCH($G629,Pledges!$K$5:$K$2500,0)))),"⚠ phone not in Pledges"))</f>
      </c>
      <c r="C629" s="12"/>
      <c r="D629" s="13"/>
      <c r="E629" s="22"/>
      <c r="F629" s="23"/>
      <c r="G629">
        <f>IF($A629="","","#"&amp;TRIM(SUBSTITUTE(SUBSTITUTE(SUBSTITUTE(SUBSTITUTE(SUBSTITUTE(SUBSTITUTE($A629,"-",""),"(",""),")",""),".",""),"+","")," ","")))</f>
      </c>
    </row>
    <row r="630" spans="1:7" x14ac:dyDescent="0.3">
      <c r="A630" s="11"/>
      <c r="B630" s="38">
        <f>IF($A630="","",IFERROR(IF(INDEX(Pledges!$D$5:$D$2500,MATCH($G630,Pledges!$K$5:$K$2500,0))="","⚠ no amount on Pledges",IF(INDEX(Pledges!$B$5:$B$2500,MATCH($G630,Pledges!$K$5:$K$2500,0))="","",INDEX(Pledges!$B$5:$B$2500,MATCH($G630,Pledges!$K$5:$K$2500,0)))),"⚠ phone not in Pledges"))</f>
      </c>
      <c r="C630" s="12"/>
      <c r="D630" s="13"/>
      <c r="E630" s="22"/>
      <c r="F630" s="23"/>
      <c r="G630">
        <f>IF($A630="","","#"&amp;TRIM(SUBSTITUTE(SUBSTITUTE(SUBSTITUTE(SUBSTITUTE(SUBSTITUTE(SUBSTITUTE($A630,"-",""),"(",""),")",""),".",""),"+","")," ","")))</f>
      </c>
    </row>
    <row r="631" spans="1:7" x14ac:dyDescent="0.3">
      <c r="A631" s="11"/>
      <c r="B631" s="38">
        <f>IF($A631="","",IFERROR(IF(INDEX(Pledges!$D$5:$D$2500,MATCH($G631,Pledges!$K$5:$K$2500,0))="","⚠ no amount on Pledges",IF(INDEX(Pledges!$B$5:$B$2500,MATCH($G631,Pledges!$K$5:$K$2500,0))="","",INDEX(Pledges!$B$5:$B$2500,MATCH($G631,Pledges!$K$5:$K$2500,0)))),"⚠ phone not in Pledges"))</f>
      </c>
      <c r="C631" s="12"/>
      <c r="D631" s="13"/>
      <c r="E631" s="22"/>
      <c r="F631" s="23"/>
      <c r="G631">
        <f>IF($A631="","","#"&amp;TRIM(SUBSTITUTE(SUBSTITUTE(SUBSTITUTE(SUBSTITUTE(SUBSTITUTE(SUBSTITUTE($A631,"-",""),"(",""),")",""),".",""),"+","")," ","")))</f>
      </c>
    </row>
    <row r="632" spans="1:7" x14ac:dyDescent="0.3">
      <c r="A632" s="11"/>
      <c r="B632" s="38">
        <f>IF($A632="","",IFERROR(IF(INDEX(Pledges!$D$5:$D$2500,MATCH($G632,Pledges!$K$5:$K$2500,0))="","⚠ no amount on Pledges",IF(INDEX(Pledges!$B$5:$B$2500,MATCH($G632,Pledges!$K$5:$K$2500,0))="","",INDEX(Pledges!$B$5:$B$2500,MATCH($G632,Pledges!$K$5:$K$2500,0)))),"⚠ phone not in Pledges"))</f>
      </c>
      <c r="C632" s="12"/>
      <c r="D632" s="13"/>
      <c r="E632" s="22"/>
      <c r="F632" s="23"/>
      <c r="G632">
        <f>IF($A632="","","#"&amp;TRIM(SUBSTITUTE(SUBSTITUTE(SUBSTITUTE(SUBSTITUTE(SUBSTITUTE(SUBSTITUTE($A632,"-",""),"(",""),")",""),".",""),"+","")," ","")))</f>
      </c>
    </row>
    <row r="633" spans="1:7" x14ac:dyDescent="0.3">
      <c r="A633" s="11"/>
      <c r="B633" s="38">
        <f>IF($A633="","",IFERROR(IF(INDEX(Pledges!$D$5:$D$2500,MATCH($G633,Pledges!$K$5:$K$2500,0))="","⚠ no amount on Pledges",IF(INDEX(Pledges!$B$5:$B$2500,MATCH($G633,Pledges!$K$5:$K$2500,0))="","",INDEX(Pledges!$B$5:$B$2500,MATCH($G633,Pledges!$K$5:$K$2500,0)))),"⚠ phone not in Pledges"))</f>
      </c>
      <c r="C633" s="12"/>
      <c r="D633" s="13"/>
      <c r="E633" s="22"/>
      <c r="F633" s="23"/>
      <c r="G633">
        <f>IF($A633="","","#"&amp;TRIM(SUBSTITUTE(SUBSTITUTE(SUBSTITUTE(SUBSTITUTE(SUBSTITUTE(SUBSTITUTE($A633,"-",""),"(",""),")",""),".",""),"+","")," ","")))</f>
      </c>
    </row>
    <row r="634" spans="1:7" x14ac:dyDescent="0.3">
      <c r="A634" s="11"/>
      <c r="B634" s="38">
        <f>IF($A634="","",IFERROR(IF(INDEX(Pledges!$D$5:$D$2500,MATCH($G634,Pledges!$K$5:$K$2500,0))="","⚠ no amount on Pledges",IF(INDEX(Pledges!$B$5:$B$2500,MATCH($G634,Pledges!$K$5:$K$2500,0))="","",INDEX(Pledges!$B$5:$B$2500,MATCH($G634,Pledges!$K$5:$K$2500,0)))),"⚠ phone not in Pledges"))</f>
      </c>
      <c r="C634" s="12"/>
      <c r="D634" s="13"/>
      <c r="E634" s="22"/>
      <c r="F634" s="23"/>
      <c r="G634">
        <f>IF($A634="","","#"&amp;TRIM(SUBSTITUTE(SUBSTITUTE(SUBSTITUTE(SUBSTITUTE(SUBSTITUTE(SUBSTITUTE($A634,"-",""),"(",""),")",""),".",""),"+","")," ","")))</f>
      </c>
    </row>
    <row r="635" spans="1:7" x14ac:dyDescent="0.3">
      <c r="A635" s="11"/>
      <c r="B635" s="38">
        <f>IF($A635="","",IFERROR(IF(INDEX(Pledges!$D$5:$D$2500,MATCH($G635,Pledges!$K$5:$K$2500,0))="","⚠ no amount on Pledges",IF(INDEX(Pledges!$B$5:$B$2500,MATCH($G635,Pledges!$K$5:$K$2500,0))="","",INDEX(Pledges!$B$5:$B$2500,MATCH($G635,Pledges!$K$5:$K$2500,0)))),"⚠ phone not in Pledges"))</f>
      </c>
      <c r="C635" s="12"/>
      <c r="D635" s="13"/>
      <c r="E635" s="22"/>
      <c r="F635" s="23"/>
      <c r="G635">
        <f>IF($A635="","","#"&amp;TRIM(SUBSTITUTE(SUBSTITUTE(SUBSTITUTE(SUBSTITUTE(SUBSTITUTE(SUBSTITUTE($A635,"-",""),"(",""),")",""),".",""),"+","")," ","")))</f>
      </c>
    </row>
    <row r="636" spans="1:7" x14ac:dyDescent="0.3">
      <c r="A636" s="11"/>
      <c r="B636" s="38">
        <f>IF($A636="","",IFERROR(IF(INDEX(Pledges!$D$5:$D$2500,MATCH($G636,Pledges!$K$5:$K$2500,0))="","⚠ no amount on Pledges",IF(INDEX(Pledges!$B$5:$B$2500,MATCH($G636,Pledges!$K$5:$K$2500,0))="","",INDEX(Pledges!$B$5:$B$2500,MATCH($G636,Pledges!$K$5:$K$2500,0)))),"⚠ phone not in Pledges"))</f>
      </c>
      <c r="C636" s="12"/>
      <c r="D636" s="13"/>
      <c r="E636" s="22"/>
      <c r="F636" s="23"/>
      <c r="G636">
        <f>IF($A636="","","#"&amp;TRIM(SUBSTITUTE(SUBSTITUTE(SUBSTITUTE(SUBSTITUTE(SUBSTITUTE(SUBSTITUTE($A636,"-",""),"(",""),")",""),".",""),"+","")," ","")))</f>
      </c>
    </row>
    <row r="637" spans="1:7" x14ac:dyDescent="0.3">
      <c r="A637" s="11"/>
      <c r="B637" s="38">
        <f>IF($A637="","",IFERROR(IF(INDEX(Pledges!$D$5:$D$2500,MATCH($G637,Pledges!$K$5:$K$2500,0))="","⚠ no amount on Pledges",IF(INDEX(Pledges!$B$5:$B$2500,MATCH($G637,Pledges!$K$5:$K$2500,0))="","",INDEX(Pledges!$B$5:$B$2500,MATCH($G637,Pledges!$K$5:$K$2500,0)))),"⚠ phone not in Pledges"))</f>
      </c>
      <c r="C637" s="12"/>
      <c r="D637" s="13"/>
      <c r="E637" s="22"/>
      <c r="F637" s="23"/>
      <c r="G637">
        <f>IF($A637="","","#"&amp;TRIM(SUBSTITUTE(SUBSTITUTE(SUBSTITUTE(SUBSTITUTE(SUBSTITUTE(SUBSTITUTE($A637,"-",""),"(",""),")",""),".",""),"+","")," ","")))</f>
      </c>
    </row>
    <row r="638" spans="1:7" x14ac:dyDescent="0.3">
      <c r="A638" s="11"/>
      <c r="B638" s="38">
        <f>IF($A638="","",IFERROR(IF(INDEX(Pledges!$D$5:$D$2500,MATCH($G638,Pledges!$K$5:$K$2500,0))="","⚠ no amount on Pledges",IF(INDEX(Pledges!$B$5:$B$2500,MATCH($G638,Pledges!$K$5:$K$2500,0))="","",INDEX(Pledges!$B$5:$B$2500,MATCH($G638,Pledges!$K$5:$K$2500,0)))),"⚠ phone not in Pledges"))</f>
      </c>
      <c r="C638" s="12"/>
      <c r="D638" s="13"/>
      <c r="E638" s="22"/>
      <c r="F638" s="23"/>
      <c r="G638">
        <f>IF($A638="","","#"&amp;TRIM(SUBSTITUTE(SUBSTITUTE(SUBSTITUTE(SUBSTITUTE(SUBSTITUTE(SUBSTITUTE($A638,"-",""),"(",""),")",""),".",""),"+","")," ","")))</f>
      </c>
    </row>
    <row r="639" spans="1:7" x14ac:dyDescent="0.3">
      <c r="A639" s="11"/>
      <c r="B639" s="38">
        <f>IF($A639="","",IFERROR(IF(INDEX(Pledges!$D$5:$D$2500,MATCH($G639,Pledges!$K$5:$K$2500,0))="","⚠ no amount on Pledges",IF(INDEX(Pledges!$B$5:$B$2500,MATCH($G639,Pledges!$K$5:$K$2500,0))="","",INDEX(Pledges!$B$5:$B$2500,MATCH($G639,Pledges!$K$5:$K$2500,0)))),"⚠ phone not in Pledges"))</f>
      </c>
      <c r="C639" s="12"/>
      <c r="D639" s="13"/>
      <c r="E639" s="22"/>
      <c r="F639" s="23"/>
      <c r="G639">
        <f>IF($A639="","","#"&amp;TRIM(SUBSTITUTE(SUBSTITUTE(SUBSTITUTE(SUBSTITUTE(SUBSTITUTE(SUBSTITUTE($A639,"-",""),"(",""),")",""),".",""),"+","")," ","")))</f>
      </c>
    </row>
    <row r="640" spans="1:7" x14ac:dyDescent="0.3">
      <c r="A640" s="11"/>
      <c r="B640" s="38">
        <f>IF($A640="","",IFERROR(IF(INDEX(Pledges!$D$5:$D$2500,MATCH($G640,Pledges!$K$5:$K$2500,0))="","⚠ no amount on Pledges",IF(INDEX(Pledges!$B$5:$B$2500,MATCH($G640,Pledges!$K$5:$K$2500,0))="","",INDEX(Pledges!$B$5:$B$2500,MATCH($G640,Pledges!$K$5:$K$2500,0)))),"⚠ phone not in Pledges"))</f>
      </c>
      <c r="C640" s="12"/>
      <c r="D640" s="13"/>
      <c r="E640" s="22"/>
      <c r="F640" s="23"/>
      <c r="G640">
        <f>IF($A640="","","#"&amp;TRIM(SUBSTITUTE(SUBSTITUTE(SUBSTITUTE(SUBSTITUTE(SUBSTITUTE(SUBSTITUTE($A640,"-",""),"(",""),")",""),".",""),"+","")," ","")))</f>
      </c>
    </row>
    <row r="641" spans="1:7" x14ac:dyDescent="0.3">
      <c r="A641" s="11"/>
      <c r="B641" s="38">
        <f>IF($A641="","",IFERROR(IF(INDEX(Pledges!$D$5:$D$2500,MATCH($G641,Pledges!$K$5:$K$2500,0))="","⚠ no amount on Pledges",IF(INDEX(Pledges!$B$5:$B$2500,MATCH($G641,Pledges!$K$5:$K$2500,0))="","",INDEX(Pledges!$B$5:$B$2500,MATCH($G641,Pledges!$K$5:$K$2500,0)))),"⚠ phone not in Pledges"))</f>
      </c>
      <c r="C641" s="12"/>
      <c r="D641" s="13"/>
      <c r="E641" s="22"/>
      <c r="F641" s="23"/>
      <c r="G641">
        <f>IF($A641="","","#"&amp;TRIM(SUBSTITUTE(SUBSTITUTE(SUBSTITUTE(SUBSTITUTE(SUBSTITUTE(SUBSTITUTE($A641,"-",""),"(",""),")",""),".",""),"+","")," ","")))</f>
      </c>
    </row>
    <row r="642" spans="1:7" x14ac:dyDescent="0.3">
      <c r="A642" s="11"/>
      <c r="B642" s="38">
        <f>IF($A642="","",IFERROR(IF(INDEX(Pledges!$D$5:$D$2500,MATCH($G642,Pledges!$K$5:$K$2500,0))="","⚠ no amount on Pledges",IF(INDEX(Pledges!$B$5:$B$2500,MATCH($G642,Pledges!$K$5:$K$2500,0))="","",INDEX(Pledges!$B$5:$B$2500,MATCH($G642,Pledges!$K$5:$K$2500,0)))),"⚠ phone not in Pledges"))</f>
      </c>
      <c r="C642" s="12"/>
      <c r="D642" s="13"/>
      <c r="E642" s="22"/>
      <c r="F642" s="23"/>
      <c r="G642">
        <f>IF($A642="","","#"&amp;TRIM(SUBSTITUTE(SUBSTITUTE(SUBSTITUTE(SUBSTITUTE(SUBSTITUTE(SUBSTITUTE($A642,"-",""),"(",""),")",""),".",""),"+","")," ","")))</f>
      </c>
    </row>
    <row r="643" spans="1:7" x14ac:dyDescent="0.3">
      <c r="A643" s="11"/>
      <c r="B643" s="38">
        <f>IF($A643="","",IFERROR(IF(INDEX(Pledges!$D$5:$D$2500,MATCH($G643,Pledges!$K$5:$K$2500,0))="","⚠ no amount on Pledges",IF(INDEX(Pledges!$B$5:$B$2500,MATCH($G643,Pledges!$K$5:$K$2500,0))="","",INDEX(Pledges!$B$5:$B$2500,MATCH($G643,Pledges!$K$5:$K$2500,0)))),"⚠ phone not in Pledges"))</f>
      </c>
      <c r="C643" s="12"/>
      <c r="D643" s="13"/>
      <c r="E643" s="22"/>
      <c r="F643" s="23"/>
      <c r="G643">
        <f>IF($A643="","","#"&amp;TRIM(SUBSTITUTE(SUBSTITUTE(SUBSTITUTE(SUBSTITUTE(SUBSTITUTE(SUBSTITUTE($A643,"-",""),"(",""),")",""),".",""),"+","")," ","")))</f>
      </c>
    </row>
    <row r="644" spans="1:7" x14ac:dyDescent="0.3">
      <c r="A644" s="11"/>
      <c r="B644" s="38">
        <f>IF($A644="","",IFERROR(IF(INDEX(Pledges!$D$5:$D$2500,MATCH($G644,Pledges!$K$5:$K$2500,0))="","⚠ no amount on Pledges",IF(INDEX(Pledges!$B$5:$B$2500,MATCH($G644,Pledges!$K$5:$K$2500,0))="","",INDEX(Pledges!$B$5:$B$2500,MATCH($G644,Pledges!$K$5:$K$2500,0)))),"⚠ phone not in Pledges"))</f>
      </c>
      <c r="C644" s="12"/>
      <c r="D644" s="13"/>
      <c r="E644" s="22"/>
      <c r="F644" s="23"/>
      <c r="G644">
        <f>IF($A644="","","#"&amp;TRIM(SUBSTITUTE(SUBSTITUTE(SUBSTITUTE(SUBSTITUTE(SUBSTITUTE(SUBSTITUTE($A644,"-",""),"(",""),")",""),".",""),"+","")," ","")))</f>
      </c>
    </row>
    <row r="645" spans="1:7" x14ac:dyDescent="0.3">
      <c r="A645" s="11"/>
      <c r="B645" s="38">
        <f>IF($A645="","",IFERROR(IF(INDEX(Pledges!$D$5:$D$2500,MATCH($G645,Pledges!$K$5:$K$2500,0))="","⚠ no amount on Pledges",IF(INDEX(Pledges!$B$5:$B$2500,MATCH($G645,Pledges!$K$5:$K$2500,0))="","",INDEX(Pledges!$B$5:$B$2500,MATCH($G645,Pledges!$K$5:$K$2500,0)))),"⚠ phone not in Pledges"))</f>
      </c>
      <c r="C645" s="12"/>
      <c r="D645" s="13"/>
      <c r="E645" s="22"/>
      <c r="F645" s="23"/>
      <c r="G645">
        <f>IF($A645="","","#"&amp;TRIM(SUBSTITUTE(SUBSTITUTE(SUBSTITUTE(SUBSTITUTE(SUBSTITUTE(SUBSTITUTE($A645,"-",""),"(",""),")",""),".",""),"+","")," ","")))</f>
      </c>
    </row>
    <row r="646" spans="1:7" x14ac:dyDescent="0.3">
      <c r="A646" s="11"/>
      <c r="B646" s="38">
        <f>IF($A646="","",IFERROR(IF(INDEX(Pledges!$D$5:$D$2500,MATCH($G646,Pledges!$K$5:$K$2500,0))="","⚠ no amount on Pledges",IF(INDEX(Pledges!$B$5:$B$2500,MATCH($G646,Pledges!$K$5:$K$2500,0))="","",INDEX(Pledges!$B$5:$B$2500,MATCH($G646,Pledges!$K$5:$K$2500,0)))),"⚠ phone not in Pledges"))</f>
      </c>
      <c r="C646" s="12"/>
      <c r="D646" s="13"/>
      <c r="E646" s="22"/>
      <c r="F646" s="23"/>
      <c r="G646">
        <f>IF($A646="","","#"&amp;TRIM(SUBSTITUTE(SUBSTITUTE(SUBSTITUTE(SUBSTITUTE(SUBSTITUTE(SUBSTITUTE($A646,"-",""),"(",""),")",""),".",""),"+","")," ","")))</f>
      </c>
    </row>
    <row r="647" spans="1:7" x14ac:dyDescent="0.3">
      <c r="A647" s="11"/>
      <c r="B647" s="38">
        <f>IF($A647="","",IFERROR(IF(INDEX(Pledges!$D$5:$D$2500,MATCH($G647,Pledges!$K$5:$K$2500,0))="","⚠ no amount on Pledges",IF(INDEX(Pledges!$B$5:$B$2500,MATCH($G647,Pledges!$K$5:$K$2500,0))="","",INDEX(Pledges!$B$5:$B$2500,MATCH($G647,Pledges!$K$5:$K$2500,0)))),"⚠ phone not in Pledges"))</f>
      </c>
      <c r="C647" s="12"/>
      <c r="D647" s="13"/>
      <c r="E647" s="22"/>
      <c r="F647" s="23"/>
      <c r="G647">
        <f>IF($A647="","","#"&amp;TRIM(SUBSTITUTE(SUBSTITUTE(SUBSTITUTE(SUBSTITUTE(SUBSTITUTE(SUBSTITUTE($A647,"-",""),"(",""),")",""),".",""),"+","")," ","")))</f>
      </c>
    </row>
    <row r="648" spans="1:7" x14ac:dyDescent="0.3">
      <c r="A648" s="11"/>
      <c r="B648" s="38">
        <f>IF($A648="","",IFERROR(IF(INDEX(Pledges!$D$5:$D$2500,MATCH($G648,Pledges!$K$5:$K$2500,0))="","⚠ no amount on Pledges",IF(INDEX(Pledges!$B$5:$B$2500,MATCH($G648,Pledges!$K$5:$K$2500,0))="","",INDEX(Pledges!$B$5:$B$2500,MATCH($G648,Pledges!$K$5:$K$2500,0)))),"⚠ phone not in Pledges"))</f>
      </c>
      <c r="C648" s="12"/>
      <c r="D648" s="13"/>
      <c r="E648" s="22"/>
      <c r="F648" s="23"/>
      <c r="G648">
        <f>IF($A648="","","#"&amp;TRIM(SUBSTITUTE(SUBSTITUTE(SUBSTITUTE(SUBSTITUTE(SUBSTITUTE(SUBSTITUTE($A648,"-",""),"(",""),")",""),".",""),"+","")," ","")))</f>
      </c>
    </row>
    <row r="649" spans="1:7" x14ac:dyDescent="0.3">
      <c r="A649" s="11"/>
      <c r="B649" s="38">
        <f>IF($A649="","",IFERROR(IF(INDEX(Pledges!$D$5:$D$2500,MATCH($G649,Pledges!$K$5:$K$2500,0))="","⚠ no amount on Pledges",IF(INDEX(Pledges!$B$5:$B$2500,MATCH($G649,Pledges!$K$5:$K$2500,0))="","",INDEX(Pledges!$B$5:$B$2500,MATCH($G649,Pledges!$K$5:$K$2500,0)))),"⚠ phone not in Pledges"))</f>
      </c>
      <c r="C649" s="12"/>
      <c r="D649" s="13"/>
      <c r="E649" s="22"/>
      <c r="F649" s="23"/>
      <c r="G649">
        <f>IF($A649="","","#"&amp;TRIM(SUBSTITUTE(SUBSTITUTE(SUBSTITUTE(SUBSTITUTE(SUBSTITUTE(SUBSTITUTE($A649,"-",""),"(",""),")",""),".",""),"+","")," ","")))</f>
      </c>
    </row>
    <row r="650" spans="1:7" x14ac:dyDescent="0.3">
      <c r="A650" s="11"/>
      <c r="B650" s="38">
        <f>IF($A650="","",IFERROR(IF(INDEX(Pledges!$D$5:$D$2500,MATCH($G650,Pledges!$K$5:$K$2500,0))="","⚠ no amount on Pledges",IF(INDEX(Pledges!$B$5:$B$2500,MATCH($G650,Pledges!$K$5:$K$2500,0))="","",INDEX(Pledges!$B$5:$B$2500,MATCH($G650,Pledges!$K$5:$K$2500,0)))),"⚠ phone not in Pledges"))</f>
      </c>
      <c r="C650" s="12"/>
      <c r="D650" s="13"/>
      <c r="E650" s="22"/>
      <c r="F650" s="23"/>
      <c r="G650">
        <f>IF($A650="","","#"&amp;TRIM(SUBSTITUTE(SUBSTITUTE(SUBSTITUTE(SUBSTITUTE(SUBSTITUTE(SUBSTITUTE($A650,"-",""),"(",""),")",""),".",""),"+","")," ","")))</f>
      </c>
    </row>
    <row r="651" spans="1:7" x14ac:dyDescent="0.3">
      <c r="A651" s="11"/>
      <c r="B651" s="38">
        <f>IF($A651="","",IFERROR(IF(INDEX(Pledges!$D$5:$D$2500,MATCH($G651,Pledges!$K$5:$K$2500,0))="","⚠ no amount on Pledges",IF(INDEX(Pledges!$B$5:$B$2500,MATCH($G651,Pledges!$K$5:$K$2500,0))="","",INDEX(Pledges!$B$5:$B$2500,MATCH($G651,Pledges!$K$5:$K$2500,0)))),"⚠ phone not in Pledges"))</f>
      </c>
      <c r="C651" s="12"/>
      <c r="D651" s="13"/>
      <c r="E651" s="22"/>
      <c r="F651" s="23"/>
      <c r="G651">
        <f>IF($A651="","","#"&amp;TRIM(SUBSTITUTE(SUBSTITUTE(SUBSTITUTE(SUBSTITUTE(SUBSTITUTE(SUBSTITUTE($A651,"-",""),"(",""),")",""),".",""),"+","")," ","")))</f>
      </c>
    </row>
    <row r="652" spans="1:7" x14ac:dyDescent="0.3">
      <c r="A652" s="11"/>
      <c r="B652" s="38">
        <f>IF($A652="","",IFERROR(IF(INDEX(Pledges!$D$5:$D$2500,MATCH($G652,Pledges!$K$5:$K$2500,0))="","⚠ no amount on Pledges",IF(INDEX(Pledges!$B$5:$B$2500,MATCH($G652,Pledges!$K$5:$K$2500,0))="","",INDEX(Pledges!$B$5:$B$2500,MATCH($G652,Pledges!$K$5:$K$2500,0)))),"⚠ phone not in Pledges"))</f>
      </c>
      <c r="C652" s="12"/>
      <c r="D652" s="13"/>
      <c r="E652" s="22"/>
      <c r="F652" s="23"/>
      <c r="G652">
        <f>IF($A652="","","#"&amp;TRIM(SUBSTITUTE(SUBSTITUTE(SUBSTITUTE(SUBSTITUTE(SUBSTITUTE(SUBSTITUTE($A652,"-",""),"(",""),")",""),".",""),"+","")," ","")))</f>
      </c>
    </row>
    <row r="653" spans="1:7" x14ac:dyDescent="0.3">
      <c r="A653" s="11"/>
      <c r="B653" s="38">
        <f>IF($A653="","",IFERROR(IF(INDEX(Pledges!$D$5:$D$2500,MATCH($G653,Pledges!$K$5:$K$2500,0))="","⚠ no amount on Pledges",IF(INDEX(Pledges!$B$5:$B$2500,MATCH($G653,Pledges!$K$5:$K$2500,0))="","",INDEX(Pledges!$B$5:$B$2500,MATCH($G653,Pledges!$K$5:$K$2500,0)))),"⚠ phone not in Pledges"))</f>
      </c>
      <c r="C653" s="12"/>
      <c r="D653" s="13"/>
      <c r="E653" s="22"/>
      <c r="F653" s="23"/>
      <c r="G653">
        <f>IF($A653="","","#"&amp;TRIM(SUBSTITUTE(SUBSTITUTE(SUBSTITUTE(SUBSTITUTE(SUBSTITUTE(SUBSTITUTE($A653,"-",""),"(",""),")",""),".",""),"+","")," ","")))</f>
      </c>
    </row>
    <row r="654" spans="1:7" x14ac:dyDescent="0.3">
      <c r="A654" s="11"/>
      <c r="B654" s="38">
        <f>IF($A654="","",IFERROR(IF(INDEX(Pledges!$D$5:$D$2500,MATCH($G654,Pledges!$K$5:$K$2500,0))="","⚠ no amount on Pledges",IF(INDEX(Pledges!$B$5:$B$2500,MATCH($G654,Pledges!$K$5:$K$2500,0))="","",INDEX(Pledges!$B$5:$B$2500,MATCH($G654,Pledges!$K$5:$K$2500,0)))),"⚠ phone not in Pledges"))</f>
      </c>
      <c r="C654" s="12"/>
      <c r="D654" s="13"/>
      <c r="E654" s="22"/>
      <c r="F654" s="23"/>
      <c r="G654">
        <f>IF($A654="","","#"&amp;TRIM(SUBSTITUTE(SUBSTITUTE(SUBSTITUTE(SUBSTITUTE(SUBSTITUTE(SUBSTITUTE($A654,"-",""),"(",""),")",""),".",""),"+","")," ","")))</f>
      </c>
    </row>
    <row r="655" spans="1:7" x14ac:dyDescent="0.3">
      <c r="A655" s="11"/>
      <c r="B655" s="38">
        <f>IF($A655="","",IFERROR(IF(INDEX(Pledges!$D$5:$D$2500,MATCH($G655,Pledges!$K$5:$K$2500,0))="","⚠ no amount on Pledges",IF(INDEX(Pledges!$B$5:$B$2500,MATCH($G655,Pledges!$K$5:$K$2500,0))="","",INDEX(Pledges!$B$5:$B$2500,MATCH($G655,Pledges!$K$5:$K$2500,0)))),"⚠ phone not in Pledges"))</f>
      </c>
      <c r="C655" s="12"/>
      <c r="D655" s="13"/>
      <c r="E655" s="22"/>
      <c r="F655" s="23"/>
      <c r="G655">
        <f>IF($A655="","","#"&amp;TRIM(SUBSTITUTE(SUBSTITUTE(SUBSTITUTE(SUBSTITUTE(SUBSTITUTE(SUBSTITUTE($A655,"-",""),"(",""),")",""),".",""),"+","")," ","")))</f>
      </c>
    </row>
    <row r="656" spans="1:7" x14ac:dyDescent="0.3">
      <c r="A656" s="11"/>
      <c r="B656" s="38">
        <f>IF($A656="","",IFERROR(IF(INDEX(Pledges!$D$5:$D$2500,MATCH($G656,Pledges!$K$5:$K$2500,0))="","⚠ no amount on Pledges",IF(INDEX(Pledges!$B$5:$B$2500,MATCH($G656,Pledges!$K$5:$K$2500,0))="","",INDEX(Pledges!$B$5:$B$2500,MATCH($G656,Pledges!$K$5:$K$2500,0)))),"⚠ phone not in Pledges"))</f>
      </c>
      <c r="C656" s="12"/>
      <c r="D656" s="13"/>
      <c r="E656" s="22"/>
      <c r="F656" s="23"/>
      <c r="G656">
        <f>IF($A656="","","#"&amp;TRIM(SUBSTITUTE(SUBSTITUTE(SUBSTITUTE(SUBSTITUTE(SUBSTITUTE(SUBSTITUTE($A656,"-",""),"(",""),")",""),".",""),"+","")," ","")))</f>
      </c>
    </row>
    <row r="657" spans="1:7" x14ac:dyDescent="0.3">
      <c r="A657" s="11"/>
      <c r="B657" s="38">
        <f>IF($A657="","",IFERROR(IF(INDEX(Pledges!$D$5:$D$2500,MATCH($G657,Pledges!$K$5:$K$2500,0))="","⚠ no amount on Pledges",IF(INDEX(Pledges!$B$5:$B$2500,MATCH($G657,Pledges!$K$5:$K$2500,0))="","",INDEX(Pledges!$B$5:$B$2500,MATCH($G657,Pledges!$K$5:$K$2500,0)))),"⚠ phone not in Pledges"))</f>
      </c>
      <c r="C657" s="12"/>
      <c r="D657" s="13"/>
      <c r="E657" s="22"/>
      <c r="F657" s="23"/>
      <c r="G657">
        <f>IF($A657="","","#"&amp;TRIM(SUBSTITUTE(SUBSTITUTE(SUBSTITUTE(SUBSTITUTE(SUBSTITUTE(SUBSTITUTE($A657,"-",""),"(",""),")",""),".",""),"+","")," ","")))</f>
      </c>
    </row>
    <row r="658" spans="1:7" x14ac:dyDescent="0.3">
      <c r="A658" s="11"/>
      <c r="B658" s="38">
        <f>IF($A658="","",IFERROR(IF(INDEX(Pledges!$D$5:$D$2500,MATCH($G658,Pledges!$K$5:$K$2500,0))="","⚠ no amount on Pledges",IF(INDEX(Pledges!$B$5:$B$2500,MATCH($G658,Pledges!$K$5:$K$2500,0))="","",INDEX(Pledges!$B$5:$B$2500,MATCH($G658,Pledges!$K$5:$K$2500,0)))),"⚠ phone not in Pledges"))</f>
      </c>
      <c r="C658" s="12"/>
      <c r="D658" s="13"/>
      <c r="E658" s="22"/>
      <c r="F658" s="23"/>
      <c r="G658">
        <f>IF($A658="","","#"&amp;TRIM(SUBSTITUTE(SUBSTITUTE(SUBSTITUTE(SUBSTITUTE(SUBSTITUTE(SUBSTITUTE($A658,"-",""),"(",""),")",""),".",""),"+","")," ","")))</f>
      </c>
    </row>
    <row r="659" spans="1:7" x14ac:dyDescent="0.3">
      <c r="A659" s="11"/>
      <c r="B659" s="38">
        <f>IF($A659="","",IFERROR(IF(INDEX(Pledges!$D$5:$D$2500,MATCH($G659,Pledges!$K$5:$K$2500,0))="","⚠ no amount on Pledges",IF(INDEX(Pledges!$B$5:$B$2500,MATCH($G659,Pledges!$K$5:$K$2500,0))="","",INDEX(Pledges!$B$5:$B$2500,MATCH($G659,Pledges!$K$5:$K$2500,0)))),"⚠ phone not in Pledges"))</f>
      </c>
      <c r="C659" s="12"/>
      <c r="D659" s="13"/>
      <c r="E659" s="22"/>
      <c r="F659" s="23"/>
      <c r="G659">
        <f>IF($A659="","","#"&amp;TRIM(SUBSTITUTE(SUBSTITUTE(SUBSTITUTE(SUBSTITUTE(SUBSTITUTE(SUBSTITUTE($A659,"-",""),"(",""),")",""),".",""),"+","")," ","")))</f>
      </c>
    </row>
    <row r="660" spans="1:7" x14ac:dyDescent="0.3">
      <c r="A660" s="11"/>
      <c r="B660" s="38">
        <f>IF($A660="","",IFERROR(IF(INDEX(Pledges!$D$5:$D$2500,MATCH($G660,Pledges!$K$5:$K$2500,0))="","⚠ no amount on Pledges",IF(INDEX(Pledges!$B$5:$B$2500,MATCH($G660,Pledges!$K$5:$K$2500,0))="","",INDEX(Pledges!$B$5:$B$2500,MATCH($G660,Pledges!$K$5:$K$2500,0)))),"⚠ phone not in Pledges"))</f>
      </c>
      <c r="C660" s="12"/>
      <c r="D660" s="13"/>
      <c r="E660" s="22"/>
      <c r="F660" s="23"/>
      <c r="G660">
        <f>IF($A660="","","#"&amp;TRIM(SUBSTITUTE(SUBSTITUTE(SUBSTITUTE(SUBSTITUTE(SUBSTITUTE(SUBSTITUTE($A660,"-",""),"(",""),")",""),".",""),"+","")," ","")))</f>
      </c>
    </row>
    <row r="661" spans="1:7" x14ac:dyDescent="0.3">
      <c r="A661" s="11"/>
      <c r="B661" s="38">
        <f>IF($A661="","",IFERROR(IF(INDEX(Pledges!$D$5:$D$2500,MATCH($G661,Pledges!$K$5:$K$2500,0))="","⚠ no amount on Pledges",IF(INDEX(Pledges!$B$5:$B$2500,MATCH($G661,Pledges!$K$5:$K$2500,0))="","",INDEX(Pledges!$B$5:$B$2500,MATCH($G661,Pledges!$K$5:$K$2500,0)))),"⚠ phone not in Pledges"))</f>
      </c>
      <c r="C661" s="12"/>
      <c r="D661" s="13"/>
      <c r="E661" s="22"/>
      <c r="F661" s="23"/>
      <c r="G661">
        <f>IF($A661="","","#"&amp;TRIM(SUBSTITUTE(SUBSTITUTE(SUBSTITUTE(SUBSTITUTE(SUBSTITUTE(SUBSTITUTE($A661,"-",""),"(",""),")",""),".",""),"+","")," ","")))</f>
      </c>
    </row>
    <row r="662" spans="1:7" x14ac:dyDescent="0.3">
      <c r="A662" s="11"/>
      <c r="B662" s="38">
        <f>IF($A662="","",IFERROR(IF(INDEX(Pledges!$D$5:$D$2500,MATCH($G662,Pledges!$K$5:$K$2500,0))="","⚠ no amount on Pledges",IF(INDEX(Pledges!$B$5:$B$2500,MATCH($G662,Pledges!$K$5:$K$2500,0))="","",INDEX(Pledges!$B$5:$B$2500,MATCH($G662,Pledges!$K$5:$K$2500,0)))),"⚠ phone not in Pledges"))</f>
      </c>
      <c r="C662" s="12"/>
      <c r="D662" s="13"/>
      <c r="E662" s="22"/>
      <c r="F662" s="23"/>
      <c r="G662">
        <f>IF($A662="","","#"&amp;TRIM(SUBSTITUTE(SUBSTITUTE(SUBSTITUTE(SUBSTITUTE(SUBSTITUTE(SUBSTITUTE($A662,"-",""),"(",""),")",""),".",""),"+","")," ","")))</f>
      </c>
    </row>
    <row r="663" spans="1:7" x14ac:dyDescent="0.3">
      <c r="A663" s="11"/>
      <c r="B663" s="38">
        <f>IF($A663="","",IFERROR(IF(INDEX(Pledges!$D$5:$D$2500,MATCH($G663,Pledges!$K$5:$K$2500,0))="","⚠ no amount on Pledges",IF(INDEX(Pledges!$B$5:$B$2500,MATCH($G663,Pledges!$K$5:$K$2500,0))="","",INDEX(Pledges!$B$5:$B$2500,MATCH($G663,Pledges!$K$5:$K$2500,0)))),"⚠ phone not in Pledges"))</f>
      </c>
      <c r="C663" s="12"/>
      <c r="D663" s="13"/>
      <c r="E663" s="22"/>
      <c r="F663" s="23"/>
      <c r="G663">
        <f>IF($A663="","","#"&amp;TRIM(SUBSTITUTE(SUBSTITUTE(SUBSTITUTE(SUBSTITUTE(SUBSTITUTE(SUBSTITUTE($A663,"-",""),"(",""),")",""),".",""),"+","")," ","")))</f>
      </c>
    </row>
    <row r="664" spans="1:7" x14ac:dyDescent="0.3">
      <c r="A664" s="11"/>
      <c r="B664" s="38">
        <f>IF($A664="","",IFERROR(IF(INDEX(Pledges!$D$5:$D$2500,MATCH($G664,Pledges!$K$5:$K$2500,0))="","⚠ no amount on Pledges",IF(INDEX(Pledges!$B$5:$B$2500,MATCH($G664,Pledges!$K$5:$K$2500,0))="","",INDEX(Pledges!$B$5:$B$2500,MATCH($G664,Pledges!$K$5:$K$2500,0)))),"⚠ phone not in Pledges"))</f>
      </c>
      <c r="C664" s="12"/>
      <c r="D664" s="13"/>
      <c r="E664" s="22"/>
      <c r="F664" s="23"/>
      <c r="G664">
        <f>IF($A664="","","#"&amp;TRIM(SUBSTITUTE(SUBSTITUTE(SUBSTITUTE(SUBSTITUTE(SUBSTITUTE(SUBSTITUTE($A664,"-",""),"(",""),")",""),".",""),"+","")," ","")))</f>
      </c>
    </row>
    <row r="665" spans="1:7" x14ac:dyDescent="0.3">
      <c r="A665" s="11"/>
      <c r="B665" s="38">
        <f>IF($A665="","",IFERROR(IF(INDEX(Pledges!$D$5:$D$2500,MATCH($G665,Pledges!$K$5:$K$2500,0))="","⚠ no amount on Pledges",IF(INDEX(Pledges!$B$5:$B$2500,MATCH($G665,Pledges!$K$5:$K$2500,0))="","",INDEX(Pledges!$B$5:$B$2500,MATCH($G665,Pledges!$K$5:$K$2500,0)))),"⚠ phone not in Pledges"))</f>
      </c>
      <c r="C665" s="12"/>
      <c r="D665" s="13"/>
      <c r="E665" s="22"/>
      <c r="F665" s="23"/>
      <c r="G665">
        <f>IF($A665="","","#"&amp;TRIM(SUBSTITUTE(SUBSTITUTE(SUBSTITUTE(SUBSTITUTE(SUBSTITUTE(SUBSTITUTE($A665,"-",""),"(",""),")",""),".",""),"+","")," ","")))</f>
      </c>
    </row>
    <row r="666" spans="1:7" x14ac:dyDescent="0.3">
      <c r="A666" s="11"/>
      <c r="B666" s="38">
        <f>IF($A666="","",IFERROR(IF(INDEX(Pledges!$D$5:$D$2500,MATCH($G666,Pledges!$K$5:$K$2500,0))="","⚠ no amount on Pledges",IF(INDEX(Pledges!$B$5:$B$2500,MATCH($G666,Pledges!$K$5:$K$2500,0))="","",INDEX(Pledges!$B$5:$B$2500,MATCH($G666,Pledges!$K$5:$K$2500,0)))),"⚠ phone not in Pledges"))</f>
      </c>
      <c r="C666" s="12"/>
      <c r="D666" s="13"/>
      <c r="E666" s="22"/>
      <c r="F666" s="23"/>
      <c r="G666">
        <f>IF($A666="","","#"&amp;TRIM(SUBSTITUTE(SUBSTITUTE(SUBSTITUTE(SUBSTITUTE(SUBSTITUTE(SUBSTITUTE($A666,"-",""),"(",""),")",""),".",""),"+","")," ","")))</f>
      </c>
    </row>
    <row r="667" spans="1:7" x14ac:dyDescent="0.3">
      <c r="A667" s="11"/>
      <c r="B667" s="38">
        <f>IF($A667="","",IFERROR(IF(INDEX(Pledges!$D$5:$D$2500,MATCH($G667,Pledges!$K$5:$K$2500,0))="","⚠ no amount on Pledges",IF(INDEX(Pledges!$B$5:$B$2500,MATCH($G667,Pledges!$K$5:$K$2500,0))="","",INDEX(Pledges!$B$5:$B$2500,MATCH($G667,Pledges!$K$5:$K$2500,0)))),"⚠ phone not in Pledges"))</f>
      </c>
      <c r="C667" s="12"/>
      <c r="D667" s="13"/>
      <c r="E667" s="22"/>
      <c r="F667" s="23"/>
      <c r="G667">
        <f>IF($A667="","","#"&amp;TRIM(SUBSTITUTE(SUBSTITUTE(SUBSTITUTE(SUBSTITUTE(SUBSTITUTE(SUBSTITUTE($A667,"-",""),"(",""),")",""),".",""),"+","")," ","")))</f>
      </c>
    </row>
    <row r="668" spans="1:7" x14ac:dyDescent="0.3">
      <c r="A668" s="11"/>
      <c r="B668" s="38">
        <f>IF($A668="","",IFERROR(IF(INDEX(Pledges!$D$5:$D$2500,MATCH($G668,Pledges!$K$5:$K$2500,0))="","⚠ no amount on Pledges",IF(INDEX(Pledges!$B$5:$B$2500,MATCH($G668,Pledges!$K$5:$K$2500,0))="","",INDEX(Pledges!$B$5:$B$2500,MATCH($G668,Pledges!$K$5:$K$2500,0)))),"⚠ phone not in Pledges"))</f>
      </c>
      <c r="C668" s="12"/>
      <c r="D668" s="13"/>
      <c r="E668" s="22"/>
      <c r="F668" s="23"/>
      <c r="G668">
        <f>IF($A668="","","#"&amp;TRIM(SUBSTITUTE(SUBSTITUTE(SUBSTITUTE(SUBSTITUTE(SUBSTITUTE(SUBSTITUTE($A668,"-",""),"(",""),")",""),".",""),"+","")," ","")))</f>
      </c>
    </row>
    <row r="669" spans="1:7" x14ac:dyDescent="0.3">
      <c r="A669" s="11"/>
      <c r="B669" s="38">
        <f>IF($A669="","",IFERROR(IF(INDEX(Pledges!$D$5:$D$2500,MATCH($G669,Pledges!$K$5:$K$2500,0))="","⚠ no amount on Pledges",IF(INDEX(Pledges!$B$5:$B$2500,MATCH($G669,Pledges!$K$5:$K$2500,0))="","",INDEX(Pledges!$B$5:$B$2500,MATCH($G669,Pledges!$K$5:$K$2500,0)))),"⚠ phone not in Pledges"))</f>
      </c>
      <c r="C669" s="12"/>
      <c r="D669" s="13"/>
      <c r="E669" s="22"/>
      <c r="F669" s="23"/>
      <c r="G669">
        <f>IF($A669="","","#"&amp;TRIM(SUBSTITUTE(SUBSTITUTE(SUBSTITUTE(SUBSTITUTE(SUBSTITUTE(SUBSTITUTE($A669,"-",""),"(",""),")",""),".",""),"+","")," ","")))</f>
      </c>
    </row>
    <row r="670" spans="1:7" x14ac:dyDescent="0.3">
      <c r="A670" s="11"/>
      <c r="B670" s="38">
        <f>IF($A670="","",IFERROR(IF(INDEX(Pledges!$D$5:$D$2500,MATCH($G670,Pledges!$K$5:$K$2500,0))="","⚠ no amount on Pledges",IF(INDEX(Pledges!$B$5:$B$2500,MATCH($G670,Pledges!$K$5:$K$2500,0))="","",INDEX(Pledges!$B$5:$B$2500,MATCH($G670,Pledges!$K$5:$K$2500,0)))),"⚠ phone not in Pledges"))</f>
      </c>
      <c r="C670" s="12"/>
      <c r="D670" s="13"/>
      <c r="E670" s="22"/>
      <c r="F670" s="23"/>
      <c r="G670">
        <f>IF($A670="","","#"&amp;TRIM(SUBSTITUTE(SUBSTITUTE(SUBSTITUTE(SUBSTITUTE(SUBSTITUTE(SUBSTITUTE($A670,"-",""),"(",""),")",""),".",""),"+","")," ","")))</f>
      </c>
    </row>
    <row r="671" spans="1:7" x14ac:dyDescent="0.3">
      <c r="A671" s="11"/>
      <c r="B671" s="38">
        <f>IF($A671="","",IFERROR(IF(INDEX(Pledges!$D$5:$D$2500,MATCH($G671,Pledges!$K$5:$K$2500,0))="","⚠ no amount on Pledges",IF(INDEX(Pledges!$B$5:$B$2500,MATCH($G671,Pledges!$K$5:$K$2500,0))="","",INDEX(Pledges!$B$5:$B$2500,MATCH($G671,Pledges!$K$5:$K$2500,0)))),"⚠ phone not in Pledges"))</f>
      </c>
      <c r="C671" s="12"/>
      <c r="D671" s="13"/>
      <c r="E671" s="22"/>
      <c r="F671" s="23"/>
      <c r="G671">
        <f>IF($A671="","","#"&amp;TRIM(SUBSTITUTE(SUBSTITUTE(SUBSTITUTE(SUBSTITUTE(SUBSTITUTE(SUBSTITUTE($A671,"-",""),"(",""),")",""),".",""),"+","")," ","")))</f>
      </c>
    </row>
    <row r="672" spans="1:7" x14ac:dyDescent="0.3">
      <c r="A672" s="11"/>
      <c r="B672" s="38">
        <f>IF($A672="","",IFERROR(IF(INDEX(Pledges!$D$5:$D$2500,MATCH($G672,Pledges!$K$5:$K$2500,0))="","⚠ no amount on Pledges",IF(INDEX(Pledges!$B$5:$B$2500,MATCH($G672,Pledges!$K$5:$K$2500,0))="","",INDEX(Pledges!$B$5:$B$2500,MATCH($G672,Pledges!$K$5:$K$2500,0)))),"⚠ phone not in Pledges"))</f>
      </c>
      <c r="C672" s="12"/>
      <c r="D672" s="13"/>
      <c r="E672" s="22"/>
      <c r="F672" s="23"/>
      <c r="G672">
        <f>IF($A672="","","#"&amp;TRIM(SUBSTITUTE(SUBSTITUTE(SUBSTITUTE(SUBSTITUTE(SUBSTITUTE(SUBSTITUTE($A672,"-",""),"(",""),")",""),".",""),"+","")," ","")))</f>
      </c>
    </row>
    <row r="673" spans="1:7" x14ac:dyDescent="0.3">
      <c r="A673" s="11"/>
      <c r="B673" s="38">
        <f>IF($A673="","",IFERROR(IF(INDEX(Pledges!$D$5:$D$2500,MATCH($G673,Pledges!$K$5:$K$2500,0))="","⚠ no amount on Pledges",IF(INDEX(Pledges!$B$5:$B$2500,MATCH($G673,Pledges!$K$5:$K$2500,0))="","",INDEX(Pledges!$B$5:$B$2500,MATCH($G673,Pledges!$K$5:$K$2500,0)))),"⚠ phone not in Pledges"))</f>
      </c>
      <c r="C673" s="12"/>
      <c r="D673" s="13"/>
      <c r="E673" s="22"/>
      <c r="F673" s="23"/>
      <c r="G673">
        <f>IF($A673="","","#"&amp;TRIM(SUBSTITUTE(SUBSTITUTE(SUBSTITUTE(SUBSTITUTE(SUBSTITUTE(SUBSTITUTE($A673,"-",""),"(",""),")",""),".",""),"+","")," ","")))</f>
      </c>
    </row>
    <row r="674" spans="1:7" x14ac:dyDescent="0.3">
      <c r="A674" s="11"/>
      <c r="B674" s="38">
        <f>IF($A674="","",IFERROR(IF(INDEX(Pledges!$D$5:$D$2500,MATCH($G674,Pledges!$K$5:$K$2500,0))="","⚠ no amount on Pledges",IF(INDEX(Pledges!$B$5:$B$2500,MATCH($G674,Pledges!$K$5:$K$2500,0))="","",INDEX(Pledges!$B$5:$B$2500,MATCH($G674,Pledges!$K$5:$K$2500,0)))),"⚠ phone not in Pledges"))</f>
      </c>
      <c r="C674" s="12"/>
      <c r="D674" s="13"/>
      <c r="E674" s="22"/>
      <c r="F674" s="23"/>
      <c r="G674">
        <f>IF($A674="","","#"&amp;TRIM(SUBSTITUTE(SUBSTITUTE(SUBSTITUTE(SUBSTITUTE(SUBSTITUTE(SUBSTITUTE($A674,"-",""),"(",""),")",""),".",""),"+","")," ","")))</f>
      </c>
    </row>
    <row r="675" spans="1:7" x14ac:dyDescent="0.3">
      <c r="A675" s="11"/>
      <c r="B675" s="38">
        <f>IF($A675="","",IFERROR(IF(INDEX(Pledges!$D$5:$D$2500,MATCH($G675,Pledges!$K$5:$K$2500,0))="","⚠ no amount on Pledges",IF(INDEX(Pledges!$B$5:$B$2500,MATCH($G675,Pledges!$K$5:$K$2500,0))="","",INDEX(Pledges!$B$5:$B$2500,MATCH($G675,Pledges!$K$5:$K$2500,0)))),"⚠ phone not in Pledges"))</f>
      </c>
      <c r="C675" s="12"/>
      <c r="D675" s="13"/>
      <c r="E675" s="22"/>
      <c r="F675" s="23"/>
      <c r="G675">
        <f>IF($A675="","","#"&amp;TRIM(SUBSTITUTE(SUBSTITUTE(SUBSTITUTE(SUBSTITUTE(SUBSTITUTE(SUBSTITUTE($A675,"-",""),"(",""),")",""),".",""),"+","")," ","")))</f>
      </c>
    </row>
    <row r="676" spans="1:7" x14ac:dyDescent="0.3">
      <c r="A676" s="11"/>
      <c r="B676" s="38">
        <f>IF($A676="","",IFERROR(IF(INDEX(Pledges!$D$5:$D$2500,MATCH($G676,Pledges!$K$5:$K$2500,0))="","⚠ no amount on Pledges",IF(INDEX(Pledges!$B$5:$B$2500,MATCH($G676,Pledges!$K$5:$K$2500,0))="","",INDEX(Pledges!$B$5:$B$2500,MATCH($G676,Pledges!$K$5:$K$2500,0)))),"⚠ phone not in Pledges"))</f>
      </c>
      <c r="C676" s="12"/>
      <c r="D676" s="13"/>
      <c r="E676" s="22"/>
      <c r="F676" s="23"/>
      <c r="G676">
        <f>IF($A676="","","#"&amp;TRIM(SUBSTITUTE(SUBSTITUTE(SUBSTITUTE(SUBSTITUTE(SUBSTITUTE(SUBSTITUTE($A676,"-",""),"(",""),")",""),".",""),"+","")," ","")))</f>
      </c>
    </row>
    <row r="677" spans="1:7" x14ac:dyDescent="0.3">
      <c r="A677" s="11"/>
      <c r="B677" s="38">
        <f>IF($A677="","",IFERROR(IF(INDEX(Pledges!$D$5:$D$2500,MATCH($G677,Pledges!$K$5:$K$2500,0))="","⚠ no amount on Pledges",IF(INDEX(Pledges!$B$5:$B$2500,MATCH($G677,Pledges!$K$5:$K$2500,0))="","",INDEX(Pledges!$B$5:$B$2500,MATCH($G677,Pledges!$K$5:$K$2500,0)))),"⚠ phone not in Pledges"))</f>
      </c>
      <c r="C677" s="12"/>
      <c r="D677" s="13"/>
      <c r="E677" s="22"/>
      <c r="F677" s="23"/>
      <c r="G677">
        <f>IF($A677="","","#"&amp;TRIM(SUBSTITUTE(SUBSTITUTE(SUBSTITUTE(SUBSTITUTE(SUBSTITUTE(SUBSTITUTE($A677,"-",""),"(",""),")",""),".",""),"+","")," ","")))</f>
      </c>
    </row>
    <row r="678" spans="1:7" x14ac:dyDescent="0.3">
      <c r="A678" s="11"/>
      <c r="B678" s="38">
        <f>IF($A678="","",IFERROR(IF(INDEX(Pledges!$D$5:$D$2500,MATCH($G678,Pledges!$K$5:$K$2500,0))="","⚠ no amount on Pledges",IF(INDEX(Pledges!$B$5:$B$2500,MATCH($G678,Pledges!$K$5:$K$2500,0))="","",INDEX(Pledges!$B$5:$B$2500,MATCH($G678,Pledges!$K$5:$K$2500,0)))),"⚠ phone not in Pledges"))</f>
      </c>
      <c r="C678" s="12"/>
      <c r="D678" s="13"/>
      <c r="E678" s="22"/>
      <c r="F678" s="23"/>
      <c r="G678">
        <f>IF($A678="","","#"&amp;TRIM(SUBSTITUTE(SUBSTITUTE(SUBSTITUTE(SUBSTITUTE(SUBSTITUTE(SUBSTITUTE($A678,"-",""),"(",""),")",""),".",""),"+","")," ","")))</f>
      </c>
    </row>
    <row r="679" spans="1:7" x14ac:dyDescent="0.3">
      <c r="A679" s="11"/>
      <c r="B679" s="38">
        <f>IF($A679="","",IFERROR(IF(INDEX(Pledges!$D$5:$D$2500,MATCH($G679,Pledges!$K$5:$K$2500,0))="","⚠ no amount on Pledges",IF(INDEX(Pledges!$B$5:$B$2500,MATCH($G679,Pledges!$K$5:$K$2500,0))="","",INDEX(Pledges!$B$5:$B$2500,MATCH($G679,Pledges!$K$5:$K$2500,0)))),"⚠ phone not in Pledges"))</f>
      </c>
      <c r="C679" s="12"/>
      <c r="D679" s="13"/>
      <c r="E679" s="22"/>
      <c r="F679" s="23"/>
      <c r="G679">
        <f>IF($A679="","","#"&amp;TRIM(SUBSTITUTE(SUBSTITUTE(SUBSTITUTE(SUBSTITUTE(SUBSTITUTE(SUBSTITUTE($A679,"-",""),"(",""),")",""),".",""),"+","")," ","")))</f>
      </c>
    </row>
    <row r="680" spans="1:7" x14ac:dyDescent="0.3">
      <c r="A680" s="11"/>
      <c r="B680" s="38">
        <f>IF($A680="","",IFERROR(IF(INDEX(Pledges!$D$5:$D$2500,MATCH($G680,Pledges!$K$5:$K$2500,0))="","⚠ no amount on Pledges",IF(INDEX(Pledges!$B$5:$B$2500,MATCH($G680,Pledges!$K$5:$K$2500,0))="","",INDEX(Pledges!$B$5:$B$2500,MATCH($G680,Pledges!$K$5:$K$2500,0)))),"⚠ phone not in Pledges"))</f>
      </c>
      <c r="C680" s="12"/>
      <c r="D680" s="13"/>
      <c r="E680" s="22"/>
      <c r="F680" s="23"/>
      <c r="G680">
        <f>IF($A680="","","#"&amp;TRIM(SUBSTITUTE(SUBSTITUTE(SUBSTITUTE(SUBSTITUTE(SUBSTITUTE(SUBSTITUTE($A680,"-",""),"(",""),")",""),".",""),"+","")," ","")))</f>
      </c>
    </row>
    <row r="681" spans="1:7" x14ac:dyDescent="0.3">
      <c r="A681" s="11"/>
      <c r="B681" s="38">
        <f>IF($A681="","",IFERROR(IF(INDEX(Pledges!$D$5:$D$2500,MATCH($G681,Pledges!$K$5:$K$2500,0))="","⚠ no amount on Pledges",IF(INDEX(Pledges!$B$5:$B$2500,MATCH($G681,Pledges!$K$5:$K$2500,0))="","",INDEX(Pledges!$B$5:$B$2500,MATCH($G681,Pledges!$K$5:$K$2500,0)))),"⚠ phone not in Pledges"))</f>
      </c>
      <c r="C681" s="12"/>
      <c r="D681" s="13"/>
      <c r="E681" s="22"/>
      <c r="F681" s="23"/>
      <c r="G681">
        <f>IF($A681="","","#"&amp;TRIM(SUBSTITUTE(SUBSTITUTE(SUBSTITUTE(SUBSTITUTE(SUBSTITUTE(SUBSTITUTE($A681,"-",""),"(",""),")",""),".",""),"+","")," ","")))</f>
      </c>
    </row>
    <row r="682" spans="1:7" x14ac:dyDescent="0.3">
      <c r="A682" s="11"/>
      <c r="B682" s="38">
        <f>IF($A682="","",IFERROR(IF(INDEX(Pledges!$D$5:$D$2500,MATCH($G682,Pledges!$K$5:$K$2500,0))="","⚠ no amount on Pledges",IF(INDEX(Pledges!$B$5:$B$2500,MATCH($G682,Pledges!$K$5:$K$2500,0))="","",INDEX(Pledges!$B$5:$B$2500,MATCH($G682,Pledges!$K$5:$K$2500,0)))),"⚠ phone not in Pledges"))</f>
      </c>
      <c r="C682" s="12"/>
      <c r="D682" s="13"/>
      <c r="E682" s="22"/>
      <c r="F682" s="23"/>
      <c r="G682">
        <f>IF($A682="","","#"&amp;TRIM(SUBSTITUTE(SUBSTITUTE(SUBSTITUTE(SUBSTITUTE(SUBSTITUTE(SUBSTITUTE($A682,"-",""),"(",""),")",""),".",""),"+","")," ","")))</f>
      </c>
    </row>
    <row r="683" spans="1:7" x14ac:dyDescent="0.3">
      <c r="A683" s="11"/>
      <c r="B683" s="38">
        <f>IF($A683="","",IFERROR(IF(INDEX(Pledges!$D$5:$D$2500,MATCH($G683,Pledges!$K$5:$K$2500,0))="","⚠ no amount on Pledges",IF(INDEX(Pledges!$B$5:$B$2500,MATCH($G683,Pledges!$K$5:$K$2500,0))="","",INDEX(Pledges!$B$5:$B$2500,MATCH($G683,Pledges!$K$5:$K$2500,0)))),"⚠ phone not in Pledges"))</f>
      </c>
      <c r="C683" s="12"/>
      <c r="D683" s="13"/>
      <c r="E683" s="22"/>
      <c r="F683" s="23"/>
      <c r="G683">
        <f>IF($A683="","","#"&amp;TRIM(SUBSTITUTE(SUBSTITUTE(SUBSTITUTE(SUBSTITUTE(SUBSTITUTE(SUBSTITUTE($A683,"-",""),"(",""),")",""),".",""),"+","")," ","")))</f>
      </c>
    </row>
    <row r="684" spans="1:7" x14ac:dyDescent="0.3">
      <c r="A684" s="11"/>
      <c r="B684" s="38">
        <f>IF($A684="","",IFERROR(IF(INDEX(Pledges!$D$5:$D$2500,MATCH($G684,Pledges!$K$5:$K$2500,0))="","⚠ no amount on Pledges",IF(INDEX(Pledges!$B$5:$B$2500,MATCH($G684,Pledges!$K$5:$K$2500,0))="","",INDEX(Pledges!$B$5:$B$2500,MATCH($G684,Pledges!$K$5:$K$2500,0)))),"⚠ phone not in Pledges"))</f>
      </c>
      <c r="C684" s="12"/>
      <c r="D684" s="13"/>
      <c r="E684" s="22"/>
      <c r="F684" s="23"/>
      <c r="G684">
        <f>IF($A684="","","#"&amp;TRIM(SUBSTITUTE(SUBSTITUTE(SUBSTITUTE(SUBSTITUTE(SUBSTITUTE(SUBSTITUTE($A684,"-",""),"(",""),")",""),".",""),"+","")," ","")))</f>
      </c>
    </row>
    <row r="685" spans="1:7" x14ac:dyDescent="0.3">
      <c r="A685" s="11"/>
      <c r="B685" s="38">
        <f>IF($A685="","",IFERROR(IF(INDEX(Pledges!$D$5:$D$2500,MATCH($G685,Pledges!$K$5:$K$2500,0))="","⚠ no amount on Pledges",IF(INDEX(Pledges!$B$5:$B$2500,MATCH($G685,Pledges!$K$5:$K$2500,0))="","",INDEX(Pledges!$B$5:$B$2500,MATCH($G685,Pledges!$K$5:$K$2500,0)))),"⚠ phone not in Pledges"))</f>
      </c>
      <c r="C685" s="12"/>
      <c r="D685" s="13"/>
      <c r="E685" s="22"/>
      <c r="F685" s="23"/>
      <c r="G685">
        <f>IF($A685="","","#"&amp;TRIM(SUBSTITUTE(SUBSTITUTE(SUBSTITUTE(SUBSTITUTE(SUBSTITUTE(SUBSTITUTE($A685,"-",""),"(",""),")",""),".",""),"+","")," ","")))</f>
      </c>
    </row>
    <row r="686" spans="1:7" x14ac:dyDescent="0.3">
      <c r="A686" s="11"/>
      <c r="B686" s="38">
        <f>IF($A686="","",IFERROR(IF(INDEX(Pledges!$D$5:$D$2500,MATCH($G686,Pledges!$K$5:$K$2500,0))="","⚠ no amount on Pledges",IF(INDEX(Pledges!$B$5:$B$2500,MATCH($G686,Pledges!$K$5:$K$2500,0))="","",INDEX(Pledges!$B$5:$B$2500,MATCH($G686,Pledges!$K$5:$K$2500,0)))),"⚠ phone not in Pledges"))</f>
      </c>
      <c r="C686" s="12"/>
      <c r="D686" s="13"/>
      <c r="E686" s="22"/>
      <c r="F686" s="23"/>
      <c r="G686">
        <f>IF($A686="","","#"&amp;TRIM(SUBSTITUTE(SUBSTITUTE(SUBSTITUTE(SUBSTITUTE(SUBSTITUTE(SUBSTITUTE($A686,"-",""),"(",""),")",""),".",""),"+","")," ","")))</f>
      </c>
    </row>
    <row r="687" spans="1:7" x14ac:dyDescent="0.3">
      <c r="A687" s="11"/>
      <c r="B687" s="38">
        <f>IF($A687="","",IFERROR(IF(INDEX(Pledges!$D$5:$D$2500,MATCH($G687,Pledges!$K$5:$K$2500,0))="","⚠ no amount on Pledges",IF(INDEX(Pledges!$B$5:$B$2500,MATCH($G687,Pledges!$K$5:$K$2500,0))="","",INDEX(Pledges!$B$5:$B$2500,MATCH($G687,Pledges!$K$5:$K$2500,0)))),"⚠ phone not in Pledges"))</f>
      </c>
      <c r="C687" s="12"/>
      <c r="D687" s="13"/>
      <c r="E687" s="22"/>
      <c r="F687" s="23"/>
      <c r="G687">
        <f>IF($A687="","","#"&amp;TRIM(SUBSTITUTE(SUBSTITUTE(SUBSTITUTE(SUBSTITUTE(SUBSTITUTE(SUBSTITUTE($A687,"-",""),"(",""),")",""),".",""),"+","")," ","")))</f>
      </c>
    </row>
    <row r="688" spans="1:7" x14ac:dyDescent="0.3">
      <c r="A688" s="11"/>
      <c r="B688" s="38">
        <f>IF($A688="","",IFERROR(IF(INDEX(Pledges!$D$5:$D$2500,MATCH($G688,Pledges!$K$5:$K$2500,0))="","⚠ no amount on Pledges",IF(INDEX(Pledges!$B$5:$B$2500,MATCH($G688,Pledges!$K$5:$K$2500,0))="","",INDEX(Pledges!$B$5:$B$2500,MATCH($G688,Pledges!$K$5:$K$2500,0)))),"⚠ phone not in Pledges"))</f>
      </c>
      <c r="C688" s="12"/>
      <c r="D688" s="13"/>
      <c r="E688" s="22"/>
      <c r="F688" s="23"/>
      <c r="G688">
        <f>IF($A688="","","#"&amp;TRIM(SUBSTITUTE(SUBSTITUTE(SUBSTITUTE(SUBSTITUTE(SUBSTITUTE(SUBSTITUTE($A688,"-",""),"(",""),")",""),".",""),"+","")," ","")))</f>
      </c>
    </row>
    <row r="689" spans="1:7" x14ac:dyDescent="0.3">
      <c r="A689" s="11"/>
      <c r="B689" s="38">
        <f>IF($A689="","",IFERROR(IF(INDEX(Pledges!$D$5:$D$2500,MATCH($G689,Pledges!$K$5:$K$2500,0))="","⚠ no amount on Pledges",IF(INDEX(Pledges!$B$5:$B$2500,MATCH($G689,Pledges!$K$5:$K$2500,0))="","",INDEX(Pledges!$B$5:$B$2500,MATCH($G689,Pledges!$K$5:$K$2500,0)))),"⚠ phone not in Pledges"))</f>
      </c>
      <c r="C689" s="12"/>
      <c r="D689" s="13"/>
      <c r="E689" s="22"/>
      <c r="F689" s="23"/>
      <c r="G689">
        <f>IF($A689="","","#"&amp;TRIM(SUBSTITUTE(SUBSTITUTE(SUBSTITUTE(SUBSTITUTE(SUBSTITUTE(SUBSTITUTE($A689,"-",""),"(",""),")",""),".",""),"+","")," ","")))</f>
      </c>
    </row>
    <row r="690" spans="1:7" x14ac:dyDescent="0.3">
      <c r="A690" s="11"/>
      <c r="B690" s="38">
        <f>IF($A690="","",IFERROR(IF(INDEX(Pledges!$D$5:$D$2500,MATCH($G690,Pledges!$K$5:$K$2500,0))="","⚠ no amount on Pledges",IF(INDEX(Pledges!$B$5:$B$2500,MATCH($G690,Pledges!$K$5:$K$2500,0))="","",INDEX(Pledges!$B$5:$B$2500,MATCH($G690,Pledges!$K$5:$K$2500,0)))),"⚠ phone not in Pledges"))</f>
      </c>
      <c r="C690" s="12"/>
      <c r="D690" s="13"/>
      <c r="E690" s="22"/>
      <c r="F690" s="23"/>
      <c r="G690">
        <f>IF($A690="","","#"&amp;TRIM(SUBSTITUTE(SUBSTITUTE(SUBSTITUTE(SUBSTITUTE(SUBSTITUTE(SUBSTITUTE($A690,"-",""),"(",""),")",""),".",""),"+","")," ","")))</f>
      </c>
    </row>
    <row r="691" spans="1:7" x14ac:dyDescent="0.3">
      <c r="A691" s="11"/>
      <c r="B691" s="38">
        <f>IF($A691="","",IFERROR(IF(INDEX(Pledges!$D$5:$D$2500,MATCH($G691,Pledges!$K$5:$K$2500,0))="","⚠ no amount on Pledges",IF(INDEX(Pledges!$B$5:$B$2500,MATCH($G691,Pledges!$K$5:$K$2500,0))="","",INDEX(Pledges!$B$5:$B$2500,MATCH($G691,Pledges!$K$5:$K$2500,0)))),"⚠ phone not in Pledges"))</f>
      </c>
      <c r="C691" s="12"/>
      <c r="D691" s="13"/>
      <c r="E691" s="22"/>
      <c r="F691" s="23"/>
      <c r="G691">
        <f>IF($A691="","","#"&amp;TRIM(SUBSTITUTE(SUBSTITUTE(SUBSTITUTE(SUBSTITUTE(SUBSTITUTE(SUBSTITUTE($A691,"-",""),"(",""),")",""),".",""),"+","")," ","")))</f>
      </c>
    </row>
    <row r="692" spans="1:7" x14ac:dyDescent="0.3">
      <c r="A692" s="11"/>
      <c r="B692" s="38">
        <f>IF($A692="","",IFERROR(IF(INDEX(Pledges!$D$5:$D$2500,MATCH($G692,Pledges!$K$5:$K$2500,0))="","⚠ no amount on Pledges",IF(INDEX(Pledges!$B$5:$B$2500,MATCH($G692,Pledges!$K$5:$K$2500,0))="","",INDEX(Pledges!$B$5:$B$2500,MATCH($G692,Pledges!$K$5:$K$2500,0)))),"⚠ phone not in Pledges"))</f>
      </c>
      <c r="C692" s="12"/>
      <c r="D692" s="13"/>
      <c r="E692" s="22"/>
      <c r="F692" s="23"/>
      <c r="G692">
        <f>IF($A692="","","#"&amp;TRIM(SUBSTITUTE(SUBSTITUTE(SUBSTITUTE(SUBSTITUTE(SUBSTITUTE(SUBSTITUTE($A692,"-",""),"(",""),")",""),".",""),"+","")," ","")))</f>
      </c>
    </row>
    <row r="693" spans="1:7" x14ac:dyDescent="0.3">
      <c r="A693" s="11"/>
      <c r="B693" s="38">
        <f>IF($A693="","",IFERROR(IF(INDEX(Pledges!$D$5:$D$2500,MATCH($G693,Pledges!$K$5:$K$2500,0))="","⚠ no amount on Pledges",IF(INDEX(Pledges!$B$5:$B$2500,MATCH($G693,Pledges!$K$5:$K$2500,0))="","",INDEX(Pledges!$B$5:$B$2500,MATCH($G693,Pledges!$K$5:$K$2500,0)))),"⚠ phone not in Pledges"))</f>
      </c>
      <c r="C693" s="12"/>
      <c r="D693" s="13"/>
      <c r="E693" s="22"/>
      <c r="F693" s="23"/>
      <c r="G693">
        <f>IF($A693="","","#"&amp;TRIM(SUBSTITUTE(SUBSTITUTE(SUBSTITUTE(SUBSTITUTE(SUBSTITUTE(SUBSTITUTE($A693,"-",""),"(",""),")",""),".",""),"+","")," ","")))</f>
      </c>
    </row>
    <row r="694" spans="1:7" x14ac:dyDescent="0.3">
      <c r="A694" s="11"/>
      <c r="B694" s="38">
        <f>IF($A694="","",IFERROR(IF(INDEX(Pledges!$D$5:$D$2500,MATCH($G694,Pledges!$K$5:$K$2500,0))="","⚠ no amount on Pledges",IF(INDEX(Pledges!$B$5:$B$2500,MATCH($G694,Pledges!$K$5:$K$2500,0))="","",INDEX(Pledges!$B$5:$B$2500,MATCH($G694,Pledges!$K$5:$K$2500,0)))),"⚠ phone not in Pledges"))</f>
      </c>
      <c r="C694" s="12"/>
      <c r="D694" s="13"/>
      <c r="E694" s="22"/>
      <c r="F694" s="23"/>
      <c r="G694">
        <f>IF($A694="","","#"&amp;TRIM(SUBSTITUTE(SUBSTITUTE(SUBSTITUTE(SUBSTITUTE(SUBSTITUTE(SUBSTITUTE($A694,"-",""),"(",""),")",""),".",""),"+","")," ","")))</f>
      </c>
    </row>
    <row r="695" spans="1:7" x14ac:dyDescent="0.3">
      <c r="A695" s="11"/>
      <c r="B695" s="38">
        <f>IF($A695="","",IFERROR(IF(INDEX(Pledges!$D$5:$D$2500,MATCH($G695,Pledges!$K$5:$K$2500,0))="","⚠ no amount on Pledges",IF(INDEX(Pledges!$B$5:$B$2500,MATCH($G695,Pledges!$K$5:$K$2500,0))="","",INDEX(Pledges!$B$5:$B$2500,MATCH($G695,Pledges!$K$5:$K$2500,0)))),"⚠ phone not in Pledges"))</f>
      </c>
      <c r="C695" s="12"/>
      <c r="D695" s="13"/>
      <c r="E695" s="22"/>
      <c r="F695" s="23"/>
      <c r="G695">
        <f>IF($A695="","","#"&amp;TRIM(SUBSTITUTE(SUBSTITUTE(SUBSTITUTE(SUBSTITUTE(SUBSTITUTE(SUBSTITUTE($A695,"-",""),"(",""),")",""),".",""),"+","")," ","")))</f>
      </c>
    </row>
    <row r="696" spans="1:7" x14ac:dyDescent="0.3">
      <c r="A696" s="11"/>
      <c r="B696" s="38">
        <f>IF($A696="","",IFERROR(IF(INDEX(Pledges!$D$5:$D$2500,MATCH($G696,Pledges!$K$5:$K$2500,0))="","⚠ no amount on Pledges",IF(INDEX(Pledges!$B$5:$B$2500,MATCH($G696,Pledges!$K$5:$K$2500,0))="","",INDEX(Pledges!$B$5:$B$2500,MATCH($G696,Pledges!$K$5:$K$2500,0)))),"⚠ phone not in Pledges"))</f>
      </c>
      <c r="C696" s="12"/>
      <c r="D696" s="13"/>
      <c r="E696" s="22"/>
      <c r="F696" s="23"/>
      <c r="G696">
        <f>IF($A696="","","#"&amp;TRIM(SUBSTITUTE(SUBSTITUTE(SUBSTITUTE(SUBSTITUTE(SUBSTITUTE(SUBSTITUTE($A696,"-",""),"(",""),")",""),".",""),"+","")," ","")))</f>
      </c>
    </row>
    <row r="697" spans="1:7" x14ac:dyDescent="0.3">
      <c r="A697" s="11"/>
      <c r="B697" s="38">
        <f>IF($A697="","",IFERROR(IF(INDEX(Pledges!$D$5:$D$2500,MATCH($G697,Pledges!$K$5:$K$2500,0))="","⚠ no amount on Pledges",IF(INDEX(Pledges!$B$5:$B$2500,MATCH($G697,Pledges!$K$5:$K$2500,0))="","",INDEX(Pledges!$B$5:$B$2500,MATCH($G697,Pledges!$K$5:$K$2500,0)))),"⚠ phone not in Pledges"))</f>
      </c>
      <c r="C697" s="12"/>
      <c r="D697" s="13"/>
      <c r="E697" s="22"/>
      <c r="F697" s="23"/>
      <c r="G697">
        <f>IF($A697="","","#"&amp;TRIM(SUBSTITUTE(SUBSTITUTE(SUBSTITUTE(SUBSTITUTE(SUBSTITUTE(SUBSTITUTE($A697,"-",""),"(",""),")",""),".",""),"+","")," ","")))</f>
      </c>
    </row>
    <row r="698" spans="1:7" x14ac:dyDescent="0.3">
      <c r="A698" s="11"/>
      <c r="B698" s="38">
        <f>IF($A698="","",IFERROR(IF(INDEX(Pledges!$D$5:$D$2500,MATCH($G698,Pledges!$K$5:$K$2500,0))="","⚠ no amount on Pledges",IF(INDEX(Pledges!$B$5:$B$2500,MATCH($G698,Pledges!$K$5:$K$2500,0))="","",INDEX(Pledges!$B$5:$B$2500,MATCH($G698,Pledges!$K$5:$K$2500,0)))),"⚠ phone not in Pledges"))</f>
      </c>
      <c r="C698" s="12"/>
      <c r="D698" s="13"/>
      <c r="E698" s="22"/>
      <c r="F698" s="23"/>
      <c r="G698">
        <f>IF($A698="","","#"&amp;TRIM(SUBSTITUTE(SUBSTITUTE(SUBSTITUTE(SUBSTITUTE(SUBSTITUTE(SUBSTITUTE($A698,"-",""),"(",""),")",""),".",""),"+","")," ","")))</f>
      </c>
    </row>
    <row r="699" spans="1:7" x14ac:dyDescent="0.3">
      <c r="A699" s="11"/>
      <c r="B699" s="38">
        <f>IF($A699="","",IFERROR(IF(INDEX(Pledges!$D$5:$D$2500,MATCH($G699,Pledges!$K$5:$K$2500,0))="","⚠ no amount on Pledges",IF(INDEX(Pledges!$B$5:$B$2500,MATCH($G699,Pledges!$K$5:$K$2500,0))="","",INDEX(Pledges!$B$5:$B$2500,MATCH($G699,Pledges!$K$5:$K$2500,0)))),"⚠ phone not in Pledges"))</f>
      </c>
      <c r="C699" s="12"/>
      <c r="D699" s="13"/>
      <c r="E699" s="22"/>
      <c r="F699" s="23"/>
      <c r="G699">
        <f>IF($A699="","","#"&amp;TRIM(SUBSTITUTE(SUBSTITUTE(SUBSTITUTE(SUBSTITUTE(SUBSTITUTE(SUBSTITUTE($A699,"-",""),"(",""),")",""),".",""),"+","")," ","")))</f>
      </c>
    </row>
    <row r="700" spans="1:7" x14ac:dyDescent="0.3">
      <c r="A700" s="11"/>
      <c r="B700" s="38">
        <f>IF($A700="","",IFERROR(IF(INDEX(Pledges!$D$5:$D$2500,MATCH($G700,Pledges!$K$5:$K$2500,0))="","⚠ no amount on Pledges",IF(INDEX(Pledges!$B$5:$B$2500,MATCH($G700,Pledges!$K$5:$K$2500,0))="","",INDEX(Pledges!$B$5:$B$2500,MATCH($G700,Pledges!$K$5:$K$2500,0)))),"⚠ phone not in Pledges"))</f>
      </c>
      <c r="C700" s="12"/>
      <c r="D700" s="13"/>
      <c r="E700" s="22"/>
      <c r="F700" s="23"/>
      <c r="G700">
        <f>IF($A700="","","#"&amp;TRIM(SUBSTITUTE(SUBSTITUTE(SUBSTITUTE(SUBSTITUTE(SUBSTITUTE(SUBSTITUTE($A700,"-",""),"(",""),")",""),".",""),"+","")," ","")))</f>
      </c>
    </row>
    <row r="701" spans="1:7" x14ac:dyDescent="0.3">
      <c r="A701" s="11"/>
      <c r="B701" s="38">
        <f>IF($A701="","",IFERROR(IF(INDEX(Pledges!$D$5:$D$2500,MATCH($G701,Pledges!$K$5:$K$2500,0))="","⚠ no amount on Pledges",IF(INDEX(Pledges!$B$5:$B$2500,MATCH($G701,Pledges!$K$5:$K$2500,0))="","",INDEX(Pledges!$B$5:$B$2500,MATCH($G701,Pledges!$K$5:$K$2500,0)))),"⚠ phone not in Pledges"))</f>
      </c>
      <c r="C701" s="12"/>
      <c r="D701" s="13"/>
      <c r="E701" s="22"/>
      <c r="F701" s="23"/>
      <c r="G701">
        <f>IF($A701="","","#"&amp;TRIM(SUBSTITUTE(SUBSTITUTE(SUBSTITUTE(SUBSTITUTE(SUBSTITUTE(SUBSTITUTE($A701,"-",""),"(",""),")",""),".",""),"+","")," ","")))</f>
      </c>
    </row>
    <row r="702" spans="1:7" x14ac:dyDescent="0.3">
      <c r="A702" s="11"/>
      <c r="B702" s="38">
        <f>IF($A702="","",IFERROR(IF(INDEX(Pledges!$D$5:$D$2500,MATCH($G702,Pledges!$K$5:$K$2500,0))="","⚠ no amount on Pledges",IF(INDEX(Pledges!$B$5:$B$2500,MATCH($G702,Pledges!$K$5:$K$2500,0))="","",INDEX(Pledges!$B$5:$B$2500,MATCH($G702,Pledges!$K$5:$K$2500,0)))),"⚠ phone not in Pledges"))</f>
      </c>
      <c r="C702" s="12"/>
      <c r="D702" s="13"/>
      <c r="E702" s="22"/>
      <c r="F702" s="23"/>
      <c r="G702">
        <f>IF($A702="","","#"&amp;TRIM(SUBSTITUTE(SUBSTITUTE(SUBSTITUTE(SUBSTITUTE(SUBSTITUTE(SUBSTITUTE($A702,"-",""),"(",""),")",""),".",""),"+","")," ","")))</f>
      </c>
    </row>
    <row r="703" spans="1:7" x14ac:dyDescent="0.3">
      <c r="A703" s="11"/>
      <c r="B703" s="38">
        <f>IF($A703="","",IFERROR(IF(INDEX(Pledges!$D$5:$D$2500,MATCH($G703,Pledges!$K$5:$K$2500,0))="","⚠ no amount on Pledges",IF(INDEX(Pledges!$B$5:$B$2500,MATCH($G703,Pledges!$K$5:$K$2500,0))="","",INDEX(Pledges!$B$5:$B$2500,MATCH($G703,Pledges!$K$5:$K$2500,0)))),"⚠ phone not in Pledges"))</f>
      </c>
      <c r="C703" s="12"/>
      <c r="D703" s="13"/>
      <c r="E703" s="22"/>
      <c r="F703" s="23"/>
      <c r="G703">
        <f>IF($A703="","","#"&amp;TRIM(SUBSTITUTE(SUBSTITUTE(SUBSTITUTE(SUBSTITUTE(SUBSTITUTE(SUBSTITUTE($A703,"-",""),"(",""),")",""),".",""),"+","")," ","")))</f>
      </c>
    </row>
    <row r="704" spans="1:7" x14ac:dyDescent="0.3">
      <c r="A704" s="11"/>
      <c r="B704" s="38">
        <f>IF($A704="","",IFERROR(IF(INDEX(Pledges!$D$5:$D$2500,MATCH($G704,Pledges!$K$5:$K$2500,0))="","⚠ no amount on Pledges",IF(INDEX(Pledges!$B$5:$B$2500,MATCH($G704,Pledges!$K$5:$K$2500,0))="","",INDEX(Pledges!$B$5:$B$2500,MATCH($G704,Pledges!$K$5:$K$2500,0)))),"⚠ phone not in Pledges"))</f>
      </c>
      <c r="C704" s="12"/>
      <c r="D704" s="13"/>
      <c r="E704" s="22"/>
      <c r="F704" s="23"/>
      <c r="G704">
        <f>IF($A704="","","#"&amp;TRIM(SUBSTITUTE(SUBSTITUTE(SUBSTITUTE(SUBSTITUTE(SUBSTITUTE(SUBSTITUTE($A704,"-",""),"(",""),")",""),".",""),"+","")," ","")))</f>
      </c>
    </row>
    <row r="705" spans="1:7" x14ac:dyDescent="0.3">
      <c r="A705" s="11"/>
      <c r="B705" s="38">
        <f>IF($A705="","",IFERROR(IF(INDEX(Pledges!$D$5:$D$2500,MATCH($G705,Pledges!$K$5:$K$2500,0))="","⚠ no amount on Pledges",IF(INDEX(Pledges!$B$5:$B$2500,MATCH($G705,Pledges!$K$5:$K$2500,0))="","",INDEX(Pledges!$B$5:$B$2500,MATCH($G705,Pledges!$K$5:$K$2500,0)))),"⚠ phone not in Pledges"))</f>
      </c>
      <c r="C705" s="12"/>
      <c r="D705" s="13"/>
      <c r="E705" s="22"/>
      <c r="F705" s="23"/>
      <c r="G705">
        <f>IF($A705="","","#"&amp;TRIM(SUBSTITUTE(SUBSTITUTE(SUBSTITUTE(SUBSTITUTE(SUBSTITUTE(SUBSTITUTE($A705,"-",""),"(",""),")",""),".",""),"+","")," ","")))</f>
      </c>
    </row>
    <row r="706" spans="1:7" x14ac:dyDescent="0.3">
      <c r="A706" s="11"/>
      <c r="B706" s="38">
        <f>IF($A706="","",IFERROR(IF(INDEX(Pledges!$D$5:$D$2500,MATCH($G706,Pledges!$K$5:$K$2500,0))="","⚠ no amount on Pledges",IF(INDEX(Pledges!$B$5:$B$2500,MATCH($G706,Pledges!$K$5:$K$2500,0))="","",INDEX(Pledges!$B$5:$B$2500,MATCH($G706,Pledges!$K$5:$K$2500,0)))),"⚠ phone not in Pledges"))</f>
      </c>
      <c r="C706" s="12"/>
      <c r="D706" s="13"/>
      <c r="E706" s="22"/>
      <c r="F706" s="23"/>
      <c r="G706">
        <f>IF($A706="","","#"&amp;TRIM(SUBSTITUTE(SUBSTITUTE(SUBSTITUTE(SUBSTITUTE(SUBSTITUTE(SUBSTITUTE($A706,"-",""),"(",""),")",""),".",""),"+","")," ","")))</f>
      </c>
    </row>
    <row r="707" spans="1:7" x14ac:dyDescent="0.3">
      <c r="A707" s="11"/>
      <c r="B707" s="38">
        <f>IF($A707="","",IFERROR(IF(INDEX(Pledges!$D$5:$D$2500,MATCH($G707,Pledges!$K$5:$K$2500,0))="","⚠ no amount on Pledges",IF(INDEX(Pledges!$B$5:$B$2500,MATCH($G707,Pledges!$K$5:$K$2500,0))="","",INDEX(Pledges!$B$5:$B$2500,MATCH($G707,Pledges!$K$5:$K$2500,0)))),"⚠ phone not in Pledges"))</f>
      </c>
      <c r="C707" s="12"/>
      <c r="D707" s="13"/>
      <c r="E707" s="22"/>
      <c r="F707" s="23"/>
      <c r="G707">
        <f>IF($A707="","","#"&amp;TRIM(SUBSTITUTE(SUBSTITUTE(SUBSTITUTE(SUBSTITUTE(SUBSTITUTE(SUBSTITUTE($A707,"-",""),"(",""),")",""),".",""),"+","")," ","")))</f>
      </c>
    </row>
    <row r="708" spans="1:7" x14ac:dyDescent="0.3">
      <c r="A708" s="11"/>
      <c r="B708" s="38">
        <f>IF($A708="","",IFERROR(IF(INDEX(Pledges!$D$5:$D$2500,MATCH($G708,Pledges!$K$5:$K$2500,0))="","⚠ no amount on Pledges",IF(INDEX(Pledges!$B$5:$B$2500,MATCH($G708,Pledges!$K$5:$K$2500,0))="","",INDEX(Pledges!$B$5:$B$2500,MATCH($G708,Pledges!$K$5:$K$2500,0)))),"⚠ phone not in Pledges"))</f>
      </c>
      <c r="C708" s="12"/>
      <c r="D708" s="13"/>
      <c r="E708" s="22"/>
      <c r="F708" s="23"/>
      <c r="G708">
        <f>IF($A708="","","#"&amp;TRIM(SUBSTITUTE(SUBSTITUTE(SUBSTITUTE(SUBSTITUTE(SUBSTITUTE(SUBSTITUTE($A708,"-",""),"(",""),")",""),".",""),"+","")," ","")))</f>
      </c>
    </row>
    <row r="709" spans="1:7" x14ac:dyDescent="0.3">
      <c r="A709" s="11"/>
      <c r="B709" s="38">
        <f>IF($A709="","",IFERROR(IF(INDEX(Pledges!$D$5:$D$2500,MATCH($G709,Pledges!$K$5:$K$2500,0))="","⚠ no amount on Pledges",IF(INDEX(Pledges!$B$5:$B$2500,MATCH($G709,Pledges!$K$5:$K$2500,0))="","",INDEX(Pledges!$B$5:$B$2500,MATCH($G709,Pledges!$K$5:$K$2500,0)))),"⚠ phone not in Pledges"))</f>
      </c>
      <c r="C709" s="12"/>
      <c r="D709" s="13"/>
      <c r="E709" s="22"/>
      <c r="F709" s="23"/>
      <c r="G709">
        <f>IF($A709="","","#"&amp;TRIM(SUBSTITUTE(SUBSTITUTE(SUBSTITUTE(SUBSTITUTE(SUBSTITUTE(SUBSTITUTE($A709,"-",""),"(",""),")",""),".",""),"+","")," ","")))</f>
      </c>
    </row>
    <row r="710" spans="1:7" x14ac:dyDescent="0.3">
      <c r="A710" s="11"/>
      <c r="B710" s="38">
        <f>IF($A710="","",IFERROR(IF(INDEX(Pledges!$D$5:$D$2500,MATCH($G710,Pledges!$K$5:$K$2500,0))="","⚠ no amount on Pledges",IF(INDEX(Pledges!$B$5:$B$2500,MATCH($G710,Pledges!$K$5:$K$2500,0))="","",INDEX(Pledges!$B$5:$B$2500,MATCH($G710,Pledges!$K$5:$K$2500,0)))),"⚠ phone not in Pledges"))</f>
      </c>
      <c r="C710" s="12"/>
      <c r="D710" s="13"/>
      <c r="E710" s="22"/>
      <c r="F710" s="23"/>
      <c r="G710">
        <f>IF($A710="","","#"&amp;TRIM(SUBSTITUTE(SUBSTITUTE(SUBSTITUTE(SUBSTITUTE(SUBSTITUTE(SUBSTITUTE($A710,"-",""),"(",""),")",""),".",""),"+","")," ","")))</f>
      </c>
    </row>
    <row r="711" spans="1:7" x14ac:dyDescent="0.3">
      <c r="A711" s="11"/>
      <c r="B711" s="38">
        <f>IF($A711="","",IFERROR(IF(INDEX(Pledges!$D$5:$D$2500,MATCH($G711,Pledges!$K$5:$K$2500,0))="","⚠ no amount on Pledges",IF(INDEX(Pledges!$B$5:$B$2500,MATCH($G711,Pledges!$K$5:$K$2500,0))="","",INDEX(Pledges!$B$5:$B$2500,MATCH($G711,Pledges!$K$5:$K$2500,0)))),"⚠ phone not in Pledges"))</f>
      </c>
      <c r="C711" s="12"/>
      <c r="D711" s="13"/>
      <c r="E711" s="22"/>
      <c r="F711" s="23"/>
      <c r="G711">
        <f>IF($A711="","","#"&amp;TRIM(SUBSTITUTE(SUBSTITUTE(SUBSTITUTE(SUBSTITUTE(SUBSTITUTE(SUBSTITUTE($A711,"-",""),"(",""),")",""),".",""),"+","")," ","")))</f>
      </c>
    </row>
    <row r="712" spans="1:7" x14ac:dyDescent="0.3">
      <c r="A712" s="11"/>
      <c r="B712" s="38">
        <f>IF($A712="","",IFERROR(IF(INDEX(Pledges!$D$5:$D$2500,MATCH($G712,Pledges!$K$5:$K$2500,0))="","⚠ no amount on Pledges",IF(INDEX(Pledges!$B$5:$B$2500,MATCH($G712,Pledges!$K$5:$K$2500,0))="","",INDEX(Pledges!$B$5:$B$2500,MATCH($G712,Pledges!$K$5:$K$2500,0)))),"⚠ phone not in Pledges"))</f>
      </c>
      <c r="C712" s="12"/>
      <c r="D712" s="13"/>
      <c r="E712" s="22"/>
      <c r="F712" s="23"/>
      <c r="G712">
        <f>IF($A712="","","#"&amp;TRIM(SUBSTITUTE(SUBSTITUTE(SUBSTITUTE(SUBSTITUTE(SUBSTITUTE(SUBSTITUTE($A712,"-",""),"(",""),")",""),".",""),"+","")," ","")))</f>
      </c>
    </row>
    <row r="713" spans="1:7" x14ac:dyDescent="0.3">
      <c r="A713" s="11"/>
      <c r="B713" s="38">
        <f>IF($A713="","",IFERROR(IF(INDEX(Pledges!$D$5:$D$2500,MATCH($G713,Pledges!$K$5:$K$2500,0))="","⚠ no amount on Pledges",IF(INDEX(Pledges!$B$5:$B$2500,MATCH($G713,Pledges!$K$5:$K$2500,0))="","",INDEX(Pledges!$B$5:$B$2500,MATCH($G713,Pledges!$K$5:$K$2500,0)))),"⚠ phone not in Pledges"))</f>
      </c>
      <c r="C713" s="12"/>
      <c r="D713" s="13"/>
      <c r="E713" s="22"/>
      <c r="F713" s="23"/>
      <c r="G713">
        <f>IF($A713="","","#"&amp;TRIM(SUBSTITUTE(SUBSTITUTE(SUBSTITUTE(SUBSTITUTE(SUBSTITUTE(SUBSTITUTE($A713,"-",""),"(",""),")",""),".",""),"+","")," ","")))</f>
      </c>
    </row>
    <row r="714" spans="1:7" x14ac:dyDescent="0.3">
      <c r="A714" s="11"/>
      <c r="B714" s="38">
        <f>IF($A714="","",IFERROR(IF(INDEX(Pledges!$D$5:$D$2500,MATCH($G714,Pledges!$K$5:$K$2500,0))="","⚠ no amount on Pledges",IF(INDEX(Pledges!$B$5:$B$2500,MATCH($G714,Pledges!$K$5:$K$2500,0))="","",INDEX(Pledges!$B$5:$B$2500,MATCH($G714,Pledges!$K$5:$K$2500,0)))),"⚠ phone not in Pledges"))</f>
      </c>
      <c r="C714" s="12"/>
      <c r="D714" s="13"/>
      <c r="E714" s="22"/>
      <c r="F714" s="23"/>
      <c r="G714">
        <f>IF($A714="","","#"&amp;TRIM(SUBSTITUTE(SUBSTITUTE(SUBSTITUTE(SUBSTITUTE(SUBSTITUTE(SUBSTITUTE($A714,"-",""),"(",""),")",""),".",""),"+","")," ","")))</f>
      </c>
    </row>
    <row r="715" spans="1:7" x14ac:dyDescent="0.3">
      <c r="A715" s="11"/>
      <c r="B715" s="38">
        <f>IF($A715="","",IFERROR(IF(INDEX(Pledges!$D$5:$D$2500,MATCH($G715,Pledges!$K$5:$K$2500,0))="","⚠ no amount on Pledges",IF(INDEX(Pledges!$B$5:$B$2500,MATCH($G715,Pledges!$K$5:$K$2500,0))="","",INDEX(Pledges!$B$5:$B$2500,MATCH($G715,Pledges!$K$5:$K$2500,0)))),"⚠ phone not in Pledges"))</f>
      </c>
      <c r="C715" s="12"/>
      <c r="D715" s="13"/>
      <c r="E715" s="22"/>
      <c r="F715" s="23"/>
      <c r="G715">
        <f>IF($A715="","","#"&amp;TRIM(SUBSTITUTE(SUBSTITUTE(SUBSTITUTE(SUBSTITUTE(SUBSTITUTE(SUBSTITUTE($A715,"-",""),"(",""),")",""),".",""),"+","")," ","")))</f>
      </c>
    </row>
    <row r="716" spans="1:7" x14ac:dyDescent="0.3">
      <c r="A716" s="11"/>
      <c r="B716" s="38">
        <f>IF($A716="","",IFERROR(IF(INDEX(Pledges!$D$5:$D$2500,MATCH($G716,Pledges!$K$5:$K$2500,0))="","⚠ no amount on Pledges",IF(INDEX(Pledges!$B$5:$B$2500,MATCH($G716,Pledges!$K$5:$K$2500,0))="","",INDEX(Pledges!$B$5:$B$2500,MATCH($G716,Pledges!$K$5:$K$2500,0)))),"⚠ phone not in Pledges"))</f>
      </c>
      <c r="C716" s="12"/>
      <c r="D716" s="13"/>
      <c r="E716" s="22"/>
      <c r="F716" s="23"/>
      <c r="G716">
        <f>IF($A716="","","#"&amp;TRIM(SUBSTITUTE(SUBSTITUTE(SUBSTITUTE(SUBSTITUTE(SUBSTITUTE(SUBSTITUTE($A716,"-",""),"(",""),")",""),".",""),"+","")," ","")))</f>
      </c>
    </row>
    <row r="717" spans="1:7" x14ac:dyDescent="0.3">
      <c r="A717" s="11"/>
      <c r="B717" s="38">
        <f>IF($A717="","",IFERROR(IF(INDEX(Pledges!$D$5:$D$2500,MATCH($G717,Pledges!$K$5:$K$2500,0))="","⚠ no amount on Pledges",IF(INDEX(Pledges!$B$5:$B$2500,MATCH($G717,Pledges!$K$5:$K$2500,0))="","",INDEX(Pledges!$B$5:$B$2500,MATCH($G717,Pledges!$K$5:$K$2500,0)))),"⚠ phone not in Pledges"))</f>
      </c>
      <c r="C717" s="12"/>
      <c r="D717" s="13"/>
      <c r="E717" s="22"/>
      <c r="F717" s="23"/>
      <c r="G717">
        <f>IF($A717="","","#"&amp;TRIM(SUBSTITUTE(SUBSTITUTE(SUBSTITUTE(SUBSTITUTE(SUBSTITUTE(SUBSTITUTE($A717,"-",""),"(",""),")",""),".",""),"+","")," ","")))</f>
      </c>
    </row>
    <row r="718" spans="1:7" x14ac:dyDescent="0.3">
      <c r="A718" s="11"/>
      <c r="B718" s="38">
        <f>IF($A718="","",IFERROR(IF(INDEX(Pledges!$D$5:$D$2500,MATCH($G718,Pledges!$K$5:$K$2500,0))="","⚠ no amount on Pledges",IF(INDEX(Pledges!$B$5:$B$2500,MATCH($G718,Pledges!$K$5:$K$2500,0))="","",INDEX(Pledges!$B$5:$B$2500,MATCH($G718,Pledges!$K$5:$K$2500,0)))),"⚠ phone not in Pledges"))</f>
      </c>
      <c r="C718" s="12"/>
      <c r="D718" s="13"/>
      <c r="E718" s="22"/>
      <c r="F718" s="23"/>
      <c r="G718">
        <f>IF($A718="","","#"&amp;TRIM(SUBSTITUTE(SUBSTITUTE(SUBSTITUTE(SUBSTITUTE(SUBSTITUTE(SUBSTITUTE($A718,"-",""),"(",""),")",""),".",""),"+","")," ","")))</f>
      </c>
    </row>
    <row r="719" spans="1:7" x14ac:dyDescent="0.3">
      <c r="A719" s="11"/>
      <c r="B719" s="38">
        <f>IF($A719="","",IFERROR(IF(INDEX(Pledges!$D$5:$D$2500,MATCH($G719,Pledges!$K$5:$K$2500,0))="","⚠ no amount on Pledges",IF(INDEX(Pledges!$B$5:$B$2500,MATCH($G719,Pledges!$K$5:$K$2500,0))="","",INDEX(Pledges!$B$5:$B$2500,MATCH($G719,Pledges!$K$5:$K$2500,0)))),"⚠ phone not in Pledges"))</f>
      </c>
      <c r="C719" s="12"/>
      <c r="D719" s="13"/>
      <c r="E719" s="22"/>
      <c r="F719" s="23"/>
      <c r="G719">
        <f>IF($A719="","","#"&amp;TRIM(SUBSTITUTE(SUBSTITUTE(SUBSTITUTE(SUBSTITUTE(SUBSTITUTE(SUBSTITUTE($A719,"-",""),"(",""),")",""),".",""),"+","")," ","")))</f>
      </c>
    </row>
    <row r="720" spans="1:7" x14ac:dyDescent="0.3">
      <c r="A720" s="11"/>
      <c r="B720" s="38">
        <f>IF($A720="","",IFERROR(IF(INDEX(Pledges!$D$5:$D$2500,MATCH($G720,Pledges!$K$5:$K$2500,0))="","⚠ no amount on Pledges",IF(INDEX(Pledges!$B$5:$B$2500,MATCH($G720,Pledges!$K$5:$K$2500,0))="","",INDEX(Pledges!$B$5:$B$2500,MATCH($G720,Pledges!$K$5:$K$2500,0)))),"⚠ phone not in Pledges"))</f>
      </c>
      <c r="C720" s="12"/>
      <c r="D720" s="13"/>
      <c r="E720" s="22"/>
      <c r="F720" s="23"/>
      <c r="G720">
        <f>IF($A720="","","#"&amp;TRIM(SUBSTITUTE(SUBSTITUTE(SUBSTITUTE(SUBSTITUTE(SUBSTITUTE(SUBSTITUTE($A720,"-",""),"(",""),")",""),".",""),"+","")," ","")))</f>
      </c>
    </row>
    <row r="721" spans="1:7" x14ac:dyDescent="0.3">
      <c r="A721" s="11"/>
      <c r="B721" s="38">
        <f>IF($A721="","",IFERROR(IF(INDEX(Pledges!$D$5:$D$2500,MATCH($G721,Pledges!$K$5:$K$2500,0))="","⚠ no amount on Pledges",IF(INDEX(Pledges!$B$5:$B$2500,MATCH($G721,Pledges!$K$5:$K$2500,0))="","",INDEX(Pledges!$B$5:$B$2500,MATCH($G721,Pledges!$K$5:$K$2500,0)))),"⚠ phone not in Pledges"))</f>
      </c>
      <c r="C721" s="12"/>
      <c r="D721" s="13"/>
      <c r="E721" s="22"/>
      <c r="F721" s="23"/>
      <c r="G721">
        <f>IF($A721="","","#"&amp;TRIM(SUBSTITUTE(SUBSTITUTE(SUBSTITUTE(SUBSTITUTE(SUBSTITUTE(SUBSTITUTE($A721,"-",""),"(",""),")",""),".",""),"+","")," ","")))</f>
      </c>
    </row>
    <row r="722" spans="1:7" x14ac:dyDescent="0.3">
      <c r="A722" s="11"/>
      <c r="B722" s="38">
        <f>IF($A722="","",IFERROR(IF(INDEX(Pledges!$D$5:$D$2500,MATCH($G722,Pledges!$K$5:$K$2500,0))="","⚠ no amount on Pledges",IF(INDEX(Pledges!$B$5:$B$2500,MATCH($G722,Pledges!$K$5:$K$2500,0))="","",INDEX(Pledges!$B$5:$B$2500,MATCH($G722,Pledges!$K$5:$K$2500,0)))),"⚠ phone not in Pledges"))</f>
      </c>
      <c r="C722" s="12"/>
      <c r="D722" s="13"/>
      <c r="E722" s="22"/>
      <c r="F722" s="23"/>
      <c r="G722">
        <f>IF($A722="","","#"&amp;TRIM(SUBSTITUTE(SUBSTITUTE(SUBSTITUTE(SUBSTITUTE(SUBSTITUTE(SUBSTITUTE($A722,"-",""),"(",""),")",""),".",""),"+","")," ","")))</f>
      </c>
    </row>
    <row r="723" spans="1:7" x14ac:dyDescent="0.3">
      <c r="A723" s="11"/>
      <c r="B723" s="38">
        <f>IF($A723="","",IFERROR(IF(INDEX(Pledges!$D$5:$D$2500,MATCH($G723,Pledges!$K$5:$K$2500,0))="","⚠ no amount on Pledges",IF(INDEX(Pledges!$B$5:$B$2500,MATCH($G723,Pledges!$K$5:$K$2500,0))="","",INDEX(Pledges!$B$5:$B$2500,MATCH($G723,Pledges!$K$5:$K$2500,0)))),"⚠ phone not in Pledges"))</f>
      </c>
      <c r="C723" s="12"/>
      <c r="D723" s="13"/>
      <c r="E723" s="22"/>
      <c r="F723" s="23"/>
      <c r="G723">
        <f>IF($A723="","","#"&amp;TRIM(SUBSTITUTE(SUBSTITUTE(SUBSTITUTE(SUBSTITUTE(SUBSTITUTE(SUBSTITUTE($A723,"-",""),"(",""),")",""),".",""),"+","")," ","")))</f>
      </c>
    </row>
    <row r="724" spans="1:7" x14ac:dyDescent="0.3">
      <c r="A724" s="11"/>
      <c r="B724" s="38">
        <f>IF($A724="","",IFERROR(IF(INDEX(Pledges!$D$5:$D$2500,MATCH($G724,Pledges!$K$5:$K$2500,0))="","⚠ no amount on Pledges",IF(INDEX(Pledges!$B$5:$B$2500,MATCH($G724,Pledges!$K$5:$K$2500,0))="","",INDEX(Pledges!$B$5:$B$2500,MATCH($G724,Pledges!$K$5:$K$2500,0)))),"⚠ phone not in Pledges"))</f>
      </c>
      <c r="C724" s="12"/>
      <c r="D724" s="13"/>
      <c r="E724" s="22"/>
      <c r="F724" s="23"/>
      <c r="G724">
        <f>IF($A724="","","#"&amp;TRIM(SUBSTITUTE(SUBSTITUTE(SUBSTITUTE(SUBSTITUTE(SUBSTITUTE(SUBSTITUTE($A724,"-",""),"(",""),")",""),".",""),"+","")," ","")))</f>
      </c>
    </row>
    <row r="725" spans="1:7" x14ac:dyDescent="0.3">
      <c r="A725" s="11"/>
      <c r="B725" s="38">
        <f>IF($A725="","",IFERROR(IF(INDEX(Pledges!$D$5:$D$2500,MATCH($G725,Pledges!$K$5:$K$2500,0))="","⚠ no amount on Pledges",IF(INDEX(Pledges!$B$5:$B$2500,MATCH($G725,Pledges!$K$5:$K$2500,0))="","",INDEX(Pledges!$B$5:$B$2500,MATCH($G725,Pledges!$K$5:$K$2500,0)))),"⚠ phone not in Pledges"))</f>
      </c>
      <c r="C725" s="12"/>
      <c r="D725" s="13"/>
      <c r="E725" s="22"/>
      <c r="F725" s="23"/>
      <c r="G725">
        <f>IF($A725="","","#"&amp;TRIM(SUBSTITUTE(SUBSTITUTE(SUBSTITUTE(SUBSTITUTE(SUBSTITUTE(SUBSTITUTE($A725,"-",""),"(",""),")",""),".",""),"+","")," ","")))</f>
      </c>
    </row>
    <row r="726" spans="1:7" x14ac:dyDescent="0.3">
      <c r="A726" s="11"/>
      <c r="B726" s="38">
        <f>IF($A726="","",IFERROR(IF(INDEX(Pledges!$D$5:$D$2500,MATCH($G726,Pledges!$K$5:$K$2500,0))="","⚠ no amount on Pledges",IF(INDEX(Pledges!$B$5:$B$2500,MATCH($G726,Pledges!$K$5:$K$2500,0))="","",INDEX(Pledges!$B$5:$B$2500,MATCH($G726,Pledges!$K$5:$K$2500,0)))),"⚠ phone not in Pledges"))</f>
      </c>
      <c r="C726" s="12"/>
      <c r="D726" s="13"/>
      <c r="E726" s="22"/>
      <c r="F726" s="23"/>
      <c r="G726">
        <f>IF($A726="","","#"&amp;TRIM(SUBSTITUTE(SUBSTITUTE(SUBSTITUTE(SUBSTITUTE(SUBSTITUTE(SUBSTITUTE($A726,"-",""),"(",""),")",""),".",""),"+","")," ","")))</f>
      </c>
    </row>
    <row r="727" spans="1:7" x14ac:dyDescent="0.3">
      <c r="A727" s="11"/>
      <c r="B727" s="38">
        <f>IF($A727="","",IFERROR(IF(INDEX(Pledges!$D$5:$D$2500,MATCH($G727,Pledges!$K$5:$K$2500,0))="","⚠ no amount on Pledges",IF(INDEX(Pledges!$B$5:$B$2500,MATCH($G727,Pledges!$K$5:$K$2500,0))="","",INDEX(Pledges!$B$5:$B$2500,MATCH($G727,Pledges!$K$5:$K$2500,0)))),"⚠ phone not in Pledges"))</f>
      </c>
      <c r="C727" s="12"/>
      <c r="D727" s="13"/>
      <c r="E727" s="22"/>
      <c r="F727" s="23"/>
      <c r="G727">
        <f>IF($A727="","","#"&amp;TRIM(SUBSTITUTE(SUBSTITUTE(SUBSTITUTE(SUBSTITUTE(SUBSTITUTE(SUBSTITUTE($A727,"-",""),"(",""),")",""),".",""),"+","")," ","")))</f>
      </c>
    </row>
    <row r="728" spans="1:7" x14ac:dyDescent="0.3">
      <c r="A728" s="11"/>
      <c r="B728" s="38">
        <f>IF($A728="","",IFERROR(IF(INDEX(Pledges!$D$5:$D$2500,MATCH($G728,Pledges!$K$5:$K$2500,0))="","⚠ no amount on Pledges",IF(INDEX(Pledges!$B$5:$B$2500,MATCH($G728,Pledges!$K$5:$K$2500,0))="","",INDEX(Pledges!$B$5:$B$2500,MATCH($G728,Pledges!$K$5:$K$2500,0)))),"⚠ phone not in Pledges"))</f>
      </c>
      <c r="C728" s="12"/>
      <c r="D728" s="13"/>
      <c r="E728" s="22"/>
      <c r="F728" s="23"/>
      <c r="G728">
        <f>IF($A728="","","#"&amp;TRIM(SUBSTITUTE(SUBSTITUTE(SUBSTITUTE(SUBSTITUTE(SUBSTITUTE(SUBSTITUTE($A728,"-",""),"(",""),")",""),".",""),"+","")," ","")))</f>
      </c>
    </row>
    <row r="729" spans="1:7" x14ac:dyDescent="0.3">
      <c r="A729" s="11"/>
      <c r="B729" s="38">
        <f>IF($A729="","",IFERROR(IF(INDEX(Pledges!$D$5:$D$2500,MATCH($G729,Pledges!$K$5:$K$2500,0))="","⚠ no amount on Pledges",IF(INDEX(Pledges!$B$5:$B$2500,MATCH($G729,Pledges!$K$5:$K$2500,0))="","",INDEX(Pledges!$B$5:$B$2500,MATCH($G729,Pledges!$K$5:$K$2500,0)))),"⚠ phone not in Pledges"))</f>
      </c>
      <c r="C729" s="12"/>
      <c r="D729" s="13"/>
      <c r="E729" s="22"/>
      <c r="F729" s="23"/>
      <c r="G729">
        <f>IF($A729="","","#"&amp;TRIM(SUBSTITUTE(SUBSTITUTE(SUBSTITUTE(SUBSTITUTE(SUBSTITUTE(SUBSTITUTE($A729,"-",""),"(",""),")",""),".",""),"+","")," ","")))</f>
      </c>
    </row>
    <row r="730" spans="1:7" x14ac:dyDescent="0.3">
      <c r="A730" s="11"/>
      <c r="B730" s="38">
        <f>IF($A730="","",IFERROR(IF(INDEX(Pledges!$D$5:$D$2500,MATCH($G730,Pledges!$K$5:$K$2500,0))="","⚠ no amount on Pledges",IF(INDEX(Pledges!$B$5:$B$2500,MATCH($G730,Pledges!$K$5:$K$2500,0))="","",INDEX(Pledges!$B$5:$B$2500,MATCH($G730,Pledges!$K$5:$K$2500,0)))),"⚠ phone not in Pledges"))</f>
      </c>
      <c r="C730" s="12"/>
      <c r="D730" s="13"/>
      <c r="E730" s="22"/>
      <c r="F730" s="23"/>
      <c r="G730">
        <f>IF($A730="","","#"&amp;TRIM(SUBSTITUTE(SUBSTITUTE(SUBSTITUTE(SUBSTITUTE(SUBSTITUTE(SUBSTITUTE($A730,"-",""),"(",""),")",""),".",""),"+","")," ","")))</f>
      </c>
    </row>
    <row r="731" spans="1:7" x14ac:dyDescent="0.3">
      <c r="A731" s="11"/>
      <c r="B731" s="38">
        <f>IF($A731="","",IFERROR(IF(INDEX(Pledges!$D$5:$D$2500,MATCH($G731,Pledges!$K$5:$K$2500,0))="","⚠ no amount on Pledges",IF(INDEX(Pledges!$B$5:$B$2500,MATCH($G731,Pledges!$K$5:$K$2500,0))="","",INDEX(Pledges!$B$5:$B$2500,MATCH($G731,Pledges!$K$5:$K$2500,0)))),"⚠ phone not in Pledges"))</f>
      </c>
      <c r="C731" s="12"/>
      <c r="D731" s="13"/>
      <c r="E731" s="22"/>
      <c r="F731" s="23"/>
      <c r="G731">
        <f>IF($A731="","","#"&amp;TRIM(SUBSTITUTE(SUBSTITUTE(SUBSTITUTE(SUBSTITUTE(SUBSTITUTE(SUBSTITUTE($A731,"-",""),"(",""),")",""),".",""),"+","")," ","")))</f>
      </c>
    </row>
    <row r="732" spans="1:7" x14ac:dyDescent="0.3">
      <c r="A732" s="11"/>
      <c r="B732" s="38">
        <f>IF($A732="","",IFERROR(IF(INDEX(Pledges!$D$5:$D$2500,MATCH($G732,Pledges!$K$5:$K$2500,0))="","⚠ no amount on Pledges",IF(INDEX(Pledges!$B$5:$B$2500,MATCH($G732,Pledges!$K$5:$K$2500,0))="","",INDEX(Pledges!$B$5:$B$2500,MATCH($G732,Pledges!$K$5:$K$2500,0)))),"⚠ phone not in Pledges"))</f>
      </c>
      <c r="C732" s="12"/>
      <c r="D732" s="13"/>
      <c r="E732" s="22"/>
      <c r="F732" s="23"/>
      <c r="G732">
        <f>IF($A732="","","#"&amp;TRIM(SUBSTITUTE(SUBSTITUTE(SUBSTITUTE(SUBSTITUTE(SUBSTITUTE(SUBSTITUTE($A732,"-",""),"(",""),")",""),".",""),"+","")," ","")))</f>
      </c>
    </row>
    <row r="733" spans="1:7" x14ac:dyDescent="0.3">
      <c r="A733" s="11"/>
      <c r="B733" s="38">
        <f>IF($A733="","",IFERROR(IF(INDEX(Pledges!$D$5:$D$2500,MATCH($G733,Pledges!$K$5:$K$2500,0))="","⚠ no amount on Pledges",IF(INDEX(Pledges!$B$5:$B$2500,MATCH($G733,Pledges!$K$5:$K$2500,0))="","",INDEX(Pledges!$B$5:$B$2500,MATCH($G733,Pledges!$K$5:$K$2500,0)))),"⚠ phone not in Pledges"))</f>
      </c>
      <c r="C733" s="12"/>
      <c r="D733" s="13"/>
      <c r="E733" s="22"/>
      <c r="F733" s="23"/>
      <c r="G733">
        <f>IF($A733="","","#"&amp;TRIM(SUBSTITUTE(SUBSTITUTE(SUBSTITUTE(SUBSTITUTE(SUBSTITUTE(SUBSTITUTE($A733,"-",""),"(",""),")",""),".",""),"+","")," ","")))</f>
      </c>
    </row>
    <row r="734" spans="1:7" x14ac:dyDescent="0.3">
      <c r="A734" s="11"/>
      <c r="B734" s="38">
        <f>IF($A734="","",IFERROR(IF(INDEX(Pledges!$D$5:$D$2500,MATCH($G734,Pledges!$K$5:$K$2500,0))="","⚠ no amount on Pledges",IF(INDEX(Pledges!$B$5:$B$2500,MATCH($G734,Pledges!$K$5:$K$2500,0))="","",INDEX(Pledges!$B$5:$B$2500,MATCH($G734,Pledges!$K$5:$K$2500,0)))),"⚠ phone not in Pledges"))</f>
      </c>
      <c r="C734" s="12"/>
      <c r="D734" s="13"/>
      <c r="E734" s="22"/>
      <c r="F734" s="23"/>
      <c r="G734">
        <f>IF($A734="","","#"&amp;TRIM(SUBSTITUTE(SUBSTITUTE(SUBSTITUTE(SUBSTITUTE(SUBSTITUTE(SUBSTITUTE($A734,"-",""),"(",""),")",""),".",""),"+","")," ","")))</f>
      </c>
    </row>
    <row r="735" spans="1:7" x14ac:dyDescent="0.3">
      <c r="A735" s="11"/>
      <c r="B735" s="38">
        <f>IF($A735="","",IFERROR(IF(INDEX(Pledges!$D$5:$D$2500,MATCH($G735,Pledges!$K$5:$K$2500,0))="","⚠ no amount on Pledges",IF(INDEX(Pledges!$B$5:$B$2500,MATCH($G735,Pledges!$K$5:$K$2500,0))="","",INDEX(Pledges!$B$5:$B$2500,MATCH($G735,Pledges!$K$5:$K$2500,0)))),"⚠ phone not in Pledges"))</f>
      </c>
      <c r="C735" s="12"/>
      <c r="D735" s="13"/>
      <c r="E735" s="22"/>
      <c r="F735" s="23"/>
      <c r="G735">
        <f>IF($A735="","","#"&amp;TRIM(SUBSTITUTE(SUBSTITUTE(SUBSTITUTE(SUBSTITUTE(SUBSTITUTE(SUBSTITUTE($A735,"-",""),"(",""),")",""),".",""),"+","")," ","")))</f>
      </c>
    </row>
    <row r="736" spans="1:7" x14ac:dyDescent="0.3">
      <c r="A736" s="11"/>
      <c r="B736" s="38">
        <f>IF($A736="","",IFERROR(IF(INDEX(Pledges!$D$5:$D$2500,MATCH($G736,Pledges!$K$5:$K$2500,0))="","⚠ no amount on Pledges",IF(INDEX(Pledges!$B$5:$B$2500,MATCH($G736,Pledges!$K$5:$K$2500,0))="","",INDEX(Pledges!$B$5:$B$2500,MATCH($G736,Pledges!$K$5:$K$2500,0)))),"⚠ phone not in Pledges"))</f>
      </c>
      <c r="C736" s="12"/>
      <c r="D736" s="13"/>
      <c r="E736" s="22"/>
      <c r="F736" s="23"/>
      <c r="G736">
        <f>IF($A736="","","#"&amp;TRIM(SUBSTITUTE(SUBSTITUTE(SUBSTITUTE(SUBSTITUTE(SUBSTITUTE(SUBSTITUTE($A736,"-",""),"(",""),")",""),".",""),"+","")," ","")))</f>
      </c>
    </row>
    <row r="737" spans="1:7" x14ac:dyDescent="0.3">
      <c r="A737" s="11"/>
      <c r="B737" s="38">
        <f>IF($A737="","",IFERROR(IF(INDEX(Pledges!$D$5:$D$2500,MATCH($G737,Pledges!$K$5:$K$2500,0))="","⚠ no amount on Pledges",IF(INDEX(Pledges!$B$5:$B$2500,MATCH($G737,Pledges!$K$5:$K$2500,0))="","",INDEX(Pledges!$B$5:$B$2500,MATCH($G737,Pledges!$K$5:$K$2500,0)))),"⚠ phone not in Pledges"))</f>
      </c>
      <c r="C737" s="12"/>
      <c r="D737" s="13"/>
      <c r="E737" s="22"/>
      <c r="F737" s="23"/>
      <c r="G737">
        <f>IF($A737="","","#"&amp;TRIM(SUBSTITUTE(SUBSTITUTE(SUBSTITUTE(SUBSTITUTE(SUBSTITUTE(SUBSTITUTE($A737,"-",""),"(",""),")",""),".",""),"+","")," ","")))</f>
      </c>
    </row>
    <row r="738" spans="1:7" x14ac:dyDescent="0.3">
      <c r="A738" s="11"/>
      <c r="B738" s="38">
        <f>IF($A738="","",IFERROR(IF(INDEX(Pledges!$D$5:$D$2500,MATCH($G738,Pledges!$K$5:$K$2500,0))="","⚠ no amount on Pledges",IF(INDEX(Pledges!$B$5:$B$2500,MATCH($G738,Pledges!$K$5:$K$2500,0))="","",INDEX(Pledges!$B$5:$B$2500,MATCH($G738,Pledges!$K$5:$K$2500,0)))),"⚠ phone not in Pledges"))</f>
      </c>
      <c r="C738" s="12"/>
      <c r="D738" s="13"/>
      <c r="E738" s="22"/>
      <c r="F738" s="23"/>
      <c r="G738">
        <f>IF($A738="","","#"&amp;TRIM(SUBSTITUTE(SUBSTITUTE(SUBSTITUTE(SUBSTITUTE(SUBSTITUTE(SUBSTITUTE($A738,"-",""),"(",""),")",""),".",""),"+","")," ","")))</f>
      </c>
    </row>
    <row r="739" spans="1:7" x14ac:dyDescent="0.3">
      <c r="A739" s="11"/>
      <c r="B739" s="38">
        <f>IF($A739="","",IFERROR(IF(INDEX(Pledges!$D$5:$D$2500,MATCH($G739,Pledges!$K$5:$K$2500,0))="","⚠ no amount on Pledges",IF(INDEX(Pledges!$B$5:$B$2500,MATCH($G739,Pledges!$K$5:$K$2500,0))="","",INDEX(Pledges!$B$5:$B$2500,MATCH($G739,Pledges!$K$5:$K$2500,0)))),"⚠ phone not in Pledges"))</f>
      </c>
      <c r="C739" s="12"/>
      <c r="D739" s="13"/>
      <c r="E739" s="22"/>
      <c r="F739" s="23"/>
      <c r="G739">
        <f>IF($A739="","","#"&amp;TRIM(SUBSTITUTE(SUBSTITUTE(SUBSTITUTE(SUBSTITUTE(SUBSTITUTE(SUBSTITUTE($A739,"-",""),"(",""),")",""),".",""),"+","")," ","")))</f>
      </c>
    </row>
    <row r="740" spans="1:7" x14ac:dyDescent="0.3">
      <c r="A740" s="11"/>
      <c r="B740" s="38">
        <f>IF($A740="","",IFERROR(IF(INDEX(Pledges!$D$5:$D$2500,MATCH($G740,Pledges!$K$5:$K$2500,0))="","⚠ no amount on Pledges",IF(INDEX(Pledges!$B$5:$B$2500,MATCH($G740,Pledges!$K$5:$K$2500,0))="","",INDEX(Pledges!$B$5:$B$2500,MATCH($G740,Pledges!$K$5:$K$2500,0)))),"⚠ phone not in Pledges"))</f>
      </c>
      <c r="C740" s="12"/>
      <c r="D740" s="13"/>
      <c r="E740" s="22"/>
      <c r="F740" s="23"/>
      <c r="G740">
        <f>IF($A740="","","#"&amp;TRIM(SUBSTITUTE(SUBSTITUTE(SUBSTITUTE(SUBSTITUTE(SUBSTITUTE(SUBSTITUTE($A740,"-",""),"(",""),")",""),".",""),"+","")," ","")))</f>
      </c>
    </row>
    <row r="741" spans="1:7" x14ac:dyDescent="0.3">
      <c r="A741" s="11"/>
      <c r="B741" s="38">
        <f>IF($A741="","",IFERROR(IF(INDEX(Pledges!$D$5:$D$2500,MATCH($G741,Pledges!$K$5:$K$2500,0))="","⚠ no amount on Pledges",IF(INDEX(Pledges!$B$5:$B$2500,MATCH($G741,Pledges!$K$5:$K$2500,0))="","",INDEX(Pledges!$B$5:$B$2500,MATCH($G741,Pledges!$K$5:$K$2500,0)))),"⚠ phone not in Pledges"))</f>
      </c>
      <c r="C741" s="12"/>
      <c r="D741" s="13"/>
      <c r="E741" s="22"/>
      <c r="F741" s="23"/>
      <c r="G741">
        <f>IF($A741="","","#"&amp;TRIM(SUBSTITUTE(SUBSTITUTE(SUBSTITUTE(SUBSTITUTE(SUBSTITUTE(SUBSTITUTE($A741,"-",""),"(",""),")",""),".",""),"+","")," ","")))</f>
      </c>
    </row>
    <row r="742" spans="1:7" x14ac:dyDescent="0.3">
      <c r="A742" s="11"/>
      <c r="B742" s="38">
        <f>IF($A742="","",IFERROR(IF(INDEX(Pledges!$D$5:$D$2500,MATCH($G742,Pledges!$K$5:$K$2500,0))="","⚠ no amount on Pledges",IF(INDEX(Pledges!$B$5:$B$2500,MATCH($G742,Pledges!$K$5:$K$2500,0))="","",INDEX(Pledges!$B$5:$B$2500,MATCH($G742,Pledges!$K$5:$K$2500,0)))),"⚠ phone not in Pledges"))</f>
      </c>
      <c r="C742" s="12"/>
      <c r="D742" s="13"/>
      <c r="E742" s="22"/>
      <c r="F742" s="23"/>
      <c r="G742">
        <f>IF($A742="","","#"&amp;TRIM(SUBSTITUTE(SUBSTITUTE(SUBSTITUTE(SUBSTITUTE(SUBSTITUTE(SUBSTITUTE($A742,"-",""),"(",""),")",""),".",""),"+","")," ","")))</f>
      </c>
    </row>
    <row r="743" spans="1:7" x14ac:dyDescent="0.3">
      <c r="A743" s="11"/>
      <c r="B743" s="38">
        <f>IF($A743="","",IFERROR(IF(INDEX(Pledges!$D$5:$D$2500,MATCH($G743,Pledges!$K$5:$K$2500,0))="","⚠ no amount on Pledges",IF(INDEX(Pledges!$B$5:$B$2500,MATCH($G743,Pledges!$K$5:$K$2500,0))="","",INDEX(Pledges!$B$5:$B$2500,MATCH($G743,Pledges!$K$5:$K$2500,0)))),"⚠ phone not in Pledges"))</f>
      </c>
      <c r="C743" s="12"/>
      <c r="D743" s="13"/>
      <c r="E743" s="22"/>
      <c r="F743" s="23"/>
      <c r="G743">
        <f>IF($A743="","","#"&amp;TRIM(SUBSTITUTE(SUBSTITUTE(SUBSTITUTE(SUBSTITUTE(SUBSTITUTE(SUBSTITUTE($A743,"-",""),"(",""),")",""),".",""),"+","")," ","")))</f>
      </c>
    </row>
    <row r="744" spans="1:7" x14ac:dyDescent="0.3">
      <c r="A744" s="11"/>
      <c r="B744" s="38">
        <f>IF($A744="","",IFERROR(IF(INDEX(Pledges!$D$5:$D$2500,MATCH($G744,Pledges!$K$5:$K$2500,0))="","⚠ no amount on Pledges",IF(INDEX(Pledges!$B$5:$B$2500,MATCH($G744,Pledges!$K$5:$K$2500,0))="","",INDEX(Pledges!$B$5:$B$2500,MATCH($G744,Pledges!$K$5:$K$2500,0)))),"⚠ phone not in Pledges"))</f>
      </c>
      <c r="C744" s="12"/>
      <c r="D744" s="13"/>
      <c r="E744" s="22"/>
      <c r="F744" s="23"/>
      <c r="G744">
        <f>IF($A744="","","#"&amp;TRIM(SUBSTITUTE(SUBSTITUTE(SUBSTITUTE(SUBSTITUTE(SUBSTITUTE(SUBSTITUTE($A744,"-",""),"(",""),")",""),".",""),"+","")," ","")))</f>
      </c>
    </row>
    <row r="745" spans="1:7" x14ac:dyDescent="0.3">
      <c r="A745" s="11"/>
      <c r="B745" s="38">
        <f>IF($A745="","",IFERROR(IF(INDEX(Pledges!$D$5:$D$2500,MATCH($G745,Pledges!$K$5:$K$2500,0))="","⚠ no amount on Pledges",IF(INDEX(Pledges!$B$5:$B$2500,MATCH($G745,Pledges!$K$5:$K$2500,0))="","",INDEX(Pledges!$B$5:$B$2500,MATCH($G745,Pledges!$K$5:$K$2500,0)))),"⚠ phone not in Pledges"))</f>
      </c>
      <c r="C745" s="12"/>
      <c r="D745" s="13"/>
      <c r="E745" s="22"/>
      <c r="F745" s="23"/>
      <c r="G745">
        <f>IF($A745="","","#"&amp;TRIM(SUBSTITUTE(SUBSTITUTE(SUBSTITUTE(SUBSTITUTE(SUBSTITUTE(SUBSTITUTE($A745,"-",""),"(",""),")",""),".",""),"+","")," ","")))</f>
      </c>
    </row>
    <row r="746" spans="1:7" x14ac:dyDescent="0.3">
      <c r="A746" s="11"/>
      <c r="B746" s="38">
        <f>IF($A746="","",IFERROR(IF(INDEX(Pledges!$D$5:$D$2500,MATCH($G746,Pledges!$K$5:$K$2500,0))="","⚠ no amount on Pledges",IF(INDEX(Pledges!$B$5:$B$2500,MATCH($G746,Pledges!$K$5:$K$2500,0))="","",INDEX(Pledges!$B$5:$B$2500,MATCH($G746,Pledges!$K$5:$K$2500,0)))),"⚠ phone not in Pledges"))</f>
      </c>
      <c r="C746" s="12"/>
      <c r="D746" s="13"/>
      <c r="E746" s="22"/>
      <c r="F746" s="23"/>
      <c r="G746">
        <f>IF($A746="","","#"&amp;TRIM(SUBSTITUTE(SUBSTITUTE(SUBSTITUTE(SUBSTITUTE(SUBSTITUTE(SUBSTITUTE($A746,"-",""),"(",""),")",""),".",""),"+","")," ","")))</f>
      </c>
    </row>
    <row r="747" spans="1:7" x14ac:dyDescent="0.3">
      <c r="A747" s="11"/>
      <c r="B747" s="38">
        <f>IF($A747="","",IFERROR(IF(INDEX(Pledges!$D$5:$D$2500,MATCH($G747,Pledges!$K$5:$K$2500,0))="","⚠ no amount on Pledges",IF(INDEX(Pledges!$B$5:$B$2500,MATCH($G747,Pledges!$K$5:$K$2500,0))="","",INDEX(Pledges!$B$5:$B$2500,MATCH($G747,Pledges!$K$5:$K$2500,0)))),"⚠ phone not in Pledges"))</f>
      </c>
      <c r="C747" s="12"/>
      <c r="D747" s="13"/>
      <c r="E747" s="22"/>
      <c r="F747" s="23"/>
      <c r="G747">
        <f>IF($A747="","","#"&amp;TRIM(SUBSTITUTE(SUBSTITUTE(SUBSTITUTE(SUBSTITUTE(SUBSTITUTE(SUBSTITUTE($A747,"-",""),"(",""),")",""),".",""),"+","")," ","")))</f>
      </c>
    </row>
    <row r="748" spans="1:7" x14ac:dyDescent="0.3">
      <c r="A748" s="11"/>
      <c r="B748" s="38">
        <f>IF($A748="","",IFERROR(IF(INDEX(Pledges!$D$5:$D$2500,MATCH($G748,Pledges!$K$5:$K$2500,0))="","⚠ no amount on Pledges",IF(INDEX(Pledges!$B$5:$B$2500,MATCH($G748,Pledges!$K$5:$K$2500,0))="","",INDEX(Pledges!$B$5:$B$2500,MATCH($G748,Pledges!$K$5:$K$2500,0)))),"⚠ phone not in Pledges"))</f>
      </c>
      <c r="C748" s="12"/>
      <c r="D748" s="13"/>
      <c r="E748" s="22"/>
      <c r="F748" s="23"/>
      <c r="G748">
        <f>IF($A748="","","#"&amp;TRIM(SUBSTITUTE(SUBSTITUTE(SUBSTITUTE(SUBSTITUTE(SUBSTITUTE(SUBSTITUTE($A748,"-",""),"(",""),")",""),".",""),"+","")," ","")))</f>
      </c>
    </row>
    <row r="749" spans="1:7" x14ac:dyDescent="0.3">
      <c r="A749" s="11"/>
      <c r="B749" s="38">
        <f>IF($A749="","",IFERROR(IF(INDEX(Pledges!$D$5:$D$2500,MATCH($G749,Pledges!$K$5:$K$2500,0))="","⚠ no amount on Pledges",IF(INDEX(Pledges!$B$5:$B$2500,MATCH($G749,Pledges!$K$5:$K$2500,0))="","",INDEX(Pledges!$B$5:$B$2500,MATCH($G749,Pledges!$K$5:$K$2500,0)))),"⚠ phone not in Pledges"))</f>
      </c>
      <c r="C749" s="12"/>
      <c r="D749" s="13"/>
      <c r="E749" s="22"/>
      <c r="F749" s="23"/>
      <c r="G749">
        <f>IF($A749="","","#"&amp;TRIM(SUBSTITUTE(SUBSTITUTE(SUBSTITUTE(SUBSTITUTE(SUBSTITUTE(SUBSTITUTE($A749,"-",""),"(",""),")",""),".",""),"+","")," ","")))</f>
      </c>
    </row>
    <row r="750" spans="1:7" x14ac:dyDescent="0.3">
      <c r="A750" s="11"/>
      <c r="B750" s="38">
        <f>IF($A750="","",IFERROR(IF(INDEX(Pledges!$D$5:$D$2500,MATCH($G750,Pledges!$K$5:$K$2500,0))="","⚠ no amount on Pledges",IF(INDEX(Pledges!$B$5:$B$2500,MATCH($G750,Pledges!$K$5:$K$2500,0))="","",INDEX(Pledges!$B$5:$B$2500,MATCH($G750,Pledges!$K$5:$K$2500,0)))),"⚠ phone not in Pledges"))</f>
      </c>
      <c r="C750" s="12"/>
      <c r="D750" s="13"/>
      <c r="E750" s="22"/>
      <c r="F750" s="23"/>
      <c r="G750">
        <f>IF($A750="","","#"&amp;TRIM(SUBSTITUTE(SUBSTITUTE(SUBSTITUTE(SUBSTITUTE(SUBSTITUTE(SUBSTITUTE($A750,"-",""),"(",""),")",""),".",""),"+","")," ","")))</f>
      </c>
    </row>
    <row r="751" spans="1:7" x14ac:dyDescent="0.3">
      <c r="A751" s="11"/>
      <c r="B751" s="38">
        <f>IF($A751="","",IFERROR(IF(INDEX(Pledges!$D$5:$D$2500,MATCH($G751,Pledges!$K$5:$K$2500,0))="","⚠ no amount on Pledges",IF(INDEX(Pledges!$B$5:$B$2500,MATCH($G751,Pledges!$K$5:$K$2500,0))="","",INDEX(Pledges!$B$5:$B$2500,MATCH($G751,Pledges!$K$5:$K$2500,0)))),"⚠ phone not in Pledges"))</f>
      </c>
      <c r="C751" s="12"/>
      <c r="D751" s="13"/>
      <c r="E751" s="22"/>
      <c r="F751" s="23"/>
      <c r="G751">
        <f>IF($A751="","","#"&amp;TRIM(SUBSTITUTE(SUBSTITUTE(SUBSTITUTE(SUBSTITUTE(SUBSTITUTE(SUBSTITUTE($A751,"-",""),"(",""),")",""),".",""),"+","")," ","")))</f>
      </c>
    </row>
    <row r="752" spans="1:7" x14ac:dyDescent="0.3">
      <c r="A752" s="11"/>
      <c r="B752" s="38">
        <f>IF($A752="","",IFERROR(IF(INDEX(Pledges!$D$5:$D$2500,MATCH($G752,Pledges!$K$5:$K$2500,0))="","⚠ no amount on Pledges",IF(INDEX(Pledges!$B$5:$B$2500,MATCH($G752,Pledges!$K$5:$K$2500,0))="","",INDEX(Pledges!$B$5:$B$2500,MATCH($G752,Pledges!$K$5:$K$2500,0)))),"⚠ phone not in Pledges"))</f>
      </c>
      <c r="C752" s="12"/>
      <c r="D752" s="13"/>
      <c r="E752" s="22"/>
      <c r="F752" s="23"/>
      <c r="G752">
        <f>IF($A752="","","#"&amp;TRIM(SUBSTITUTE(SUBSTITUTE(SUBSTITUTE(SUBSTITUTE(SUBSTITUTE(SUBSTITUTE($A752,"-",""),"(",""),")",""),".",""),"+","")," ","")))</f>
      </c>
    </row>
    <row r="753" spans="1:7" x14ac:dyDescent="0.3">
      <c r="A753" s="11"/>
      <c r="B753" s="38">
        <f>IF($A753="","",IFERROR(IF(INDEX(Pledges!$D$5:$D$2500,MATCH($G753,Pledges!$K$5:$K$2500,0))="","⚠ no amount on Pledges",IF(INDEX(Pledges!$B$5:$B$2500,MATCH($G753,Pledges!$K$5:$K$2500,0))="","",INDEX(Pledges!$B$5:$B$2500,MATCH($G753,Pledges!$K$5:$K$2500,0)))),"⚠ phone not in Pledges"))</f>
      </c>
      <c r="C753" s="12"/>
      <c r="D753" s="13"/>
      <c r="E753" s="22"/>
      <c r="F753" s="23"/>
      <c r="G753">
        <f>IF($A753="","","#"&amp;TRIM(SUBSTITUTE(SUBSTITUTE(SUBSTITUTE(SUBSTITUTE(SUBSTITUTE(SUBSTITUTE($A753,"-",""),"(",""),")",""),".",""),"+","")," ","")))</f>
      </c>
    </row>
    <row r="754" spans="1:7" x14ac:dyDescent="0.3">
      <c r="A754" s="11"/>
      <c r="B754" s="38">
        <f>IF($A754="","",IFERROR(IF(INDEX(Pledges!$D$5:$D$2500,MATCH($G754,Pledges!$K$5:$K$2500,0))="","⚠ no amount on Pledges",IF(INDEX(Pledges!$B$5:$B$2500,MATCH($G754,Pledges!$K$5:$K$2500,0))="","",INDEX(Pledges!$B$5:$B$2500,MATCH($G754,Pledges!$K$5:$K$2500,0)))),"⚠ phone not in Pledges"))</f>
      </c>
      <c r="C754" s="12"/>
      <c r="D754" s="13"/>
      <c r="E754" s="22"/>
      <c r="F754" s="23"/>
      <c r="G754">
        <f>IF($A754="","","#"&amp;TRIM(SUBSTITUTE(SUBSTITUTE(SUBSTITUTE(SUBSTITUTE(SUBSTITUTE(SUBSTITUTE($A754,"-",""),"(",""),")",""),".",""),"+","")," ","")))</f>
      </c>
    </row>
    <row r="755" spans="1:7" x14ac:dyDescent="0.3">
      <c r="A755" s="11"/>
      <c r="B755" s="38">
        <f>IF($A755="","",IFERROR(IF(INDEX(Pledges!$D$5:$D$2500,MATCH($G755,Pledges!$K$5:$K$2500,0))="","⚠ no amount on Pledges",IF(INDEX(Pledges!$B$5:$B$2500,MATCH($G755,Pledges!$K$5:$K$2500,0))="","",INDEX(Pledges!$B$5:$B$2500,MATCH($G755,Pledges!$K$5:$K$2500,0)))),"⚠ phone not in Pledges"))</f>
      </c>
      <c r="C755" s="12"/>
      <c r="D755" s="13"/>
      <c r="E755" s="22"/>
      <c r="F755" s="23"/>
      <c r="G755">
        <f>IF($A755="","","#"&amp;TRIM(SUBSTITUTE(SUBSTITUTE(SUBSTITUTE(SUBSTITUTE(SUBSTITUTE(SUBSTITUTE($A755,"-",""),"(",""),")",""),".",""),"+","")," ","")))</f>
      </c>
    </row>
    <row r="756" spans="1:7" x14ac:dyDescent="0.3">
      <c r="A756" s="11"/>
      <c r="B756" s="38">
        <f>IF($A756="","",IFERROR(IF(INDEX(Pledges!$D$5:$D$2500,MATCH($G756,Pledges!$K$5:$K$2500,0))="","⚠ no amount on Pledges",IF(INDEX(Pledges!$B$5:$B$2500,MATCH($G756,Pledges!$K$5:$K$2500,0))="","",INDEX(Pledges!$B$5:$B$2500,MATCH($G756,Pledges!$K$5:$K$2500,0)))),"⚠ phone not in Pledges"))</f>
      </c>
      <c r="C756" s="12"/>
      <c r="D756" s="13"/>
      <c r="E756" s="22"/>
      <c r="F756" s="23"/>
      <c r="G756">
        <f>IF($A756="","","#"&amp;TRIM(SUBSTITUTE(SUBSTITUTE(SUBSTITUTE(SUBSTITUTE(SUBSTITUTE(SUBSTITUTE($A756,"-",""),"(",""),")",""),".",""),"+","")," ","")))</f>
      </c>
    </row>
    <row r="757" spans="1:7" x14ac:dyDescent="0.3">
      <c r="A757" s="11"/>
      <c r="B757" s="38">
        <f>IF($A757="","",IFERROR(IF(INDEX(Pledges!$D$5:$D$2500,MATCH($G757,Pledges!$K$5:$K$2500,0))="","⚠ no amount on Pledges",IF(INDEX(Pledges!$B$5:$B$2500,MATCH($G757,Pledges!$K$5:$K$2500,0))="","",INDEX(Pledges!$B$5:$B$2500,MATCH($G757,Pledges!$K$5:$K$2500,0)))),"⚠ phone not in Pledges"))</f>
      </c>
      <c r="C757" s="12"/>
      <c r="D757" s="13"/>
      <c r="E757" s="22"/>
      <c r="F757" s="23"/>
      <c r="G757">
        <f>IF($A757="","","#"&amp;TRIM(SUBSTITUTE(SUBSTITUTE(SUBSTITUTE(SUBSTITUTE(SUBSTITUTE(SUBSTITUTE($A757,"-",""),"(",""),")",""),".",""),"+","")," ","")))</f>
      </c>
    </row>
    <row r="758" spans="1:7" x14ac:dyDescent="0.3">
      <c r="A758" s="11"/>
      <c r="B758" s="38">
        <f>IF($A758="","",IFERROR(IF(INDEX(Pledges!$D$5:$D$2500,MATCH($G758,Pledges!$K$5:$K$2500,0))="","⚠ no amount on Pledges",IF(INDEX(Pledges!$B$5:$B$2500,MATCH($G758,Pledges!$K$5:$K$2500,0))="","",INDEX(Pledges!$B$5:$B$2500,MATCH($G758,Pledges!$K$5:$K$2500,0)))),"⚠ phone not in Pledges"))</f>
      </c>
      <c r="C758" s="12"/>
      <c r="D758" s="13"/>
      <c r="E758" s="22"/>
      <c r="F758" s="23"/>
      <c r="G758">
        <f>IF($A758="","","#"&amp;TRIM(SUBSTITUTE(SUBSTITUTE(SUBSTITUTE(SUBSTITUTE(SUBSTITUTE(SUBSTITUTE($A758,"-",""),"(",""),")",""),".",""),"+","")," ","")))</f>
      </c>
    </row>
    <row r="759" spans="1:7" x14ac:dyDescent="0.3">
      <c r="A759" s="11"/>
      <c r="B759" s="38">
        <f>IF($A759="","",IFERROR(IF(INDEX(Pledges!$D$5:$D$2500,MATCH($G759,Pledges!$K$5:$K$2500,0))="","⚠ no amount on Pledges",IF(INDEX(Pledges!$B$5:$B$2500,MATCH($G759,Pledges!$K$5:$K$2500,0))="","",INDEX(Pledges!$B$5:$B$2500,MATCH($G759,Pledges!$K$5:$K$2500,0)))),"⚠ phone not in Pledges"))</f>
      </c>
      <c r="C759" s="12"/>
      <c r="D759" s="13"/>
      <c r="E759" s="22"/>
      <c r="F759" s="23"/>
      <c r="G759">
        <f>IF($A759="","","#"&amp;TRIM(SUBSTITUTE(SUBSTITUTE(SUBSTITUTE(SUBSTITUTE(SUBSTITUTE(SUBSTITUTE($A759,"-",""),"(",""),")",""),".",""),"+","")," ","")))</f>
      </c>
    </row>
    <row r="760" spans="1:7" x14ac:dyDescent="0.3">
      <c r="A760" s="11"/>
      <c r="B760" s="38">
        <f>IF($A760="","",IFERROR(IF(INDEX(Pledges!$D$5:$D$2500,MATCH($G760,Pledges!$K$5:$K$2500,0))="","⚠ no amount on Pledges",IF(INDEX(Pledges!$B$5:$B$2500,MATCH($G760,Pledges!$K$5:$K$2500,0))="","",INDEX(Pledges!$B$5:$B$2500,MATCH($G760,Pledges!$K$5:$K$2500,0)))),"⚠ phone not in Pledges"))</f>
      </c>
      <c r="C760" s="12"/>
      <c r="D760" s="13"/>
      <c r="E760" s="22"/>
      <c r="F760" s="23"/>
      <c r="G760">
        <f>IF($A760="","","#"&amp;TRIM(SUBSTITUTE(SUBSTITUTE(SUBSTITUTE(SUBSTITUTE(SUBSTITUTE(SUBSTITUTE($A760,"-",""),"(",""),")",""),".",""),"+","")," ","")))</f>
      </c>
    </row>
    <row r="761" spans="1:7" x14ac:dyDescent="0.3">
      <c r="A761" s="11"/>
      <c r="B761" s="38">
        <f>IF($A761="","",IFERROR(IF(INDEX(Pledges!$D$5:$D$2500,MATCH($G761,Pledges!$K$5:$K$2500,0))="","⚠ no amount on Pledges",IF(INDEX(Pledges!$B$5:$B$2500,MATCH($G761,Pledges!$K$5:$K$2500,0))="","",INDEX(Pledges!$B$5:$B$2500,MATCH($G761,Pledges!$K$5:$K$2500,0)))),"⚠ phone not in Pledges"))</f>
      </c>
      <c r="C761" s="12"/>
      <c r="D761" s="13"/>
      <c r="E761" s="22"/>
      <c r="F761" s="23"/>
      <c r="G761">
        <f>IF($A761="","","#"&amp;TRIM(SUBSTITUTE(SUBSTITUTE(SUBSTITUTE(SUBSTITUTE(SUBSTITUTE(SUBSTITUTE($A761,"-",""),"(",""),")",""),".",""),"+","")," ","")))</f>
      </c>
    </row>
    <row r="762" spans="1:7" x14ac:dyDescent="0.3">
      <c r="A762" s="11"/>
      <c r="B762" s="38">
        <f>IF($A762="","",IFERROR(IF(INDEX(Pledges!$D$5:$D$2500,MATCH($G762,Pledges!$K$5:$K$2500,0))="","⚠ no amount on Pledges",IF(INDEX(Pledges!$B$5:$B$2500,MATCH($G762,Pledges!$K$5:$K$2500,0))="","",INDEX(Pledges!$B$5:$B$2500,MATCH($G762,Pledges!$K$5:$K$2500,0)))),"⚠ phone not in Pledges"))</f>
      </c>
      <c r="C762" s="12"/>
      <c r="D762" s="13"/>
      <c r="E762" s="22"/>
      <c r="F762" s="23"/>
      <c r="G762">
        <f>IF($A762="","","#"&amp;TRIM(SUBSTITUTE(SUBSTITUTE(SUBSTITUTE(SUBSTITUTE(SUBSTITUTE(SUBSTITUTE($A762,"-",""),"(",""),")",""),".",""),"+","")," ","")))</f>
      </c>
    </row>
    <row r="763" spans="1:7" x14ac:dyDescent="0.3">
      <c r="A763" s="11"/>
      <c r="B763" s="38">
        <f>IF($A763="","",IFERROR(IF(INDEX(Pledges!$D$5:$D$2500,MATCH($G763,Pledges!$K$5:$K$2500,0))="","⚠ no amount on Pledges",IF(INDEX(Pledges!$B$5:$B$2500,MATCH($G763,Pledges!$K$5:$K$2500,0))="","",INDEX(Pledges!$B$5:$B$2500,MATCH($G763,Pledges!$K$5:$K$2500,0)))),"⚠ phone not in Pledges"))</f>
      </c>
      <c r="C763" s="12"/>
      <c r="D763" s="13"/>
      <c r="E763" s="22"/>
      <c r="F763" s="23"/>
      <c r="G763">
        <f>IF($A763="","","#"&amp;TRIM(SUBSTITUTE(SUBSTITUTE(SUBSTITUTE(SUBSTITUTE(SUBSTITUTE(SUBSTITUTE($A763,"-",""),"(",""),")",""),".",""),"+","")," ","")))</f>
      </c>
    </row>
    <row r="764" spans="1:7" x14ac:dyDescent="0.3">
      <c r="A764" s="11"/>
      <c r="B764" s="38">
        <f>IF($A764="","",IFERROR(IF(INDEX(Pledges!$D$5:$D$2500,MATCH($G764,Pledges!$K$5:$K$2500,0))="","⚠ no amount on Pledges",IF(INDEX(Pledges!$B$5:$B$2500,MATCH($G764,Pledges!$K$5:$K$2500,0))="","",INDEX(Pledges!$B$5:$B$2500,MATCH($G764,Pledges!$K$5:$K$2500,0)))),"⚠ phone not in Pledges"))</f>
      </c>
      <c r="C764" s="12"/>
      <c r="D764" s="13"/>
      <c r="E764" s="22"/>
      <c r="F764" s="23"/>
      <c r="G764">
        <f>IF($A764="","","#"&amp;TRIM(SUBSTITUTE(SUBSTITUTE(SUBSTITUTE(SUBSTITUTE(SUBSTITUTE(SUBSTITUTE($A764,"-",""),"(",""),")",""),".",""),"+","")," ","")))</f>
      </c>
    </row>
    <row r="765" spans="1:7" x14ac:dyDescent="0.3">
      <c r="A765" s="11"/>
      <c r="B765" s="38">
        <f>IF($A765="","",IFERROR(IF(INDEX(Pledges!$D$5:$D$2500,MATCH($G765,Pledges!$K$5:$K$2500,0))="","⚠ no amount on Pledges",IF(INDEX(Pledges!$B$5:$B$2500,MATCH($G765,Pledges!$K$5:$K$2500,0))="","",INDEX(Pledges!$B$5:$B$2500,MATCH($G765,Pledges!$K$5:$K$2500,0)))),"⚠ phone not in Pledges"))</f>
      </c>
      <c r="C765" s="12"/>
      <c r="D765" s="13"/>
      <c r="E765" s="22"/>
      <c r="F765" s="23"/>
      <c r="G765">
        <f>IF($A765="","","#"&amp;TRIM(SUBSTITUTE(SUBSTITUTE(SUBSTITUTE(SUBSTITUTE(SUBSTITUTE(SUBSTITUTE($A765,"-",""),"(",""),")",""),".",""),"+","")," ","")))</f>
      </c>
    </row>
    <row r="766" spans="1:7" x14ac:dyDescent="0.3">
      <c r="A766" s="11"/>
      <c r="B766" s="38">
        <f>IF($A766="","",IFERROR(IF(INDEX(Pledges!$D$5:$D$2500,MATCH($G766,Pledges!$K$5:$K$2500,0))="","⚠ no amount on Pledges",IF(INDEX(Pledges!$B$5:$B$2500,MATCH($G766,Pledges!$K$5:$K$2500,0))="","",INDEX(Pledges!$B$5:$B$2500,MATCH($G766,Pledges!$K$5:$K$2500,0)))),"⚠ phone not in Pledges"))</f>
      </c>
      <c r="C766" s="12"/>
      <c r="D766" s="13"/>
      <c r="E766" s="22"/>
      <c r="F766" s="23"/>
      <c r="G766">
        <f>IF($A766="","","#"&amp;TRIM(SUBSTITUTE(SUBSTITUTE(SUBSTITUTE(SUBSTITUTE(SUBSTITUTE(SUBSTITUTE($A766,"-",""),"(",""),")",""),".",""),"+","")," ","")))</f>
      </c>
    </row>
    <row r="767" spans="1:7" x14ac:dyDescent="0.3">
      <c r="A767" s="11"/>
      <c r="B767" s="38">
        <f>IF($A767="","",IFERROR(IF(INDEX(Pledges!$D$5:$D$2500,MATCH($G767,Pledges!$K$5:$K$2500,0))="","⚠ no amount on Pledges",IF(INDEX(Pledges!$B$5:$B$2500,MATCH($G767,Pledges!$K$5:$K$2500,0))="","",INDEX(Pledges!$B$5:$B$2500,MATCH($G767,Pledges!$K$5:$K$2500,0)))),"⚠ phone not in Pledges"))</f>
      </c>
      <c r="C767" s="12"/>
      <c r="D767" s="13"/>
      <c r="E767" s="22"/>
      <c r="F767" s="23"/>
      <c r="G767">
        <f>IF($A767="","","#"&amp;TRIM(SUBSTITUTE(SUBSTITUTE(SUBSTITUTE(SUBSTITUTE(SUBSTITUTE(SUBSTITUTE($A767,"-",""),"(",""),")",""),".",""),"+","")," ","")))</f>
      </c>
    </row>
    <row r="768" spans="1:7" x14ac:dyDescent="0.3">
      <c r="A768" s="11"/>
      <c r="B768" s="38">
        <f>IF($A768="","",IFERROR(IF(INDEX(Pledges!$D$5:$D$2500,MATCH($G768,Pledges!$K$5:$K$2500,0))="","⚠ no amount on Pledges",IF(INDEX(Pledges!$B$5:$B$2500,MATCH($G768,Pledges!$K$5:$K$2500,0))="","",INDEX(Pledges!$B$5:$B$2500,MATCH($G768,Pledges!$K$5:$K$2500,0)))),"⚠ phone not in Pledges"))</f>
      </c>
      <c r="C768" s="12"/>
      <c r="D768" s="13"/>
      <c r="E768" s="22"/>
      <c r="F768" s="23"/>
      <c r="G768">
        <f>IF($A768="","","#"&amp;TRIM(SUBSTITUTE(SUBSTITUTE(SUBSTITUTE(SUBSTITUTE(SUBSTITUTE(SUBSTITUTE($A768,"-",""),"(",""),")",""),".",""),"+","")," ","")))</f>
      </c>
    </row>
    <row r="769" spans="1:7" x14ac:dyDescent="0.3">
      <c r="A769" s="11"/>
      <c r="B769" s="38">
        <f>IF($A769="","",IFERROR(IF(INDEX(Pledges!$D$5:$D$2500,MATCH($G769,Pledges!$K$5:$K$2500,0))="","⚠ no amount on Pledges",IF(INDEX(Pledges!$B$5:$B$2500,MATCH($G769,Pledges!$K$5:$K$2500,0))="","",INDEX(Pledges!$B$5:$B$2500,MATCH($G769,Pledges!$K$5:$K$2500,0)))),"⚠ phone not in Pledges"))</f>
      </c>
      <c r="C769" s="12"/>
      <c r="D769" s="13"/>
      <c r="E769" s="22"/>
      <c r="F769" s="23"/>
      <c r="G769">
        <f>IF($A769="","","#"&amp;TRIM(SUBSTITUTE(SUBSTITUTE(SUBSTITUTE(SUBSTITUTE(SUBSTITUTE(SUBSTITUTE($A769,"-",""),"(",""),")",""),".",""),"+","")," ","")))</f>
      </c>
    </row>
    <row r="770" spans="1:7" x14ac:dyDescent="0.3">
      <c r="A770" s="11"/>
      <c r="B770" s="38">
        <f>IF($A770="","",IFERROR(IF(INDEX(Pledges!$D$5:$D$2500,MATCH($G770,Pledges!$K$5:$K$2500,0))="","⚠ no amount on Pledges",IF(INDEX(Pledges!$B$5:$B$2500,MATCH($G770,Pledges!$K$5:$K$2500,0))="","",INDEX(Pledges!$B$5:$B$2500,MATCH($G770,Pledges!$K$5:$K$2500,0)))),"⚠ phone not in Pledges"))</f>
      </c>
      <c r="C770" s="12"/>
      <c r="D770" s="13"/>
      <c r="E770" s="22"/>
      <c r="F770" s="23"/>
      <c r="G770">
        <f>IF($A770="","","#"&amp;TRIM(SUBSTITUTE(SUBSTITUTE(SUBSTITUTE(SUBSTITUTE(SUBSTITUTE(SUBSTITUTE($A770,"-",""),"(",""),")",""),".",""),"+","")," ","")))</f>
      </c>
    </row>
    <row r="771" spans="1:7" x14ac:dyDescent="0.3">
      <c r="A771" s="11"/>
      <c r="B771" s="38">
        <f>IF($A771="","",IFERROR(IF(INDEX(Pledges!$D$5:$D$2500,MATCH($G771,Pledges!$K$5:$K$2500,0))="","⚠ no amount on Pledges",IF(INDEX(Pledges!$B$5:$B$2500,MATCH($G771,Pledges!$K$5:$K$2500,0))="","",INDEX(Pledges!$B$5:$B$2500,MATCH($G771,Pledges!$K$5:$K$2500,0)))),"⚠ phone not in Pledges"))</f>
      </c>
      <c r="C771" s="12"/>
      <c r="D771" s="13"/>
      <c r="E771" s="22"/>
      <c r="F771" s="23"/>
      <c r="G771">
        <f>IF($A771="","","#"&amp;TRIM(SUBSTITUTE(SUBSTITUTE(SUBSTITUTE(SUBSTITUTE(SUBSTITUTE(SUBSTITUTE($A771,"-",""),"(",""),")",""),".",""),"+","")," ","")))</f>
      </c>
    </row>
    <row r="772" spans="1:7" x14ac:dyDescent="0.3">
      <c r="A772" s="11"/>
      <c r="B772" s="38">
        <f>IF($A772="","",IFERROR(IF(INDEX(Pledges!$D$5:$D$2500,MATCH($G772,Pledges!$K$5:$K$2500,0))="","⚠ no amount on Pledges",IF(INDEX(Pledges!$B$5:$B$2500,MATCH($G772,Pledges!$K$5:$K$2500,0))="","",INDEX(Pledges!$B$5:$B$2500,MATCH($G772,Pledges!$K$5:$K$2500,0)))),"⚠ phone not in Pledges"))</f>
      </c>
      <c r="C772" s="12"/>
      <c r="D772" s="13"/>
      <c r="E772" s="22"/>
      <c r="F772" s="23"/>
      <c r="G772">
        <f>IF($A772="","","#"&amp;TRIM(SUBSTITUTE(SUBSTITUTE(SUBSTITUTE(SUBSTITUTE(SUBSTITUTE(SUBSTITUTE($A772,"-",""),"(",""),")",""),".",""),"+","")," ","")))</f>
      </c>
    </row>
    <row r="773" spans="1:7" x14ac:dyDescent="0.3">
      <c r="A773" s="11"/>
      <c r="B773" s="38">
        <f>IF($A773="","",IFERROR(IF(INDEX(Pledges!$D$5:$D$2500,MATCH($G773,Pledges!$K$5:$K$2500,0))="","⚠ no amount on Pledges",IF(INDEX(Pledges!$B$5:$B$2500,MATCH($G773,Pledges!$K$5:$K$2500,0))="","",INDEX(Pledges!$B$5:$B$2500,MATCH($G773,Pledges!$K$5:$K$2500,0)))),"⚠ phone not in Pledges"))</f>
      </c>
      <c r="C773" s="12"/>
      <c r="D773" s="13"/>
      <c r="E773" s="22"/>
      <c r="F773" s="23"/>
      <c r="G773">
        <f>IF($A773="","","#"&amp;TRIM(SUBSTITUTE(SUBSTITUTE(SUBSTITUTE(SUBSTITUTE(SUBSTITUTE(SUBSTITUTE($A773,"-",""),"(",""),")",""),".",""),"+","")," ","")))</f>
      </c>
    </row>
    <row r="774" spans="1:7" x14ac:dyDescent="0.3">
      <c r="A774" s="11"/>
      <c r="B774" s="38">
        <f>IF($A774="","",IFERROR(IF(INDEX(Pledges!$D$5:$D$2500,MATCH($G774,Pledges!$K$5:$K$2500,0))="","⚠ no amount on Pledges",IF(INDEX(Pledges!$B$5:$B$2500,MATCH($G774,Pledges!$K$5:$K$2500,0))="","",INDEX(Pledges!$B$5:$B$2500,MATCH($G774,Pledges!$K$5:$K$2500,0)))),"⚠ phone not in Pledges"))</f>
      </c>
      <c r="C774" s="12"/>
      <c r="D774" s="13"/>
      <c r="E774" s="22"/>
      <c r="F774" s="23"/>
      <c r="G774">
        <f>IF($A774="","","#"&amp;TRIM(SUBSTITUTE(SUBSTITUTE(SUBSTITUTE(SUBSTITUTE(SUBSTITUTE(SUBSTITUTE($A774,"-",""),"(",""),")",""),".",""),"+","")," ","")))</f>
      </c>
    </row>
    <row r="775" spans="1:7" x14ac:dyDescent="0.3">
      <c r="A775" s="11"/>
      <c r="B775" s="38">
        <f>IF($A775="","",IFERROR(IF(INDEX(Pledges!$D$5:$D$2500,MATCH($G775,Pledges!$K$5:$K$2500,0))="","⚠ no amount on Pledges",IF(INDEX(Pledges!$B$5:$B$2500,MATCH($G775,Pledges!$K$5:$K$2500,0))="","",INDEX(Pledges!$B$5:$B$2500,MATCH($G775,Pledges!$K$5:$K$2500,0)))),"⚠ phone not in Pledges"))</f>
      </c>
      <c r="C775" s="12"/>
      <c r="D775" s="13"/>
      <c r="E775" s="22"/>
      <c r="F775" s="23"/>
      <c r="G775">
        <f>IF($A775="","","#"&amp;TRIM(SUBSTITUTE(SUBSTITUTE(SUBSTITUTE(SUBSTITUTE(SUBSTITUTE(SUBSTITUTE($A775,"-",""),"(",""),")",""),".",""),"+","")," ","")))</f>
      </c>
    </row>
    <row r="776" spans="1:7" x14ac:dyDescent="0.3">
      <c r="A776" s="11"/>
      <c r="B776" s="38">
        <f>IF($A776="","",IFERROR(IF(INDEX(Pledges!$D$5:$D$2500,MATCH($G776,Pledges!$K$5:$K$2500,0))="","⚠ no amount on Pledges",IF(INDEX(Pledges!$B$5:$B$2500,MATCH($G776,Pledges!$K$5:$K$2500,0))="","",INDEX(Pledges!$B$5:$B$2500,MATCH($G776,Pledges!$K$5:$K$2500,0)))),"⚠ phone not in Pledges"))</f>
      </c>
      <c r="C776" s="12"/>
      <c r="D776" s="13"/>
      <c r="E776" s="22"/>
      <c r="F776" s="23"/>
      <c r="G776">
        <f>IF($A776="","","#"&amp;TRIM(SUBSTITUTE(SUBSTITUTE(SUBSTITUTE(SUBSTITUTE(SUBSTITUTE(SUBSTITUTE($A776,"-",""),"(",""),")",""),".",""),"+","")," ","")))</f>
      </c>
    </row>
    <row r="777" spans="1:7" x14ac:dyDescent="0.3">
      <c r="A777" s="11"/>
      <c r="B777" s="38">
        <f>IF($A777="","",IFERROR(IF(INDEX(Pledges!$D$5:$D$2500,MATCH($G777,Pledges!$K$5:$K$2500,0))="","⚠ no amount on Pledges",IF(INDEX(Pledges!$B$5:$B$2500,MATCH($G777,Pledges!$K$5:$K$2500,0))="","",INDEX(Pledges!$B$5:$B$2500,MATCH($G777,Pledges!$K$5:$K$2500,0)))),"⚠ phone not in Pledges"))</f>
      </c>
      <c r="C777" s="12"/>
      <c r="D777" s="13"/>
      <c r="E777" s="22"/>
      <c r="F777" s="23"/>
      <c r="G777">
        <f>IF($A777="","","#"&amp;TRIM(SUBSTITUTE(SUBSTITUTE(SUBSTITUTE(SUBSTITUTE(SUBSTITUTE(SUBSTITUTE($A777,"-",""),"(",""),")",""),".",""),"+","")," ","")))</f>
      </c>
    </row>
    <row r="778" spans="1:7" x14ac:dyDescent="0.3">
      <c r="A778" s="11"/>
      <c r="B778" s="38">
        <f>IF($A778="","",IFERROR(IF(INDEX(Pledges!$D$5:$D$2500,MATCH($G778,Pledges!$K$5:$K$2500,0))="","⚠ no amount on Pledges",IF(INDEX(Pledges!$B$5:$B$2500,MATCH($G778,Pledges!$K$5:$K$2500,0))="","",INDEX(Pledges!$B$5:$B$2500,MATCH($G778,Pledges!$K$5:$K$2500,0)))),"⚠ phone not in Pledges"))</f>
      </c>
      <c r="C778" s="12"/>
      <c r="D778" s="13"/>
      <c r="E778" s="22"/>
      <c r="F778" s="23"/>
      <c r="G778">
        <f>IF($A778="","","#"&amp;TRIM(SUBSTITUTE(SUBSTITUTE(SUBSTITUTE(SUBSTITUTE(SUBSTITUTE(SUBSTITUTE($A778,"-",""),"(",""),")",""),".",""),"+","")," ","")))</f>
      </c>
    </row>
    <row r="779" spans="1:7" x14ac:dyDescent="0.3">
      <c r="A779" s="11"/>
      <c r="B779" s="38">
        <f>IF($A779="","",IFERROR(IF(INDEX(Pledges!$D$5:$D$2500,MATCH($G779,Pledges!$K$5:$K$2500,0))="","⚠ no amount on Pledges",IF(INDEX(Pledges!$B$5:$B$2500,MATCH($G779,Pledges!$K$5:$K$2500,0))="","",INDEX(Pledges!$B$5:$B$2500,MATCH($G779,Pledges!$K$5:$K$2500,0)))),"⚠ phone not in Pledges"))</f>
      </c>
      <c r="C779" s="12"/>
      <c r="D779" s="13"/>
      <c r="E779" s="22"/>
      <c r="F779" s="23"/>
      <c r="G779">
        <f>IF($A779="","","#"&amp;TRIM(SUBSTITUTE(SUBSTITUTE(SUBSTITUTE(SUBSTITUTE(SUBSTITUTE(SUBSTITUTE($A779,"-",""),"(",""),")",""),".",""),"+","")," ","")))</f>
      </c>
    </row>
    <row r="780" spans="1:7" x14ac:dyDescent="0.3">
      <c r="A780" s="11"/>
      <c r="B780" s="38">
        <f>IF($A780="","",IFERROR(IF(INDEX(Pledges!$D$5:$D$2500,MATCH($G780,Pledges!$K$5:$K$2500,0))="","⚠ no amount on Pledges",IF(INDEX(Pledges!$B$5:$B$2500,MATCH($G780,Pledges!$K$5:$K$2500,0))="","",INDEX(Pledges!$B$5:$B$2500,MATCH($G780,Pledges!$K$5:$K$2500,0)))),"⚠ phone not in Pledges"))</f>
      </c>
      <c r="C780" s="12"/>
      <c r="D780" s="13"/>
      <c r="E780" s="22"/>
      <c r="F780" s="23"/>
      <c r="G780">
        <f>IF($A780="","","#"&amp;TRIM(SUBSTITUTE(SUBSTITUTE(SUBSTITUTE(SUBSTITUTE(SUBSTITUTE(SUBSTITUTE($A780,"-",""),"(",""),")",""),".",""),"+","")," ","")))</f>
      </c>
    </row>
    <row r="781" spans="1:7" x14ac:dyDescent="0.3">
      <c r="A781" s="11"/>
      <c r="B781" s="38">
        <f>IF($A781="","",IFERROR(IF(INDEX(Pledges!$D$5:$D$2500,MATCH($G781,Pledges!$K$5:$K$2500,0))="","⚠ no amount on Pledges",IF(INDEX(Pledges!$B$5:$B$2500,MATCH($G781,Pledges!$K$5:$K$2500,0))="","",INDEX(Pledges!$B$5:$B$2500,MATCH($G781,Pledges!$K$5:$K$2500,0)))),"⚠ phone not in Pledges"))</f>
      </c>
      <c r="C781" s="12"/>
      <c r="D781" s="13"/>
      <c r="E781" s="22"/>
      <c r="F781" s="23"/>
      <c r="G781">
        <f>IF($A781="","","#"&amp;TRIM(SUBSTITUTE(SUBSTITUTE(SUBSTITUTE(SUBSTITUTE(SUBSTITUTE(SUBSTITUTE($A781,"-",""),"(",""),")",""),".",""),"+","")," ","")))</f>
      </c>
    </row>
    <row r="782" spans="1:7" x14ac:dyDescent="0.3">
      <c r="A782" s="11"/>
      <c r="B782" s="38">
        <f>IF($A782="","",IFERROR(IF(INDEX(Pledges!$D$5:$D$2500,MATCH($G782,Pledges!$K$5:$K$2500,0))="","⚠ no amount on Pledges",IF(INDEX(Pledges!$B$5:$B$2500,MATCH($G782,Pledges!$K$5:$K$2500,0))="","",INDEX(Pledges!$B$5:$B$2500,MATCH($G782,Pledges!$K$5:$K$2500,0)))),"⚠ phone not in Pledges"))</f>
      </c>
      <c r="C782" s="12"/>
      <c r="D782" s="13"/>
      <c r="E782" s="22"/>
      <c r="F782" s="23"/>
      <c r="G782">
        <f>IF($A782="","","#"&amp;TRIM(SUBSTITUTE(SUBSTITUTE(SUBSTITUTE(SUBSTITUTE(SUBSTITUTE(SUBSTITUTE($A782,"-",""),"(",""),")",""),".",""),"+","")," ","")))</f>
      </c>
    </row>
    <row r="783" spans="1:7" x14ac:dyDescent="0.3">
      <c r="A783" s="11"/>
      <c r="B783" s="38">
        <f>IF($A783="","",IFERROR(IF(INDEX(Pledges!$D$5:$D$2500,MATCH($G783,Pledges!$K$5:$K$2500,0))="","⚠ no amount on Pledges",IF(INDEX(Pledges!$B$5:$B$2500,MATCH($G783,Pledges!$K$5:$K$2500,0))="","",INDEX(Pledges!$B$5:$B$2500,MATCH($G783,Pledges!$K$5:$K$2500,0)))),"⚠ phone not in Pledges"))</f>
      </c>
      <c r="C783" s="12"/>
      <c r="D783" s="13"/>
      <c r="E783" s="22"/>
      <c r="F783" s="23"/>
      <c r="G783">
        <f>IF($A783="","","#"&amp;TRIM(SUBSTITUTE(SUBSTITUTE(SUBSTITUTE(SUBSTITUTE(SUBSTITUTE(SUBSTITUTE($A783,"-",""),"(",""),")",""),".",""),"+","")," ","")))</f>
      </c>
    </row>
    <row r="784" spans="1:7" x14ac:dyDescent="0.3">
      <c r="A784" s="11"/>
      <c r="B784" s="38">
        <f>IF($A784="","",IFERROR(IF(INDEX(Pledges!$D$5:$D$2500,MATCH($G784,Pledges!$K$5:$K$2500,0))="","⚠ no amount on Pledges",IF(INDEX(Pledges!$B$5:$B$2500,MATCH($G784,Pledges!$K$5:$K$2500,0))="","",INDEX(Pledges!$B$5:$B$2500,MATCH($G784,Pledges!$K$5:$K$2500,0)))),"⚠ phone not in Pledges"))</f>
      </c>
      <c r="C784" s="12"/>
      <c r="D784" s="13"/>
      <c r="E784" s="22"/>
      <c r="F784" s="23"/>
      <c r="G784">
        <f>IF($A784="","","#"&amp;TRIM(SUBSTITUTE(SUBSTITUTE(SUBSTITUTE(SUBSTITUTE(SUBSTITUTE(SUBSTITUTE($A784,"-",""),"(",""),")",""),".",""),"+","")," ","")))</f>
      </c>
    </row>
    <row r="785" spans="1:7" x14ac:dyDescent="0.3">
      <c r="A785" s="11"/>
      <c r="B785" s="38">
        <f>IF($A785="","",IFERROR(IF(INDEX(Pledges!$D$5:$D$2500,MATCH($G785,Pledges!$K$5:$K$2500,0))="","⚠ no amount on Pledges",IF(INDEX(Pledges!$B$5:$B$2500,MATCH($G785,Pledges!$K$5:$K$2500,0))="","",INDEX(Pledges!$B$5:$B$2500,MATCH($G785,Pledges!$K$5:$K$2500,0)))),"⚠ phone not in Pledges"))</f>
      </c>
      <c r="C785" s="12"/>
      <c r="D785" s="13"/>
      <c r="E785" s="22"/>
      <c r="F785" s="23"/>
      <c r="G785">
        <f>IF($A785="","","#"&amp;TRIM(SUBSTITUTE(SUBSTITUTE(SUBSTITUTE(SUBSTITUTE(SUBSTITUTE(SUBSTITUTE($A785,"-",""),"(",""),")",""),".",""),"+","")," ","")))</f>
      </c>
    </row>
    <row r="786" spans="1:7" x14ac:dyDescent="0.3">
      <c r="A786" s="11"/>
      <c r="B786" s="38">
        <f>IF($A786="","",IFERROR(IF(INDEX(Pledges!$D$5:$D$2500,MATCH($G786,Pledges!$K$5:$K$2500,0))="","⚠ no amount on Pledges",IF(INDEX(Pledges!$B$5:$B$2500,MATCH($G786,Pledges!$K$5:$K$2500,0))="","",INDEX(Pledges!$B$5:$B$2500,MATCH($G786,Pledges!$K$5:$K$2500,0)))),"⚠ phone not in Pledges"))</f>
      </c>
      <c r="C786" s="12"/>
      <c r="D786" s="13"/>
      <c r="E786" s="22"/>
      <c r="F786" s="23"/>
      <c r="G786">
        <f>IF($A786="","","#"&amp;TRIM(SUBSTITUTE(SUBSTITUTE(SUBSTITUTE(SUBSTITUTE(SUBSTITUTE(SUBSTITUTE($A786,"-",""),"(",""),")",""),".",""),"+","")," ","")))</f>
      </c>
    </row>
    <row r="787" spans="1:7" x14ac:dyDescent="0.3">
      <c r="A787" s="11"/>
      <c r="B787" s="38">
        <f>IF($A787="","",IFERROR(IF(INDEX(Pledges!$D$5:$D$2500,MATCH($G787,Pledges!$K$5:$K$2500,0))="","⚠ no amount on Pledges",IF(INDEX(Pledges!$B$5:$B$2500,MATCH($G787,Pledges!$K$5:$K$2500,0))="","",INDEX(Pledges!$B$5:$B$2500,MATCH($G787,Pledges!$K$5:$K$2500,0)))),"⚠ phone not in Pledges"))</f>
      </c>
      <c r="C787" s="12"/>
      <c r="D787" s="13"/>
      <c r="E787" s="22"/>
      <c r="F787" s="23"/>
      <c r="G787">
        <f>IF($A787="","","#"&amp;TRIM(SUBSTITUTE(SUBSTITUTE(SUBSTITUTE(SUBSTITUTE(SUBSTITUTE(SUBSTITUTE($A787,"-",""),"(",""),")",""),".",""),"+","")," ","")))</f>
      </c>
    </row>
    <row r="788" spans="1:7" x14ac:dyDescent="0.3">
      <c r="A788" s="11"/>
      <c r="B788" s="38">
        <f>IF($A788="","",IFERROR(IF(INDEX(Pledges!$D$5:$D$2500,MATCH($G788,Pledges!$K$5:$K$2500,0))="","⚠ no amount on Pledges",IF(INDEX(Pledges!$B$5:$B$2500,MATCH($G788,Pledges!$K$5:$K$2500,0))="","",INDEX(Pledges!$B$5:$B$2500,MATCH($G788,Pledges!$K$5:$K$2500,0)))),"⚠ phone not in Pledges"))</f>
      </c>
      <c r="C788" s="12"/>
      <c r="D788" s="13"/>
      <c r="E788" s="22"/>
      <c r="F788" s="23"/>
      <c r="G788">
        <f>IF($A788="","","#"&amp;TRIM(SUBSTITUTE(SUBSTITUTE(SUBSTITUTE(SUBSTITUTE(SUBSTITUTE(SUBSTITUTE($A788,"-",""),"(",""),")",""),".",""),"+","")," ","")))</f>
      </c>
    </row>
    <row r="789" spans="1:7" x14ac:dyDescent="0.3">
      <c r="A789" s="11"/>
      <c r="B789" s="38">
        <f>IF($A789="","",IFERROR(IF(INDEX(Pledges!$D$5:$D$2500,MATCH($G789,Pledges!$K$5:$K$2500,0))="","⚠ no amount on Pledges",IF(INDEX(Pledges!$B$5:$B$2500,MATCH($G789,Pledges!$K$5:$K$2500,0))="","",INDEX(Pledges!$B$5:$B$2500,MATCH($G789,Pledges!$K$5:$K$2500,0)))),"⚠ phone not in Pledges"))</f>
      </c>
      <c r="C789" s="12"/>
      <c r="D789" s="13"/>
      <c r="E789" s="22"/>
      <c r="F789" s="23"/>
      <c r="G789">
        <f>IF($A789="","","#"&amp;TRIM(SUBSTITUTE(SUBSTITUTE(SUBSTITUTE(SUBSTITUTE(SUBSTITUTE(SUBSTITUTE($A789,"-",""),"(",""),")",""),".",""),"+","")," ","")))</f>
      </c>
    </row>
    <row r="790" spans="1:7" x14ac:dyDescent="0.3">
      <c r="A790" s="11"/>
      <c r="B790" s="38">
        <f>IF($A790="","",IFERROR(IF(INDEX(Pledges!$D$5:$D$2500,MATCH($G790,Pledges!$K$5:$K$2500,0))="","⚠ no amount on Pledges",IF(INDEX(Pledges!$B$5:$B$2500,MATCH($G790,Pledges!$K$5:$K$2500,0))="","",INDEX(Pledges!$B$5:$B$2500,MATCH($G790,Pledges!$K$5:$K$2500,0)))),"⚠ phone not in Pledges"))</f>
      </c>
      <c r="C790" s="12"/>
      <c r="D790" s="13"/>
      <c r="E790" s="22"/>
      <c r="F790" s="23"/>
      <c r="G790">
        <f>IF($A790="","","#"&amp;TRIM(SUBSTITUTE(SUBSTITUTE(SUBSTITUTE(SUBSTITUTE(SUBSTITUTE(SUBSTITUTE($A790,"-",""),"(",""),")",""),".",""),"+","")," ","")))</f>
      </c>
    </row>
    <row r="791" spans="1:7" x14ac:dyDescent="0.3">
      <c r="A791" s="11"/>
      <c r="B791" s="38">
        <f>IF($A791="","",IFERROR(IF(INDEX(Pledges!$D$5:$D$2500,MATCH($G791,Pledges!$K$5:$K$2500,0))="","⚠ no amount on Pledges",IF(INDEX(Pledges!$B$5:$B$2500,MATCH($G791,Pledges!$K$5:$K$2500,0))="","",INDEX(Pledges!$B$5:$B$2500,MATCH($G791,Pledges!$K$5:$K$2500,0)))),"⚠ phone not in Pledges"))</f>
      </c>
      <c r="C791" s="12"/>
      <c r="D791" s="13"/>
      <c r="E791" s="22"/>
      <c r="F791" s="23"/>
      <c r="G791">
        <f>IF($A791="","","#"&amp;TRIM(SUBSTITUTE(SUBSTITUTE(SUBSTITUTE(SUBSTITUTE(SUBSTITUTE(SUBSTITUTE($A791,"-",""),"(",""),")",""),".",""),"+","")," ","")))</f>
      </c>
    </row>
    <row r="792" spans="1:7" x14ac:dyDescent="0.3">
      <c r="A792" s="11"/>
      <c r="B792" s="38">
        <f>IF($A792="","",IFERROR(IF(INDEX(Pledges!$D$5:$D$2500,MATCH($G792,Pledges!$K$5:$K$2500,0))="","⚠ no amount on Pledges",IF(INDEX(Pledges!$B$5:$B$2500,MATCH($G792,Pledges!$K$5:$K$2500,0))="","",INDEX(Pledges!$B$5:$B$2500,MATCH($G792,Pledges!$K$5:$K$2500,0)))),"⚠ phone not in Pledges"))</f>
      </c>
      <c r="C792" s="12"/>
      <c r="D792" s="13"/>
      <c r="E792" s="22"/>
      <c r="F792" s="23"/>
      <c r="G792">
        <f>IF($A792="","","#"&amp;TRIM(SUBSTITUTE(SUBSTITUTE(SUBSTITUTE(SUBSTITUTE(SUBSTITUTE(SUBSTITUTE($A792,"-",""),"(",""),")",""),".",""),"+","")," ","")))</f>
      </c>
    </row>
    <row r="793" spans="1:7" x14ac:dyDescent="0.3">
      <c r="A793" s="11"/>
      <c r="B793" s="38">
        <f>IF($A793="","",IFERROR(IF(INDEX(Pledges!$D$5:$D$2500,MATCH($G793,Pledges!$K$5:$K$2500,0))="","⚠ no amount on Pledges",IF(INDEX(Pledges!$B$5:$B$2500,MATCH($G793,Pledges!$K$5:$K$2500,0))="","",INDEX(Pledges!$B$5:$B$2500,MATCH($G793,Pledges!$K$5:$K$2500,0)))),"⚠ phone not in Pledges"))</f>
      </c>
      <c r="C793" s="12"/>
      <c r="D793" s="13"/>
      <c r="E793" s="22"/>
      <c r="F793" s="23"/>
      <c r="G793">
        <f>IF($A793="","","#"&amp;TRIM(SUBSTITUTE(SUBSTITUTE(SUBSTITUTE(SUBSTITUTE(SUBSTITUTE(SUBSTITUTE($A793,"-",""),"(",""),")",""),".",""),"+","")," ","")))</f>
      </c>
    </row>
    <row r="794" spans="1:7" x14ac:dyDescent="0.3">
      <c r="A794" s="11"/>
      <c r="B794" s="38">
        <f>IF($A794="","",IFERROR(IF(INDEX(Pledges!$D$5:$D$2500,MATCH($G794,Pledges!$K$5:$K$2500,0))="","⚠ no amount on Pledges",IF(INDEX(Pledges!$B$5:$B$2500,MATCH($G794,Pledges!$K$5:$K$2500,0))="","",INDEX(Pledges!$B$5:$B$2500,MATCH($G794,Pledges!$K$5:$K$2500,0)))),"⚠ phone not in Pledges"))</f>
      </c>
      <c r="C794" s="12"/>
      <c r="D794" s="13"/>
      <c r="E794" s="22"/>
      <c r="F794" s="23"/>
      <c r="G794">
        <f>IF($A794="","","#"&amp;TRIM(SUBSTITUTE(SUBSTITUTE(SUBSTITUTE(SUBSTITUTE(SUBSTITUTE(SUBSTITUTE($A794,"-",""),"(",""),")",""),".",""),"+","")," ","")))</f>
      </c>
    </row>
    <row r="795" spans="1:7" x14ac:dyDescent="0.3">
      <c r="A795" s="11"/>
      <c r="B795" s="38">
        <f>IF($A795="","",IFERROR(IF(INDEX(Pledges!$D$5:$D$2500,MATCH($G795,Pledges!$K$5:$K$2500,0))="","⚠ no amount on Pledges",IF(INDEX(Pledges!$B$5:$B$2500,MATCH($G795,Pledges!$K$5:$K$2500,0))="","",INDEX(Pledges!$B$5:$B$2500,MATCH($G795,Pledges!$K$5:$K$2500,0)))),"⚠ phone not in Pledges"))</f>
      </c>
      <c r="C795" s="12"/>
      <c r="D795" s="13"/>
      <c r="E795" s="22"/>
      <c r="F795" s="23"/>
      <c r="G795">
        <f>IF($A795="","","#"&amp;TRIM(SUBSTITUTE(SUBSTITUTE(SUBSTITUTE(SUBSTITUTE(SUBSTITUTE(SUBSTITUTE($A795,"-",""),"(",""),")",""),".",""),"+","")," ","")))</f>
      </c>
    </row>
    <row r="796" spans="1:7" x14ac:dyDescent="0.3">
      <c r="A796" s="11"/>
      <c r="B796" s="38">
        <f>IF($A796="","",IFERROR(IF(INDEX(Pledges!$D$5:$D$2500,MATCH($G796,Pledges!$K$5:$K$2500,0))="","⚠ no amount on Pledges",IF(INDEX(Pledges!$B$5:$B$2500,MATCH($G796,Pledges!$K$5:$K$2500,0))="","",INDEX(Pledges!$B$5:$B$2500,MATCH($G796,Pledges!$K$5:$K$2500,0)))),"⚠ phone not in Pledges"))</f>
      </c>
      <c r="C796" s="12"/>
      <c r="D796" s="13"/>
      <c r="E796" s="22"/>
      <c r="F796" s="23"/>
      <c r="G796">
        <f>IF($A796="","","#"&amp;TRIM(SUBSTITUTE(SUBSTITUTE(SUBSTITUTE(SUBSTITUTE(SUBSTITUTE(SUBSTITUTE($A796,"-",""),"(",""),")",""),".",""),"+","")," ","")))</f>
      </c>
    </row>
    <row r="797" spans="1:7" x14ac:dyDescent="0.3">
      <c r="A797" s="11"/>
      <c r="B797" s="38">
        <f>IF($A797="","",IFERROR(IF(INDEX(Pledges!$D$5:$D$2500,MATCH($G797,Pledges!$K$5:$K$2500,0))="","⚠ no amount on Pledges",IF(INDEX(Pledges!$B$5:$B$2500,MATCH($G797,Pledges!$K$5:$K$2500,0))="","",INDEX(Pledges!$B$5:$B$2500,MATCH($G797,Pledges!$K$5:$K$2500,0)))),"⚠ phone not in Pledges"))</f>
      </c>
      <c r="C797" s="12"/>
      <c r="D797" s="13"/>
      <c r="E797" s="22"/>
      <c r="F797" s="23"/>
      <c r="G797">
        <f>IF($A797="","","#"&amp;TRIM(SUBSTITUTE(SUBSTITUTE(SUBSTITUTE(SUBSTITUTE(SUBSTITUTE(SUBSTITUTE($A797,"-",""),"(",""),")",""),".",""),"+","")," ","")))</f>
      </c>
    </row>
    <row r="798" spans="1:7" x14ac:dyDescent="0.3">
      <c r="A798" s="11"/>
      <c r="B798" s="38">
        <f>IF($A798="","",IFERROR(IF(INDEX(Pledges!$D$5:$D$2500,MATCH($G798,Pledges!$K$5:$K$2500,0))="","⚠ no amount on Pledges",IF(INDEX(Pledges!$B$5:$B$2500,MATCH($G798,Pledges!$K$5:$K$2500,0))="","",INDEX(Pledges!$B$5:$B$2500,MATCH($G798,Pledges!$K$5:$K$2500,0)))),"⚠ phone not in Pledges"))</f>
      </c>
      <c r="C798" s="12"/>
      <c r="D798" s="13"/>
      <c r="E798" s="22"/>
      <c r="F798" s="23"/>
      <c r="G798">
        <f>IF($A798="","","#"&amp;TRIM(SUBSTITUTE(SUBSTITUTE(SUBSTITUTE(SUBSTITUTE(SUBSTITUTE(SUBSTITUTE($A798,"-",""),"(",""),")",""),".",""),"+","")," ","")))</f>
      </c>
    </row>
    <row r="799" spans="1:7" x14ac:dyDescent="0.3">
      <c r="A799" s="11"/>
      <c r="B799" s="38">
        <f>IF($A799="","",IFERROR(IF(INDEX(Pledges!$D$5:$D$2500,MATCH($G799,Pledges!$K$5:$K$2500,0))="","⚠ no amount on Pledges",IF(INDEX(Pledges!$B$5:$B$2500,MATCH($G799,Pledges!$K$5:$K$2500,0))="","",INDEX(Pledges!$B$5:$B$2500,MATCH($G799,Pledges!$K$5:$K$2500,0)))),"⚠ phone not in Pledges"))</f>
      </c>
      <c r="C799" s="12"/>
      <c r="D799" s="13"/>
      <c r="E799" s="22"/>
      <c r="F799" s="23"/>
      <c r="G799">
        <f>IF($A799="","","#"&amp;TRIM(SUBSTITUTE(SUBSTITUTE(SUBSTITUTE(SUBSTITUTE(SUBSTITUTE(SUBSTITUTE($A799,"-",""),"(",""),")",""),".",""),"+","")," ","")))</f>
      </c>
    </row>
    <row r="800" spans="1:7" x14ac:dyDescent="0.3">
      <c r="A800" s="11"/>
      <c r="B800" s="38">
        <f>IF($A800="","",IFERROR(IF(INDEX(Pledges!$D$5:$D$2500,MATCH($G800,Pledges!$K$5:$K$2500,0))="","⚠ no amount on Pledges",IF(INDEX(Pledges!$B$5:$B$2500,MATCH($G800,Pledges!$K$5:$K$2500,0))="","",INDEX(Pledges!$B$5:$B$2500,MATCH($G800,Pledges!$K$5:$K$2500,0)))),"⚠ phone not in Pledges"))</f>
      </c>
      <c r="C800" s="12"/>
      <c r="D800" s="13"/>
      <c r="E800" s="22"/>
      <c r="F800" s="23"/>
      <c r="G800">
        <f>IF($A800="","","#"&amp;TRIM(SUBSTITUTE(SUBSTITUTE(SUBSTITUTE(SUBSTITUTE(SUBSTITUTE(SUBSTITUTE($A800,"-",""),"(",""),")",""),".",""),"+","")," ","")))</f>
      </c>
    </row>
    <row r="801" spans="1:7" x14ac:dyDescent="0.3">
      <c r="A801" s="11"/>
      <c r="B801" s="38">
        <f>IF($A801="","",IFERROR(IF(INDEX(Pledges!$D$5:$D$2500,MATCH($G801,Pledges!$K$5:$K$2500,0))="","⚠ no amount on Pledges",IF(INDEX(Pledges!$B$5:$B$2500,MATCH($G801,Pledges!$K$5:$K$2500,0))="","",INDEX(Pledges!$B$5:$B$2500,MATCH($G801,Pledges!$K$5:$K$2500,0)))),"⚠ phone not in Pledges"))</f>
      </c>
      <c r="C801" s="12"/>
      <c r="D801" s="13"/>
      <c r="E801" s="22"/>
      <c r="F801" s="23"/>
      <c r="G801">
        <f>IF($A801="","","#"&amp;TRIM(SUBSTITUTE(SUBSTITUTE(SUBSTITUTE(SUBSTITUTE(SUBSTITUTE(SUBSTITUTE($A801,"-",""),"(",""),")",""),".",""),"+","")," ","")))</f>
      </c>
    </row>
    <row r="802" spans="1:7" x14ac:dyDescent="0.3">
      <c r="A802" s="11"/>
      <c r="B802" s="38">
        <f>IF($A802="","",IFERROR(IF(INDEX(Pledges!$D$5:$D$2500,MATCH($G802,Pledges!$K$5:$K$2500,0))="","⚠ no amount on Pledges",IF(INDEX(Pledges!$B$5:$B$2500,MATCH($G802,Pledges!$K$5:$K$2500,0))="","",INDEX(Pledges!$B$5:$B$2500,MATCH($G802,Pledges!$K$5:$K$2500,0)))),"⚠ phone not in Pledges"))</f>
      </c>
      <c r="C802" s="12"/>
      <c r="D802" s="13"/>
      <c r="E802" s="22"/>
      <c r="F802" s="23"/>
      <c r="G802">
        <f>IF($A802="","","#"&amp;TRIM(SUBSTITUTE(SUBSTITUTE(SUBSTITUTE(SUBSTITUTE(SUBSTITUTE(SUBSTITUTE($A802,"-",""),"(",""),")",""),".",""),"+","")," ","")))</f>
      </c>
    </row>
    <row r="803" spans="1:7" x14ac:dyDescent="0.3">
      <c r="A803" s="11"/>
      <c r="B803" s="38">
        <f>IF($A803="","",IFERROR(IF(INDEX(Pledges!$D$5:$D$2500,MATCH($G803,Pledges!$K$5:$K$2500,0))="","⚠ no amount on Pledges",IF(INDEX(Pledges!$B$5:$B$2500,MATCH($G803,Pledges!$K$5:$K$2500,0))="","",INDEX(Pledges!$B$5:$B$2500,MATCH($G803,Pledges!$K$5:$K$2500,0)))),"⚠ phone not in Pledges"))</f>
      </c>
      <c r="C803" s="12"/>
      <c r="D803" s="13"/>
      <c r="E803" s="22"/>
      <c r="F803" s="23"/>
      <c r="G803">
        <f>IF($A803="","","#"&amp;TRIM(SUBSTITUTE(SUBSTITUTE(SUBSTITUTE(SUBSTITUTE(SUBSTITUTE(SUBSTITUTE($A803,"-",""),"(",""),")",""),".",""),"+","")," ","")))</f>
      </c>
    </row>
    <row r="804" spans="1:7" x14ac:dyDescent="0.3">
      <c r="A804" s="11"/>
      <c r="B804" s="38">
        <f>IF($A804="","",IFERROR(IF(INDEX(Pledges!$D$5:$D$2500,MATCH($G804,Pledges!$K$5:$K$2500,0))="","⚠ no amount on Pledges",IF(INDEX(Pledges!$B$5:$B$2500,MATCH($G804,Pledges!$K$5:$K$2500,0))="","",INDEX(Pledges!$B$5:$B$2500,MATCH($G804,Pledges!$K$5:$K$2500,0)))),"⚠ phone not in Pledges"))</f>
      </c>
      <c r="C804" s="12"/>
      <c r="D804" s="13"/>
      <c r="E804" s="22"/>
      <c r="F804" s="23"/>
      <c r="G804">
        <f>IF($A804="","","#"&amp;TRIM(SUBSTITUTE(SUBSTITUTE(SUBSTITUTE(SUBSTITUTE(SUBSTITUTE(SUBSTITUTE($A804,"-",""),"(",""),")",""),".",""),"+","")," ","")))</f>
      </c>
    </row>
    <row r="805" spans="1:7" x14ac:dyDescent="0.3">
      <c r="A805" s="11"/>
      <c r="B805" s="38">
        <f>IF($A805="","",IFERROR(IF(INDEX(Pledges!$D$5:$D$2500,MATCH($G805,Pledges!$K$5:$K$2500,0))="","⚠ no amount on Pledges",IF(INDEX(Pledges!$B$5:$B$2500,MATCH($G805,Pledges!$K$5:$K$2500,0))="","",INDEX(Pledges!$B$5:$B$2500,MATCH($G805,Pledges!$K$5:$K$2500,0)))),"⚠ phone not in Pledges"))</f>
      </c>
      <c r="C805" s="12"/>
      <c r="D805" s="13"/>
      <c r="E805" s="22"/>
      <c r="F805" s="23"/>
      <c r="G805">
        <f>IF($A805="","","#"&amp;TRIM(SUBSTITUTE(SUBSTITUTE(SUBSTITUTE(SUBSTITUTE(SUBSTITUTE(SUBSTITUTE($A805,"-",""),"(",""),")",""),".",""),"+","")," ","")))</f>
      </c>
    </row>
    <row r="806" spans="1:7" x14ac:dyDescent="0.3">
      <c r="A806" s="11"/>
      <c r="B806" s="38">
        <f>IF($A806="","",IFERROR(IF(INDEX(Pledges!$D$5:$D$2500,MATCH($G806,Pledges!$K$5:$K$2500,0))="","⚠ no amount on Pledges",IF(INDEX(Pledges!$B$5:$B$2500,MATCH($G806,Pledges!$K$5:$K$2500,0))="","",INDEX(Pledges!$B$5:$B$2500,MATCH($G806,Pledges!$K$5:$K$2500,0)))),"⚠ phone not in Pledges"))</f>
      </c>
      <c r="C806" s="12"/>
      <c r="D806" s="13"/>
      <c r="E806" s="22"/>
      <c r="F806" s="23"/>
      <c r="G806">
        <f>IF($A806="","","#"&amp;TRIM(SUBSTITUTE(SUBSTITUTE(SUBSTITUTE(SUBSTITUTE(SUBSTITUTE(SUBSTITUTE($A806,"-",""),"(",""),")",""),".",""),"+","")," ","")))</f>
      </c>
    </row>
    <row r="807" spans="1:7" x14ac:dyDescent="0.3">
      <c r="A807" s="11"/>
      <c r="B807" s="38">
        <f>IF($A807="","",IFERROR(IF(INDEX(Pledges!$D$5:$D$2500,MATCH($G807,Pledges!$K$5:$K$2500,0))="","⚠ no amount on Pledges",IF(INDEX(Pledges!$B$5:$B$2500,MATCH($G807,Pledges!$K$5:$K$2500,0))="","",INDEX(Pledges!$B$5:$B$2500,MATCH($G807,Pledges!$K$5:$K$2500,0)))),"⚠ phone not in Pledges"))</f>
      </c>
      <c r="C807" s="12"/>
      <c r="D807" s="13"/>
      <c r="E807" s="22"/>
      <c r="F807" s="23"/>
      <c r="G807">
        <f>IF($A807="","","#"&amp;TRIM(SUBSTITUTE(SUBSTITUTE(SUBSTITUTE(SUBSTITUTE(SUBSTITUTE(SUBSTITUTE($A807,"-",""),"(",""),")",""),".",""),"+","")," ","")))</f>
      </c>
    </row>
    <row r="808" spans="1:7" x14ac:dyDescent="0.3">
      <c r="A808" s="11"/>
      <c r="B808" s="38">
        <f>IF($A808="","",IFERROR(IF(INDEX(Pledges!$D$5:$D$2500,MATCH($G808,Pledges!$K$5:$K$2500,0))="","⚠ no amount on Pledges",IF(INDEX(Pledges!$B$5:$B$2500,MATCH($G808,Pledges!$K$5:$K$2500,0))="","",INDEX(Pledges!$B$5:$B$2500,MATCH($G808,Pledges!$K$5:$K$2500,0)))),"⚠ phone not in Pledges"))</f>
      </c>
      <c r="C808" s="12"/>
      <c r="D808" s="13"/>
      <c r="E808" s="22"/>
      <c r="F808" s="23"/>
      <c r="G808">
        <f>IF($A808="","","#"&amp;TRIM(SUBSTITUTE(SUBSTITUTE(SUBSTITUTE(SUBSTITUTE(SUBSTITUTE(SUBSTITUTE($A808,"-",""),"(",""),")",""),".",""),"+","")," ","")))</f>
      </c>
    </row>
    <row r="809" spans="1:7" x14ac:dyDescent="0.3">
      <c r="A809" s="11"/>
      <c r="B809" s="38">
        <f>IF($A809="","",IFERROR(IF(INDEX(Pledges!$D$5:$D$2500,MATCH($G809,Pledges!$K$5:$K$2500,0))="","⚠ no amount on Pledges",IF(INDEX(Pledges!$B$5:$B$2500,MATCH($G809,Pledges!$K$5:$K$2500,0))="","",INDEX(Pledges!$B$5:$B$2500,MATCH($G809,Pledges!$K$5:$K$2500,0)))),"⚠ phone not in Pledges"))</f>
      </c>
      <c r="C809" s="12"/>
      <c r="D809" s="13"/>
      <c r="E809" s="22"/>
      <c r="F809" s="23"/>
      <c r="G809">
        <f>IF($A809="","","#"&amp;TRIM(SUBSTITUTE(SUBSTITUTE(SUBSTITUTE(SUBSTITUTE(SUBSTITUTE(SUBSTITUTE($A809,"-",""),"(",""),")",""),".",""),"+","")," ","")))</f>
      </c>
    </row>
    <row r="810" spans="1:7" x14ac:dyDescent="0.3">
      <c r="A810" s="11"/>
      <c r="B810" s="38">
        <f>IF($A810="","",IFERROR(IF(INDEX(Pledges!$D$5:$D$2500,MATCH($G810,Pledges!$K$5:$K$2500,0))="","⚠ no amount on Pledges",IF(INDEX(Pledges!$B$5:$B$2500,MATCH($G810,Pledges!$K$5:$K$2500,0))="","",INDEX(Pledges!$B$5:$B$2500,MATCH($G810,Pledges!$K$5:$K$2500,0)))),"⚠ phone not in Pledges"))</f>
      </c>
      <c r="C810" s="12"/>
      <c r="D810" s="13"/>
      <c r="E810" s="22"/>
      <c r="F810" s="23"/>
      <c r="G810">
        <f>IF($A810="","","#"&amp;TRIM(SUBSTITUTE(SUBSTITUTE(SUBSTITUTE(SUBSTITUTE(SUBSTITUTE(SUBSTITUTE($A810,"-",""),"(",""),")",""),".",""),"+","")," ","")))</f>
      </c>
    </row>
    <row r="811" spans="1:7" x14ac:dyDescent="0.3">
      <c r="A811" s="11"/>
      <c r="B811" s="38">
        <f>IF($A811="","",IFERROR(IF(INDEX(Pledges!$D$5:$D$2500,MATCH($G811,Pledges!$K$5:$K$2500,0))="","⚠ no amount on Pledges",IF(INDEX(Pledges!$B$5:$B$2500,MATCH($G811,Pledges!$K$5:$K$2500,0))="","",INDEX(Pledges!$B$5:$B$2500,MATCH($G811,Pledges!$K$5:$K$2500,0)))),"⚠ phone not in Pledges"))</f>
      </c>
      <c r="C811" s="12"/>
      <c r="D811" s="13"/>
      <c r="E811" s="22"/>
      <c r="F811" s="23"/>
      <c r="G811">
        <f>IF($A811="","","#"&amp;TRIM(SUBSTITUTE(SUBSTITUTE(SUBSTITUTE(SUBSTITUTE(SUBSTITUTE(SUBSTITUTE($A811,"-",""),"(",""),")",""),".",""),"+","")," ","")))</f>
      </c>
    </row>
    <row r="812" spans="1:7" x14ac:dyDescent="0.3">
      <c r="A812" s="11"/>
      <c r="B812" s="38">
        <f>IF($A812="","",IFERROR(IF(INDEX(Pledges!$D$5:$D$2500,MATCH($G812,Pledges!$K$5:$K$2500,0))="","⚠ no amount on Pledges",IF(INDEX(Pledges!$B$5:$B$2500,MATCH($G812,Pledges!$K$5:$K$2500,0))="","",INDEX(Pledges!$B$5:$B$2500,MATCH($G812,Pledges!$K$5:$K$2500,0)))),"⚠ phone not in Pledges"))</f>
      </c>
      <c r="C812" s="12"/>
      <c r="D812" s="13"/>
      <c r="E812" s="22"/>
      <c r="F812" s="23"/>
      <c r="G812">
        <f>IF($A812="","","#"&amp;TRIM(SUBSTITUTE(SUBSTITUTE(SUBSTITUTE(SUBSTITUTE(SUBSTITUTE(SUBSTITUTE($A812,"-",""),"(",""),")",""),".",""),"+","")," ","")))</f>
      </c>
    </row>
    <row r="813" spans="1:7" x14ac:dyDescent="0.3">
      <c r="A813" s="11"/>
      <c r="B813" s="38">
        <f>IF($A813="","",IFERROR(IF(INDEX(Pledges!$D$5:$D$2500,MATCH($G813,Pledges!$K$5:$K$2500,0))="","⚠ no amount on Pledges",IF(INDEX(Pledges!$B$5:$B$2500,MATCH($G813,Pledges!$K$5:$K$2500,0))="","",INDEX(Pledges!$B$5:$B$2500,MATCH($G813,Pledges!$K$5:$K$2500,0)))),"⚠ phone not in Pledges"))</f>
      </c>
      <c r="C813" s="12"/>
      <c r="D813" s="13"/>
      <c r="E813" s="22"/>
      <c r="F813" s="23"/>
      <c r="G813">
        <f>IF($A813="","","#"&amp;TRIM(SUBSTITUTE(SUBSTITUTE(SUBSTITUTE(SUBSTITUTE(SUBSTITUTE(SUBSTITUTE($A813,"-",""),"(",""),")",""),".",""),"+","")," ","")))</f>
      </c>
    </row>
    <row r="814" spans="1:7" x14ac:dyDescent="0.3">
      <c r="A814" s="11"/>
      <c r="B814" s="38">
        <f>IF($A814="","",IFERROR(IF(INDEX(Pledges!$D$5:$D$2500,MATCH($G814,Pledges!$K$5:$K$2500,0))="","⚠ no amount on Pledges",IF(INDEX(Pledges!$B$5:$B$2500,MATCH($G814,Pledges!$K$5:$K$2500,0))="","",INDEX(Pledges!$B$5:$B$2500,MATCH($G814,Pledges!$K$5:$K$2500,0)))),"⚠ phone not in Pledges"))</f>
      </c>
      <c r="C814" s="12"/>
      <c r="D814" s="13"/>
      <c r="E814" s="22"/>
      <c r="F814" s="23"/>
      <c r="G814">
        <f>IF($A814="","","#"&amp;TRIM(SUBSTITUTE(SUBSTITUTE(SUBSTITUTE(SUBSTITUTE(SUBSTITUTE(SUBSTITUTE($A814,"-",""),"(",""),")",""),".",""),"+","")," ","")))</f>
      </c>
    </row>
    <row r="815" spans="1:7" x14ac:dyDescent="0.3">
      <c r="A815" s="11"/>
      <c r="B815" s="38">
        <f>IF($A815="","",IFERROR(IF(INDEX(Pledges!$D$5:$D$2500,MATCH($G815,Pledges!$K$5:$K$2500,0))="","⚠ no amount on Pledges",IF(INDEX(Pledges!$B$5:$B$2500,MATCH($G815,Pledges!$K$5:$K$2500,0))="","",INDEX(Pledges!$B$5:$B$2500,MATCH($G815,Pledges!$K$5:$K$2500,0)))),"⚠ phone not in Pledges"))</f>
      </c>
      <c r="C815" s="12"/>
      <c r="D815" s="13"/>
      <c r="E815" s="22"/>
      <c r="F815" s="23"/>
      <c r="G815">
        <f>IF($A815="","","#"&amp;TRIM(SUBSTITUTE(SUBSTITUTE(SUBSTITUTE(SUBSTITUTE(SUBSTITUTE(SUBSTITUTE($A815,"-",""),"(",""),")",""),".",""),"+","")," ","")))</f>
      </c>
    </row>
    <row r="816" spans="1:7" x14ac:dyDescent="0.3">
      <c r="A816" s="11"/>
      <c r="B816" s="38">
        <f>IF($A816="","",IFERROR(IF(INDEX(Pledges!$D$5:$D$2500,MATCH($G816,Pledges!$K$5:$K$2500,0))="","⚠ no amount on Pledges",IF(INDEX(Pledges!$B$5:$B$2500,MATCH($G816,Pledges!$K$5:$K$2500,0))="","",INDEX(Pledges!$B$5:$B$2500,MATCH($G816,Pledges!$K$5:$K$2500,0)))),"⚠ phone not in Pledges"))</f>
      </c>
      <c r="C816" s="12"/>
      <c r="D816" s="13"/>
      <c r="E816" s="22"/>
      <c r="F816" s="23"/>
      <c r="G816">
        <f>IF($A816="","","#"&amp;TRIM(SUBSTITUTE(SUBSTITUTE(SUBSTITUTE(SUBSTITUTE(SUBSTITUTE(SUBSTITUTE($A816,"-",""),"(",""),")",""),".",""),"+","")," ","")))</f>
      </c>
    </row>
    <row r="817" spans="1:7" x14ac:dyDescent="0.3">
      <c r="A817" s="11"/>
      <c r="B817" s="38">
        <f>IF($A817="","",IFERROR(IF(INDEX(Pledges!$D$5:$D$2500,MATCH($G817,Pledges!$K$5:$K$2500,0))="","⚠ no amount on Pledges",IF(INDEX(Pledges!$B$5:$B$2500,MATCH($G817,Pledges!$K$5:$K$2500,0))="","",INDEX(Pledges!$B$5:$B$2500,MATCH($G817,Pledges!$K$5:$K$2500,0)))),"⚠ phone not in Pledges"))</f>
      </c>
      <c r="C817" s="12"/>
      <c r="D817" s="13"/>
      <c r="E817" s="22"/>
      <c r="F817" s="23"/>
      <c r="G817">
        <f>IF($A817="","","#"&amp;TRIM(SUBSTITUTE(SUBSTITUTE(SUBSTITUTE(SUBSTITUTE(SUBSTITUTE(SUBSTITUTE($A817,"-",""),"(",""),")",""),".",""),"+","")," ","")))</f>
      </c>
    </row>
    <row r="818" spans="1:7" x14ac:dyDescent="0.3">
      <c r="A818" s="11"/>
      <c r="B818" s="38">
        <f>IF($A818="","",IFERROR(IF(INDEX(Pledges!$D$5:$D$2500,MATCH($G818,Pledges!$K$5:$K$2500,0))="","⚠ no amount on Pledges",IF(INDEX(Pledges!$B$5:$B$2500,MATCH($G818,Pledges!$K$5:$K$2500,0))="","",INDEX(Pledges!$B$5:$B$2500,MATCH($G818,Pledges!$K$5:$K$2500,0)))),"⚠ phone not in Pledges"))</f>
      </c>
      <c r="C818" s="12"/>
      <c r="D818" s="13"/>
      <c r="E818" s="22"/>
      <c r="F818" s="23"/>
      <c r="G818">
        <f>IF($A818="","","#"&amp;TRIM(SUBSTITUTE(SUBSTITUTE(SUBSTITUTE(SUBSTITUTE(SUBSTITUTE(SUBSTITUTE($A818,"-",""),"(",""),")",""),".",""),"+","")," ","")))</f>
      </c>
    </row>
    <row r="819" spans="1:7" x14ac:dyDescent="0.3">
      <c r="A819" s="11"/>
      <c r="B819" s="38">
        <f>IF($A819="","",IFERROR(IF(INDEX(Pledges!$D$5:$D$2500,MATCH($G819,Pledges!$K$5:$K$2500,0))="","⚠ no amount on Pledges",IF(INDEX(Pledges!$B$5:$B$2500,MATCH($G819,Pledges!$K$5:$K$2500,0))="","",INDEX(Pledges!$B$5:$B$2500,MATCH($G819,Pledges!$K$5:$K$2500,0)))),"⚠ phone not in Pledges"))</f>
      </c>
      <c r="C819" s="12"/>
      <c r="D819" s="13"/>
      <c r="E819" s="22"/>
      <c r="F819" s="23"/>
      <c r="G819">
        <f>IF($A819="","","#"&amp;TRIM(SUBSTITUTE(SUBSTITUTE(SUBSTITUTE(SUBSTITUTE(SUBSTITUTE(SUBSTITUTE($A819,"-",""),"(",""),")",""),".",""),"+","")," ","")))</f>
      </c>
    </row>
    <row r="820" spans="1:7" x14ac:dyDescent="0.3">
      <c r="A820" s="11"/>
      <c r="B820" s="38">
        <f>IF($A820="","",IFERROR(IF(INDEX(Pledges!$D$5:$D$2500,MATCH($G820,Pledges!$K$5:$K$2500,0))="","⚠ no amount on Pledges",IF(INDEX(Pledges!$B$5:$B$2500,MATCH($G820,Pledges!$K$5:$K$2500,0))="","",INDEX(Pledges!$B$5:$B$2500,MATCH($G820,Pledges!$K$5:$K$2500,0)))),"⚠ phone not in Pledges"))</f>
      </c>
      <c r="C820" s="12"/>
      <c r="D820" s="13"/>
      <c r="E820" s="22"/>
      <c r="F820" s="23"/>
      <c r="G820">
        <f>IF($A820="","","#"&amp;TRIM(SUBSTITUTE(SUBSTITUTE(SUBSTITUTE(SUBSTITUTE(SUBSTITUTE(SUBSTITUTE($A820,"-",""),"(",""),")",""),".",""),"+","")," ","")))</f>
      </c>
    </row>
    <row r="821" spans="1:7" x14ac:dyDescent="0.3">
      <c r="A821" s="11"/>
      <c r="B821" s="38">
        <f>IF($A821="","",IFERROR(IF(INDEX(Pledges!$D$5:$D$2500,MATCH($G821,Pledges!$K$5:$K$2500,0))="","⚠ no amount on Pledges",IF(INDEX(Pledges!$B$5:$B$2500,MATCH($G821,Pledges!$K$5:$K$2500,0))="","",INDEX(Pledges!$B$5:$B$2500,MATCH($G821,Pledges!$K$5:$K$2500,0)))),"⚠ phone not in Pledges"))</f>
      </c>
      <c r="C821" s="12"/>
      <c r="D821" s="13"/>
      <c r="E821" s="22"/>
      <c r="F821" s="23"/>
      <c r="G821">
        <f>IF($A821="","","#"&amp;TRIM(SUBSTITUTE(SUBSTITUTE(SUBSTITUTE(SUBSTITUTE(SUBSTITUTE(SUBSTITUTE($A821,"-",""),"(",""),")",""),".",""),"+","")," ","")))</f>
      </c>
    </row>
    <row r="822" spans="1:7" x14ac:dyDescent="0.3">
      <c r="A822" s="11"/>
      <c r="B822" s="38">
        <f>IF($A822="","",IFERROR(IF(INDEX(Pledges!$D$5:$D$2500,MATCH($G822,Pledges!$K$5:$K$2500,0))="","⚠ no amount on Pledges",IF(INDEX(Pledges!$B$5:$B$2500,MATCH($G822,Pledges!$K$5:$K$2500,0))="","",INDEX(Pledges!$B$5:$B$2500,MATCH($G822,Pledges!$K$5:$K$2500,0)))),"⚠ phone not in Pledges"))</f>
      </c>
      <c r="C822" s="12"/>
      <c r="D822" s="13"/>
      <c r="E822" s="22"/>
      <c r="F822" s="23"/>
      <c r="G822">
        <f>IF($A822="","","#"&amp;TRIM(SUBSTITUTE(SUBSTITUTE(SUBSTITUTE(SUBSTITUTE(SUBSTITUTE(SUBSTITUTE($A822,"-",""),"(",""),")",""),".",""),"+","")," ","")))</f>
      </c>
    </row>
    <row r="823" spans="1:7" x14ac:dyDescent="0.3">
      <c r="A823" s="11"/>
      <c r="B823" s="38">
        <f>IF($A823="","",IFERROR(IF(INDEX(Pledges!$D$5:$D$2500,MATCH($G823,Pledges!$K$5:$K$2500,0))="","⚠ no amount on Pledges",IF(INDEX(Pledges!$B$5:$B$2500,MATCH($G823,Pledges!$K$5:$K$2500,0))="","",INDEX(Pledges!$B$5:$B$2500,MATCH($G823,Pledges!$K$5:$K$2500,0)))),"⚠ phone not in Pledges"))</f>
      </c>
      <c r="C823" s="12"/>
      <c r="D823" s="13"/>
      <c r="E823" s="22"/>
      <c r="F823" s="23"/>
      <c r="G823">
        <f>IF($A823="","","#"&amp;TRIM(SUBSTITUTE(SUBSTITUTE(SUBSTITUTE(SUBSTITUTE(SUBSTITUTE(SUBSTITUTE($A823,"-",""),"(",""),")",""),".",""),"+","")," ","")))</f>
      </c>
    </row>
    <row r="824" spans="1:7" x14ac:dyDescent="0.3">
      <c r="A824" s="11"/>
      <c r="B824" s="38">
        <f>IF($A824="","",IFERROR(IF(INDEX(Pledges!$D$5:$D$2500,MATCH($G824,Pledges!$K$5:$K$2500,0))="","⚠ no amount on Pledges",IF(INDEX(Pledges!$B$5:$B$2500,MATCH($G824,Pledges!$K$5:$K$2500,0))="","",INDEX(Pledges!$B$5:$B$2500,MATCH($G824,Pledges!$K$5:$K$2500,0)))),"⚠ phone not in Pledges"))</f>
      </c>
      <c r="C824" s="12"/>
      <c r="D824" s="13"/>
      <c r="E824" s="22"/>
      <c r="F824" s="23"/>
      <c r="G824">
        <f>IF($A824="","","#"&amp;TRIM(SUBSTITUTE(SUBSTITUTE(SUBSTITUTE(SUBSTITUTE(SUBSTITUTE(SUBSTITUTE($A824,"-",""),"(",""),")",""),".",""),"+","")," ","")))</f>
      </c>
    </row>
    <row r="825" spans="1:7" x14ac:dyDescent="0.3">
      <c r="A825" s="11"/>
      <c r="B825" s="38">
        <f>IF($A825="","",IFERROR(IF(INDEX(Pledges!$D$5:$D$2500,MATCH($G825,Pledges!$K$5:$K$2500,0))="","⚠ no amount on Pledges",IF(INDEX(Pledges!$B$5:$B$2500,MATCH($G825,Pledges!$K$5:$K$2500,0))="","",INDEX(Pledges!$B$5:$B$2500,MATCH($G825,Pledges!$K$5:$K$2500,0)))),"⚠ phone not in Pledges"))</f>
      </c>
      <c r="C825" s="12"/>
      <c r="D825" s="13"/>
      <c r="E825" s="22"/>
      <c r="F825" s="23"/>
      <c r="G825">
        <f>IF($A825="","","#"&amp;TRIM(SUBSTITUTE(SUBSTITUTE(SUBSTITUTE(SUBSTITUTE(SUBSTITUTE(SUBSTITUTE($A825,"-",""),"(",""),")",""),".",""),"+","")," ","")))</f>
      </c>
    </row>
    <row r="826" spans="1:7" x14ac:dyDescent="0.3">
      <c r="A826" s="11"/>
      <c r="B826" s="38">
        <f>IF($A826="","",IFERROR(IF(INDEX(Pledges!$D$5:$D$2500,MATCH($G826,Pledges!$K$5:$K$2500,0))="","⚠ no amount on Pledges",IF(INDEX(Pledges!$B$5:$B$2500,MATCH($G826,Pledges!$K$5:$K$2500,0))="","",INDEX(Pledges!$B$5:$B$2500,MATCH($G826,Pledges!$K$5:$K$2500,0)))),"⚠ phone not in Pledges"))</f>
      </c>
      <c r="C826" s="12"/>
      <c r="D826" s="13"/>
      <c r="E826" s="22"/>
      <c r="F826" s="23"/>
      <c r="G826">
        <f>IF($A826="","","#"&amp;TRIM(SUBSTITUTE(SUBSTITUTE(SUBSTITUTE(SUBSTITUTE(SUBSTITUTE(SUBSTITUTE($A826,"-",""),"(",""),")",""),".",""),"+","")," ","")))</f>
      </c>
    </row>
    <row r="827" spans="1:7" x14ac:dyDescent="0.3">
      <c r="A827" s="11"/>
      <c r="B827" s="38">
        <f>IF($A827="","",IFERROR(IF(INDEX(Pledges!$D$5:$D$2500,MATCH($G827,Pledges!$K$5:$K$2500,0))="","⚠ no amount on Pledges",IF(INDEX(Pledges!$B$5:$B$2500,MATCH($G827,Pledges!$K$5:$K$2500,0))="","",INDEX(Pledges!$B$5:$B$2500,MATCH($G827,Pledges!$K$5:$K$2500,0)))),"⚠ phone not in Pledges"))</f>
      </c>
      <c r="C827" s="12"/>
      <c r="D827" s="13"/>
      <c r="E827" s="22"/>
      <c r="F827" s="23"/>
      <c r="G827">
        <f>IF($A827="","","#"&amp;TRIM(SUBSTITUTE(SUBSTITUTE(SUBSTITUTE(SUBSTITUTE(SUBSTITUTE(SUBSTITUTE($A827,"-",""),"(",""),")",""),".",""),"+","")," ","")))</f>
      </c>
    </row>
    <row r="828" spans="1:7" x14ac:dyDescent="0.3">
      <c r="A828" s="11"/>
      <c r="B828" s="38">
        <f>IF($A828="","",IFERROR(IF(INDEX(Pledges!$D$5:$D$2500,MATCH($G828,Pledges!$K$5:$K$2500,0))="","⚠ no amount on Pledges",IF(INDEX(Pledges!$B$5:$B$2500,MATCH($G828,Pledges!$K$5:$K$2500,0))="","",INDEX(Pledges!$B$5:$B$2500,MATCH($G828,Pledges!$K$5:$K$2500,0)))),"⚠ phone not in Pledges"))</f>
      </c>
      <c r="C828" s="12"/>
      <c r="D828" s="13"/>
      <c r="E828" s="22"/>
      <c r="F828" s="23"/>
      <c r="G828">
        <f>IF($A828="","","#"&amp;TRIM(SUBSTITUTE(SUBSTITUTE(SUBSTITUTE(SUBSTITUTE(SUBSTITUTE(SUBSTITUTE($A828,"-",""),"(",""),")",""),".",""),"+","")," ","")))</f>
      </c>
    </row>
    <row r="829" spans="1:7" x14ac:dyDescent="0.3">
      <c r="A829" s="11"/>
      <c r="B829" s="38">
        <f>IF($A829="","",IFERROR(IF(INDEX(Pledges!$D$5:$D$2500,MATCH($G829,Pledges!$K$5:$K$2500,0))="","⚠ no amount on Pledges",IF(INDEX(Pledges!$B$5:$B$2500,MATCH($G829,Pledges!$K$5:$K$2500,0))="","",INDEX(Pledges!$B$5:$B$2500,MATCH($G829,Pledges!$K$5:$K$2500,0)))),"⚠ phone not in Pledges"))</f>
      </c>
      <c r="C829" s="12"/>
      <c r="D829" s="13"/>
      <c r="E829" s="22"/>
      <c r="F829" s="23"/>
      <c r="G829">
        <f>IF($A829="","","#"&amp;TRIM(SUBSTITUTE(SUBSTITUTE(SUBSTITUTE(SUBSTITUTE(SUBSTITUTE(SUBSTITUTE($A829,"-",""),"(",""),")",""),".",""),"+","")," ","")))</f>
      </c>
    </row>
    <row r="830" spans="1:7" x14ac:dyDescent="0.3">
      <c r="A830" s="11"/>
      <c r="B830" s="38">
        <f>IF($A830="","",IFERROR(IF(INDEX(Pledges!$D$5:$D$2500,MATCH($G830,Pledges!$K$5:$K$2500,0))="","⚠ no amount on Pledges",IF(INDEX(Pledges!$B$5:$B$2500,MATCH($G830,Pledges!$K$5:$K$2500,0))="","",INDEX(Pledges!$B$5:$B$2500,MATCH($G830,Pledges!$K$5:$K$2500,0)))),"⚠ phone not in Pledges"))</f>
      </c>
      <c r="C830" s="12"/>
      <c r="D830" s="13"/>
      <c r="E830" s="22"/>
      <c r="F830" s="23"/>
      <c r="G830">
        <f>IF($A830="","","#"&amp;TRIM(SUBSTITUTE(SUBSTITUTE(SUBSTITUTE(SUBSTITUTE(SUBSTITUTE(SUBSTITUTE($A830,"-",""),"(",""),")",""),".",""),"+","")," ","")))</f>
      </c>
    </row>
    <row r="831" spans="1:7" x14ac:dyDescent="0.3">
      <c r="A831" s="11"/>
      <c r="B831" s="38">
        <f>IF($A831="","",IFERROR(IF(INDEX(Pledges!$D$5:$D$2500,MATCH($G831,Pledges!$K$5:$K$2500,0))="","⚠ no amount on Pledges",IF(INDEX(Pledges!$B$5:$B$2500,MATCH($G831,Pledges!$K$5:$K$2500,0))="","",INDEX(Pledges!$B$5:$B$2500,MATCH($G831,Pledges!$K$5:$K$2500,0)))),"⚠ phone not in Pledges"))</f>
      </c>
      <c r="C831" s="12"/>
      <c r="D831" s="13"/>
      <c r="E831" s="22"/>
      <c r="F831" s="23"/>
      <c r="G831">
        <f>IF($A831="","","#"&amp;TRIM(SUBSTITUTE(SUBSTITUTE(SUBSTITUTE(SUBSTITUTE(SUBSTITUTE(SUBSTITUTE($A831,"-",""),"(",""),")",""),".",""),"+","")," ","")))</f>
      </c>
    </row>
    <row r="832" spans="1:7" x14ac:dyDescent="0.3">
      <c r="A832" s="11"/>
      <c r="B832" s="38">
        <f>IF($A832="","",IFERROR(IF(INDEX(Pledges!$D$5:$D$2500,MATCH($G832,Pledges!$K$5:$K$2500,0))="","⚠ no amount on Pledges",IF(INDEX(Pledges!$B$5:$B$2500,MATCH($G832,Pledges!$K$5:$K$2500,0))="","",INDEX(Pledges!$B$5:$B$2500,MATCH($G832,Pledges!$K$5:$K$2500,0)))),"⚠ phone not in Pledges"))</f>
      </c>
      <c r="C832" s="12"/>
      <c r="D832" s="13"/>
      <c r="E832" s="22"/>
      <c r="F832" s="23"/>
      <c r="G832">
        <f>IF($A832="","","#"&amp;TRIM(SUBSTITUTE(SUBSTITUTE(SUBSTITUTE(SUBSTITUTE(SUBSTITUTE(SUBSTITUTE($A832,"-",""),"(",""),")",""),".",""),"+","")," ","")))</f>
      </c>
    </row>
    <row r="833" spans="1:7" x14ac:dyDescent="0.3">
      <c r="A833" s="11"/>
      <c r="B833" s="38">
        <f>IF($A833="","",IFERROR(IF(INDEX(Pledges!$D$5:$D$2500,MATCH($G833,Pledges!$K$5:$K$2500,0))="","⚠ no amount on Pledges",IF(INDEX(Pledges!$B$5:$B$2500,MATCH($G833,Pledges!$K$5:$K$2500,0))="","",INDEX(Pledges!$B$5:$B$2500,MATCH($G833,Pledges!$K$5:$K$2500,0)))),"⚠ phone not in Pledges"))</f>
      </c>
      <c r="C833" s="12"/>
      <c r="D833" s="13"/>
      <c r="E833" s="22"/>
      <c r="F833" s="23"/>
      <c r="G833">
        <f>IF($A833="","","#"&amp;TRIM(SUBSTITUTE(SUBSTITUTE(SUBSTITUTE(SUBSTITUTE(SUBSTITUTE(SUBSTITUTE($A833,"-",""),"(",""),")",""),".",""),"+","")," ","")))</f>
      </c>
    </row>
    <row r="834" spans="1:7" x14ac:dyDescent="0.3">
      <c r="A834" s="11"/>
      <c r="B834" s="38">
        <f>IF($A834="","",IFERROR(IF(INDEX(Pledges!$D$5:$D$2500,MATCH($G834,Pledges!$K$5:$K$2500,0))="","⚠ no amount on Pledges",IF(INDEX(Pledges!$B$5:$B$2500,MATCH($G834,Pledges!$K$5:$K$2500,0))="","",INDEX(Pledges!$B$5:$B$2500,MATCH($G834,Pledges!$K$5:$K$2500,0)))),"⚠ phone not in Pledges"))</f>
      </c>
      <c r="C834" s="12"/>
      <c r="D834" s="13"/>
      <c r="E834" s="22"/>
      <c r="F834" s="23"/>
      <c r="G834">
        <f>IF($A834="","","#"&amp;TRIM(SUBSTITUTE(SUBSTITUTE(SUBSTITUTE(SUBSTITUTE(SUBSTITUTE(SUBSTITUTE($A834,"-",""),"(",""),")",""),".",""),"+","")," ","")))</f>
      </c>
    </row>
    <row r="835" spans="1:7" x14ac:dyDescent="0.3">
      <c r="A835" s="11"/>
      <c r="B835" s="38">
        <f>IF($A835="","",IFERROR(IF(INDEX(Pledges!$D$5:$D$2500,MATCH($G835,Pledges!$K$5:$K$2500,0))="","⚠ no amount on Pledges",IF(INDEX(Pledges!$B$5:$B$2500,MATCH($G835,Pledges!$K$5:$K$2500,0))="","",INDEX(Pledges!$B$5:$B$2500,MATCH($G835,Pledges!$K$5:$K$2500,0)))),"⚠ phone not in Pledges"))</f>
      </c>
      <c r="C835" s="12"/>
      <c r="D835" s="13"/>
      <c r="E835" s="22"/>
      <c r="F835" s="23"/>
      <c r="G835">
        <f>IF($A835="","","#"&amp;TRIM(SUBSTITUTE(SUBSTITUTE(SUBSTITUTE(SUBSTITUTE(SUBSTITUTE(SUBSTITUTE($A835,"-",""),"(",""),")",""),".",""),"+","")," ","")))</f>
      </c>
    </row>
    <row r="836" spans="1:7" x14ac:dyDescent="0.3">
      <c r="A836" s="11"/>
      <c r="B836" s="38">
        <f>IF($A836="","",IFERROR(IF(INDEX(Pledges!$D$5:$D$2500,MATCH($G836,Pledges!$K$5:$K$2500,0))="","⚠ no amount on Pledges",IF(INDEX(Pledges!$B$5:$B$2500,MATCH($G836,Pledges!$K$5:$K$2500,0))="","",INDEX(Pledges!$B$5:$B$2500,MATCH($G836,Pledges!$K$5:$K$2500,0)))),"⚠ phone not in Pledges"))</f>
      </c>
      <c r="C836" s="12"/>
      <c r="D836" s="13"/>
      <c r="E836" s="22"/>
      <c r="F836" s="23"/>
      <c r="G836">
        <f>IF($A836="","","#"&amp;TRIM(SUBSTITUTE(SUBSTITUTE(SUBSTITUTE(SUBSTITUTE(SUBSTITUTE(SUBSTITUTE($A836,"-",""),"(",""),")",""),".",""),"+","")," ","")))</f>
      </c>
    </row>
    <row r="837" spans="1:7" x14ac:dyDescent="0.3">
      <c r="A837" s="11"/>
      <c r="B837" s="38">
        <f>IF($A837="","",IFERROR(IF(INDEX(Pledges!$D$5:$D$2500,MATCH($G837,Pledges!$K$5:$K$2500,0))="","⚠ no amount on Pledges",IF(INDEX(Pledges!$B$5:$B$2500,MATCH($G837,Pledges!$K$5:$K$2500,0))="","",INDEX(Pledges!$B$5:$B$2500,MATCH($G837,Pledges!$K$5:$K$2500,0)))),"⚠ phone not in Pledges"))</f>
      </c>
      <c r="C837" s="12"/>
      <c r="D837" s="13"/>
      <c r="E837" s="22"/>
      <c r="F837" s="23"/>
      <c r="G837">
        <f>IF($A837="","","#"&amp;TRIM(SUBSTITUTE(SUBSTITUTE(SUBSTITUTE(SUBSTITUTE(SUBSTITUTE(SUBSTITUTE($A837,"-",""),"(",""),")",""),".",""),"+","")," ","")))</f>
      </c>
    </row>
    <row r="838" spans="1:7" x14ac:dyDescent="0.3">
      <c r="A838" s="11"/>
      <c r="B838" s="38">
        <f>IF($A838="","",IFERROR(IF(INDEX(Pledges!$D$5:$D$2500,MATCH($G838,Pledges!$K$5:$K$2500,0))="","⚠ no amount on Pledges",IF(INDEX(Pledges!$B$5:$B$2500,MATCH($G838,Pledges!$K$5:$K$2500,0))="","",INDEX(Pledges!$B$5:$B$2500,MATCH($G838,Pledges!$K$5:$K$2500,0)))),"⚠ phone not in Pledges"))</f>
      </c>
      <c r="C838" s="12"/>
      <c r="D838" s="13"/>
      <c r="E838" s="22"/>
      <c r="F838" s="23"/>
      <c r="G838">
        <f>IF($A838="","","#"&amp;TRIM(SUBSTITUTE(SUBSTITUTE(SUBSTITUTE(SUBSTITUTE(SUBSTITUTE(SUBSTITUTE($A838,"-",""),"(",""),")",""),".",""),"+","")," ","")))</f>
      </c>
    </row>
    <row r="839" spans="1:7" x14ac:dyDescent="0.3">
      <c r="A839" s="11"/>
      <c r="B839" s="38">
        <f>IF($A839="","",IFERROR(IF(INDEX(Pledges!$D$5:$D$2500,MATCH($G839,Pledges!$K$5:$K$2500,0))="","⚠ no amount on Pledges",IF(INDEX(Pledges!$B$5:$B$2500,MATCH($G839,Pledges!$K$5:$K$2500,0))="","",INDEX(Pledges!$B$5:$B$2500,MATCH($G839,Pledges!$K$5:$K$2500,0)))),"⚠ phone not in Pledges"))</f>
      </c>
      <c r="C839" s="12"/>
      <c r="D839" s="13"/>
      <c r="E839" s="22"/>
      <c r="F839" s="23"/>
      <c r="G839">
        <f>IF($A839="","","#"&amp;TRIM(SUBSTITUTE(SUBSTITUTE(SUBSTITUTE(SUBSTITUTE(SUBSTITUTE(SUBSTITUTE($A839,"-",""),"(",""),")",""),".",""),"+","")," ","")))</f>
      </c>
    </row>
    <row r="840" spans="1:7" x14ac:dyDescent="0.3">
      <c r="A840" s="11"/>
      <c r="B840" s="38">
        <f>IF($A840="","",IFERROR(IF(INDEX(Pledges!$D$5:$D$2500,MATCH($G840,Pledges!$K$5:$K$2500,0))="","⚠ no amount on Pledges",IF(INDEX(Pledges!$B$5:$B$2500,MATCH($G840,Pledges!$K$5:$K$2500,0))="","",INDEX(Pledges!$B$5:$B$2500,MATCH($G840,Pledges!$K$5:$K$2500,0)))),"⚠ phone not in Pledges"))</f>
      </c>
      <c r="C840" s="12"/>
      <c r="D840" s="13"/>
      <c r="E840" s="22"/>
      <c r="F840" s="23"/>
      <c r="G840">
        <f>IF($A840="","","#"&amp;TRIM(SUBSTITUTE(SUBSTITUTE(SUBSTITUTE(SUBSTITUTE(SUBSTITUTE(SUBSTITUTE($A840,"-",""),"(",""),")",""),".",""),"+","")," ","")))</f>
      </c>
    </row>
    <row r="841" spans="1:7" x14ac:dyDescent="0.3">
      <c r="A841" s="11"/>
      <c r="B841" s="38">
        <f>IF($A841="","",IFERROR(IF(INDEX(Pledges!$D$5:$D$2500,MATCH($G841,Pledges!$K$5:$K$2500,0))="","⚠ no amount on Pledges",IF(INDEX(Pledges!$B$5:$B$2500,MATCH($G841,Pledges!$K$5:$K$2500,0))="","",INDEX(Pledges!$B$5:$B$2500,MATCH($G841,Pledges!$K$5:$K$2500,0)))),"⚠ phone not in Pledges"))</f>
      </c>
      <c r="C841" s="12"/>
      <c r="D841" s="13"/>
      <c r="E841" s="22"/>
      <c r="F841" s="23"/>
      <c r="G841">
        <f>IF($A841="","","#"&amp;TRIM(SUBSTITUTE(SUBSTITUTE(SUBSTITUTE(SUBSTITUTE(SUBSTITUTE(SUBSTITUTE($A841,"-",""),"(",""),")",""),".",""),"+","")," ","")))</f>
      </c>
    </row>
    <row r="842" spans="1:7" x14ac:dyDescent="0.3">
      <c r="A842" s="11"/>
      <c r="B842" s="38">
        <f>IF($A842="","",IFERROR(IF(INDEX(Pledges!$D$5:$D$2500,MATCH($G842,Pledges!$K$5:$K$2500,0))="","⚠ no amount on Pledges",IF(INDEX(Pledges!$B$5:$B$2500,MATCH($G842,Pledges!$K$5:$K$2500,0))="","",INDEX(Pledges!$B$5:$B$2500,MATCH($G842,Pledges!$K$5:$K$2500,0)))),"⚠ phone not in Pledges"))</f>
      </c>
      <c r="C842" s="12"/>
      <c r="D842" s="13"/>
      <c r="E842" s="22"/>
      <c r="F842" s="23"/>
      <c r="G842">
        <f>IF($A842="","","#"&amp;TRIM(SUBSTITUTE(SUBSTITUTE(SUBSTITUTE(SUBSTITUTE(SUBSTITUTE(SUBSTITUTE($A842,"-",""),"(",""),")",""),".",""),"+","")," ","")))</f>
      </c>
    </row>
    <row r="843" spans="1:7" x14ac:dyDescent="0.3">
      <c r="A843" s="11"/>
      <c r="B843" s="38">
        <f>IF($A843="","",IFERROR(IF(INDEX(Pledges!$D$5:$D$2500,MATCH($G843,Pledges!$K$5:$K$2500,0))="","⚠ no amount on Pledges",IF(INDEX(Pledges!$B$5:$B$2500,MATCH($G843,Pledges!$K$5:$K$2500,0))="","",INDEX(Pledges!$B$5:$B$2500,MATCH($G843,Pledges!$K$5:$K$2500,0)))),"⚠ phone not in Pledges"))</f>
      </c>
      <c r="C843" s="12"/>
      <c r="D843" s="13"/>
      <c r="E843" s="22"/>
      <c r="F843" s="23"/>
      <c r="G843">
        <f>IF($A843="","","#"&amp;TRIM(SUBSTITUTE(SUBSTITUTE(SUBSTITUTE(SUBSTITUTE(SUBSTITUTE(SUBSTITUTE($A843,"-",""),"(",""),")",""),".",""),"+","")," ","")))</f>
      </c>
    </row>
    <row r="844" spans="1:7" x14ac:dyDescent="0.3">
      <c r="A844" s="11"/>
      <c r="B844" s="38">
        <f>IF($A844="","",IFERROR(IF(INDEX(Pledges!$D$5:$D$2500,MATCH($G844,Pledges!$K$5:$K$2500,0))="","⚠ no amount on Pledges",IF(INDEX(Pledges!$B$5:$B$2500,MATCH($G844,Pledges!$K$5:$K$2500,0))="","",INDEX(Pledges!$B$5:$B$2500,MATCH($G844,Pledges!$K$5:$K$2500,0)))),"⚠ phone not in Pledges"))</f>
      </c>
      <c r="C844" s="12"/>
      <c r="D844" s="13"/>
      <c r="E844" s="22"/>
      <c r="F844" s="23"/>
      <c r="G844">
        <f>IF($A844="","","#"&amp;TRIM(SUBSTITUTE(SUBSTITUTE(SUBSTITUTE(SUBSTITUTE(SUBSTITUTE(SUBSTITUTE($A844,"-",""),"(",""),")",""),".",""),"+","")," ","")))</f>
      </c>
    </row>
    <row r="845" spans="1:7" x14ac:dyDescent="0.3">
      <c r="A845" s="11"/>
      <c r="B845" s="38">
        <f>IF($A845="","",IFERROR(IF(INDEX(Pledges!$D$5:$D$2500,MATCH($G845,Pledges!$K$5:$K$2500,0))="","⚠ no amount on Pledges",IF(INDEX(Pledges!$B$5:$B$2500,MATCH($G845,Pledges!$K$5:$K$2500,0))="","",INDEX(Pledges!$B$5:$B$2500,MATCH($G845,Pledges!$K$5:$K$2500,0)))),"⚠ phone not in Pledges"))</f>
      </c>
      <c r="C845" s="12"/>
      <c r="D845" s="13"/>
      <c r="E845" s="22"/>
      <c r="F845" s="23"/>
      <c r="G845">
        <f>IF($A845="","","#"&amp;TRIM(SUBSTITUTE(SUBSTITUTE(SUBSTITUTE(SUBSTITUTE(SUBSTITUTE(SUBSTITUTE($A845,"-",""),"(",""),")",""),".",""),"+","")," ","")))</f>
      </c>
    </row>
    <row r="846" spans="1:7" x14ac:dyDescent="0.3">
      <c r="A846" s="11"/>
      <c r="B846" s="38">
        <f>IF($A846="","",IFERROR(IF(INDEX(Pledges!$D$5:$D$2500,MATCH($G846,Pledges!$K$5:$K$2500,0))="","⚠ no amount on Pledges",IF(INDEX(Pledges!$B$5:$B$2500,MATCH($G846,Pledges!$K$5:$K$2500,0))="","",INDEX(Pledges!$B$5:$B$2500,MATCH($G846,Pledges!$K$5:$K$2500,0)))),"⚠ phone not in Pledges"))</f>
      </c>
      <c r="C846" s="12"/>
      <c r="D846" s="13"/>
      <c r="E846" s="22"/>
      <c r="F846" s="23"/>
      <c r="G846">
        <f>IF($A846="","","#"&amp;TRIM(SUBSTITUTE(SUBSTITUTE(SUBSTITUTE(SUBSTITUTE(SUBSTITUTE(SUBSTITUTE($A846,"-",""),"(",""),")",""),".",""),"+","")," ","")))</f>
      </c>
    </row>
    <row r="847" spans="1:7" x14ac:dyDescent="0.3">
      <c r="A847" s="11"/>
      <c r="B847" s="38">
        <f>IF($A847="","",IFERROR(IF(INDEX(Pledges!$D$5:$D$2500,MATCH($G847,Pledges!$K$5:$K$2500,0))="","⚠ no amount on Pledges",IF(INDEX(Pledges!$B$5:$B$2500,MATCH($G847,Pledges!$K$5:$K$2500,0))="","",INDEX(Pledges!$B$5:$B$2500,MATCH($G847,Pledges!$K$5:$K$2500,0)))),"⚠ phone not in Pledges"))</f>
      </c>
      <c r="C847" s="12"/>
      <c r="D847" s="13"/>
      <c r="E847" s="22"/>
      <c r="F847" s="23"/>
      <c r="G847">
        <f>IF($A847="","","#"&amp;TRIM(SUBSTITUTE(SUBSTITUTE(SUBSTITUTE(SUBSTITUTE(SUBSTITUTE(SUBSTITUTE($A847,"-",""),"(",""),")",""),".",""),"+","")," ","")))</f>
      </c>
    </row>
    <row r="848" spans="1:7" x14ac:dyDescent="0.3">
      <c r="A848" s="11"/>
      <c r="B848" s="38">
        <f>IF($A848="","",IFERROR(IF(INDEX(Pledges!$D$5:$D$2500,MATCH($G848,Pledges!$K$5:$K$2500,0))="","⚠ no amount on Pledges",IF(INDEX(Pledges!$B$5:$B$2500,MATCH($G848,Pledges!$K$5:$K$2500,0))="","",INDEX(Pledges!$B$5:$B$2500,MATCH($G848,Pledges!$K$5:$K$2500,0)))),"⚠ phone not in Pledges"))</f>
      </c>
      <c r="C848" s="12"/>
      <c r="D848" s="13"/>
      <c r="E848" s="22"/>
      <c r="F848" s="23"/>
      <c r="G848">
        <f>IF($A848="","","#"&amp;TRIM(SUBSTITUTE(SUBSTITUTE(SUBSTITUTE(SUBSTITUTE(SUBSTITUTE(SUBSTITUTE($A848,"-",""),"(",""),")",""),".",""),"+","")," ","")))</f>
      </c>
    </row>
    <row r="849" spans="1:7" x14ac:dyDescent="0.3">
      <c r="A849" s="11"/>
      <c r="B849" s="38">
        <f>IF($A849="","",IFERROR(IF(INDEX(Pledges!$D$5:$D$2500,MATCH($G849,Pledges!$K$5:$K$2500,0))="","⚠ no amount on Pledges",IF(INDEX(Pledges!$B$5:$B$2500,MATCH($G849,Pledges!$K$5:$K$2500,0))="","",INDEX(Pledges!$B$5:$B$2500,MATCH($G849,Pledges!$K$5:$K$2500,0)))),"⚠ phone not in Pledges"))</f>
      </c>
      <c r="C849" s="12"/>
      <c r="D849" s="13"/>
      <c r="E849" s="22"/>
      <c r="F849" s="23"/>
      <c r="G849">
        <f>IF($A849="","","#"&amp;TRIM(SUBSTITUTE(SUBSTITUTE(SUBSTITUTE(SUBSTITUTE(SUBSTITUTE(SUBSTITUTE($A849,"-",""),"(",""),")",""),".",""),"+","")," ","")))</f>
      </c>
    </row>
    <row r="850" spans="1:7" x14ac:dyDescent="0.3">
      <c r="A850" s="11"/>
      <c r="B850" s="38">
        <f>IF($A850="","",IFERROR(IF(INDEX(Pledges!$D$5:$D$2500,MATCH($G850,Pledges!$K$5:$K$2500,0))="","⚠ no amount on Pledges",IF(INDEX(Pledges!$B$5:$B$2500,MATCH($G850,Pledges!$K$5:$K$2500,0))="","",INDEX(Pledges!$B$5:$B$2500,MATCH($G850,Pledges!$K$5:$K$2500,0)))),"⚠ phone not in Pledges"))</f>
      </c>
      <c r="C850" s="12"/>
      <c r="D850" s="13"/>
      <c r="E850" s="22"/>
      <c r="F850" s="23"/>
      <c r="G850">
        <f>IF($A850="","","#"&amp;TRIM(SUBSTITUTE(SUBSTITUTE(SUBSTITUTE(SUBSTITUTE(SUBSTITUTE(SUBSTITUTE($A850,"-",""),"(",""),")",""),".",""),"+","")," ","")))</f>
      </c>
    </row>
    <row r="851" spans="1:7" x14ac:dyDescent="0.3">
      <c r="A851" s="11"/>
      <c r="B851" s="38">
        <f>IF($A851="","",IFERROR(IF(INDEX(Pledges!$D$5:$D$2500,MATCH($G851,Pledges!$K$5:$K$2500,0))="","⚠ no amount on Pledges",IF(INDEX(Pledges!$B$5:$B$2500,MATCH($G851,Pledges!$K$5:$K$2500,0))="","",INDEX(Pledges!$B$5:$B$2500,MATCH($G851,Pledges!$K$5:$K$2500,0)))),"⚠ phone not in Pledges"))</f>
      </c>
      <c r="C851" s="12"/>
      <c r="D851" s="13"/>
      <c r="E851" s="22"/>
      <c r="F851" s="23"/>
      <c r="G851">
        <f>IF($A851="","","#"&amp;TRIM(SUBSTITUTE(SUBSTITUTE(SUBSTITUTE(SUBSTITUTE(SUBSTITUTE(SUBSTITUTE($A851,"-",""),"(",""),")",""),".",""),"+","")," ","")))</f>
      </c>
    </row>
    <row r="852" spans="1:7" x14ac:dyDescent="0.3">
      <c r="A852" s="11"/>
      <c r="B852" s="38">
        <f>IF($A852="","",IFERROR(IF(INDEX(Pledges!$D$5:$D$2500,MATCH($G852,Pledges!$K$5:$K$2500,0))="","⚠ no amount on Pledges",IF(INDEX(Pledges!$B$5:$B$2500,MATCH($G852,Pledges!$K$5:$K$2500,0))="","",INDEX(Pledges!$B$5:$B$2500,MATCH($G852,Pledges!$K$5:$K$2500,0)))),"⚠ phone not in Pledges"))</f>
      </c>
      <c r="C852" s="12"/>
      <c r="D852" s="13"/>
      <c r="E852" s="22"/>
      <c r="F852" s="23"/>
      <c r="G852">
        <f>IF($A852="","","#"&amp;TRIM(SUBSTITUTE(SUBSTITUTE(SUBSTITUTE(SUBSTITUTE(SUBSTITUTE(SUBSTITUTE($A852,"-",""),"(",""),")",""),".",""),"+","")," ","")))</f>
      </c>
    </row>
    <row r="853" spans="1:7" x14ac:dyDescent="0.3">
      <c r="A853" s="11"/>
      <c r="B853" s="38">
        <f>IF($A853="","",IFERROR(IF(INDEX(Pledges!$D$5:$D$2500,MATCH($G853,Pledges!$K$5:$K$2500,0))="","⚠ no amount on Pledges",IF(INDEX(Pledges!$B$5:$B$2500,MATCH($G853,Pledges!$K$5:$K$2500,0))="","",INDEX(Pledges!$B$5:$B$2500,MATCH($G853,Pledges!$K$5:$K$2500,0)))),"⚠ phone not in Pledges"))</f>
      </c>
      <c r="C853" s="12"/>
      <c r="D853" s="13"/>
      <c r="E853" s="22"/>
      <c r="F853" s="23"/>
      <c r="G853">
        <f>IF($A853="","","#"&amp;TRIM(SUBSTITUTE(SUBSTITUTE(SUBSTITUTE(SUBSTITUTE(SUBSTITUTE(SUBSTITUTE($A853,"-",""),"(",""),")",""),".",""),"+","")," ","")))</f>
      </c>
    </row>
    <row r="854" spans="1:7" x14ac:dyDescent="0.3">
      <c r="A854" s="11"/>
      <c r="B854" s="38">
        <f>IF($A854="","",IFERROR(IF(INDEX(Pledges!$D$5:$D$2500,MATCH($G854,Pledges!$K$5:$K$2500,0))="","⚠ no amount on Pledges",IF(INDEX(Pledges!$B$5:$B$2500,MATCH($G854,Pledges!$K$5:$K$2500,0))="","",INDEX(Pledges!$B$5:$B$2500,MATCH($G854,Pledges!$K$5:$K$2500,0)))),"⚠ phone not in Pledges"))</f>
      </c>
      <c r="C854" s="12"/>
      <c r="D854" s="13"/>
      <c r="E854" s="22"/>
      <c r="F854" s="23"/>
      <c r="G854">
        <f>IF($A854="","","#"&amp;TRIM(SUBSTITUTE(SUBSTITUTE(SUBSTITUTE(SUBSTITUTE(SUBSTITUTE(SUBSTITUTE($A854,"-",""),"(",""),")",""),".",""),"+","")," ","")))</f>
      </c>
    </row>
    <row r="855" spans="1:7" x14ac:dyDescent="0.3">
      <c r="A855" s="11"/>
      <c r="B855" s="38">
        <f>IF($A855="","",IFERROR(IF(INDEX(Pledges!$D$5:$D$2500,MATCH($G855,Pledges!$K$5:$K$2500,0))="","⚠ no amount on Pledges",IF(INDEX(Pledges!$B$5:$B$2500,MATCH($G855,Pledges!$K$5:$K$2500,0))="","",INDEX(Pledges!$B$5:$B$2500,MATCH($G855,Pledges!$K$5:$K$2500,0)))),"⚠ phone not in Pledges"))</f>
      </c>
      <c r="C855" s="12"/>
      <c r="D855" s="13"/>
      <c r="E855" s="22"/>
      <c r="F855" s="23"/>
      <c r="G855">
        <f>IF($A855="","","#"&amp;TRIM(SUBSTITUTE(SUBSTITUTE(SUBSTITUTE(SUBSTITUTE(SUBSTITUTE(SUBSTITUTE($A855,"-",""),"(",""),")",""),".",""),"+","")," ","")))</f>
      </c>
    </row>
    <row r="856" spans="1:7" x14ac:dyDescent="0.3">
      <c r="A856" s="11"/>
      <c r="B856" s="38">
        <f>IF($A856="","",IFERROR(IF(INDEX(Pledges!$D$5:$D$2500,MATCH($G856,Pledges!$K$5:$K$2500,0))="","⚠ no amount on Pledges",IF(INDEX(Pledges!$B$5:$B$2500,MATCH($G856,Pledges!$K$5:$K$2500,0))="","",INDEX(Pledges!$B$5:$B$2500,MATCH($G856,Pledges!$K$5:$K$2500,0)))),"⚠ phone not in Pledges"))</f>
      </c>
      <c r="C856" s="12"/>
      <c r="D856" s="13"/>
      <c r="E856" s="22"/>
      <c r="F856" s="23"/>
      <c r="G856">
        <f>IF($A856="","","#"&amp;TRIM(SUBSTITUTE(SUBSTITUTE(SUBSTITUTE(SUBSTITUTE(SUBSTITUTE(SUBSTITUTE($A856,"-",""),"(",""),")",""),".",""),"+","")," ","")))</f>
      </c>
    </row>
    <row r="857" spans="1:7" x14ac:dyDescent="0.3">
      <c r="A857" s="11"/>
      <c r="B857" s="38">
        <f>IF($A857="","",IFERROR(IF(INDEX(Pledges!$D$5:$D$2500,MATCH($G857,Pledges!$K$5:$K$2500,0))="","⚠ no amount on Pledges",IF(INDEX(Pledges!$B$5:$B$2500,MATCH($G857,Pledges!$K$5:$K$2500,0))="","",INDEX(Pledges!$B$5:$B$2500,MATCH($G857,Pledges!$K$5:$K$2500,0)))),"⚠ phone not in Pledges"))</f>
      </c>
      <c r="C857" s="12"/>
      <c r="D857" s="13"/>
      <c r="E857" s="22"/>
      <c r="F857" s="23"/>
      <c r="G857">
        <f>IF($A857="","","#"&amp;TRIM(SUBSTITUTE(SUBSTITUTE(SUBSTITUTE(SUBSTITUTE(SUBSTITUTE(SUBSTITUTE($A857,"-",""),"(",""),")",""),".",""),"+","")," ","")))</f>
      </c>
    </row>
    <row r="858" spans="1:7" x14ac:dyDescent="0.3">
      <c r="A858" s="11"/>
      <c r="B858" s="38">
        <f>IF($A858="","",IFERROR(IF(INDEX(Pledges!$D$5:$D$2500,MATCH($G858,Pledges!$K$5:$K$2500,0))="","⚠ no amount on Pledges",IF(INDEX(Pledges!$B$5:$B$2500,MATCH($G858,Pledges!$K$5:$K$2500,0))="","",INDEX(Pledges!$B$5:$B$2500,MATCH($G858,Pledges!$K$5:$K$2500,0)))),"⚠ phone not in Pledges"))</f>
      </c>
      <c r="C858" s="12"/>
      <c r="D858" s="13"/>
      <c r="E858" s="22"/>
      <c r="F858" s="23"/>
      <c r="G858">
        <f>IF($A858="","","#"&amp;TRIM(SUBSTITUTE(SUBSTITUTE(SUBSTITUTE(SUBSTITUTE(SUBSTITUTE(SUBSTITUTE($A858,"-",""),"(",""),")",""),".",""),"+","")," ","")))</f>
      </c>
    </row>
    <row r="859" spans="1:7" x14ac:dyDescent="0.3">
      <c r="A859" s="11"/>
      <c r="B859" s="38">
        <f>IF($A859="","",IFERROR(IF(INDEX(Pledges!$D$5:$D$2500,MATCH($G859,Pledges!$K$5:$K$2500,0))="","⚠ no amount on Pledges",IF(INDEX(Pledges!$B$5:$B$2500,MATCH($G859,Pledges!$K$5:$K$2500,0))="","",INDEX(Pledges!$B$5:$B$2500,MATCH($G859,Pledges!$K$5:$K$2500,0)))),"⚠ phone not in Pledges"))</f>
      </c>
      <c r="C859" s="12"/>
      <c r="D859" s="13"/>
      <c r="E859" s="22"/>
      <c r="F859" s="23"/>
      <c r="G859">
        <f>IF($A859="","","#"&amp;TRIM(SUBSTITUTE(SUBSTITUTE(SUBSTITUTE(SUBSTITUTE(SUBSTITUTE(SUBSTITUTE($A859,"-",""),"(",""),")",""),".",""),"+","")," ","")))</f>
      </c>
    </row>
    <row r="860" spans="1:7" x14ac:dyDescent="0.3">
      <c r="A860" s="11"/>
      <c r="B860" s="38">
        <f>IF($A860="","",IFERROR(IF(INDEX(Pledges!$D$5:$D$2500,MATCH($G860,Pledges!$K$5:$K$2500,0))="","⚠ no amount on Pledges",IF(INDEX(Pledges!$B$5:$B$2500,MATCH($G860,Pledges!$K$5:$K$2500,0))="","",INDEX(Pledges!$B$5:$B$2500,MATCH($G860,Pledges!$K$5:$K$2500,0)))),"⚠ phone not in Pledges"))</f>
      </c>
      <c r="C860" s="12"/>
      <c r="D860" s="13"/>
      <c r="E860" s="22"/>
      <c r="F860" s="23"/>
      <c r="G860">
        <f>IF($A860="","","#"&amp;TRIM(SUBSTITUTE(SUBSTITUTE(SUBSTITUTE(SUBSTITUTE(SUBSTITUTE(SUBSTITUTE($A860,"-",""),"(",""),")",""),".",""),"+","")," ","")))</f>
      </c>
    </row>
    <row r="861" spans="1:7" x14ac:dyDescent="0.3">
      <c r="A861" s="11"/>
      <c r="B861" s="38">
        <f>IF($A861="","",IFERROR(IF(INDEX(Pledges!$D$5:$D$2500,MATCH($G861,Pledges!$K$5:$K$2500,0))="","⚠ no amount on Pledges",IF(INDEX(Pledges!$B$5:$B$2500,MATCH($G861,Pledges!$K$5:$K$2500,0))="","",INDEX(Pledges!$B$5:$B$2500,MATCH($G861,Pledges!$K$5:$K$2500,0)))),"⚠ phone not in Pledges"))</f>
      </c>
      <c r="C861" s="12"/>
      <c r="D861" s="13"/>
      <c r="E861" s="22"/>
      <c r="F861" s="23"/>
      <c r="G861">
        <f>IF($A861="","","#"&amp;TRIM(SUBSTITUTE(SUBSTITUTE(SUBSTITUTE(SUBSTITUTE(SUBSTITUTE(SUBSTITUTE($A861,"-",""),"(",""),")",""),".",""),"+","")," ","")))</f>
      </c>
    </row>
    <row r="862" spans="1:7" x14ac:dyDescent="0.3">
      <c r="A862" s="11"/>
      <c r="B862" s="38">
        <f>IF($A862="","",IFERROR(IF(INDEX(Pledges!$D$5:$D$2500,MATCH($G862,Pledges!$K$5:$K$2500,0))="","⚠ no amount on Pledges",IF(INDEX(Pledges!$B$5:$B$2500,MATCH($G862,Pledges!$K$5:$K$2500,0))="","",INDEX(Pledges!$B$5:$B$2500,MATCH($G862,Pledges!$K$5:$K$2500,0)))),"⚠ phone not in Pledges"))</f>
      </c>
      <c r="C862" s="12"/>
      <c r="D862" s="13"/>
      <c r="E862" s="22"/>
      <c r="F862" s="23"/>
      <c r="G862">
        <f>IF($A862="","","#"&amp;TRIM(SUBSTITUTE(SUBSTITUTE(SUBSTITUTE(SUBSTITUTE(SUBSTITUTE(SUBSTITUTE($A862,"-",""),"(",""),")",""),".",""),"+","")," ","")))</f>
      </c>
    </row>
    <row r="863" spans="1:7" x14ac:dyDescent="0.3">
      <c r="A863" s="11"/>
      <c r="B863" s="38">
        <f>IF($A863="","",IFERROR(IF(INDEX(Pledges!$D$5:$D$2500,MATCH($G863,Pledges!$K$5:$K$2500,0))="","⚠ no amount on Pledges",IF(INDEX(Pledges!$B$5:$B$2500,MATCH($G863,Pledges!$K$5:$K$2500,0))="","",INDEX(Pledges!$B$5:$B$2500,MATCH($G863,Pledges!$K$5:$K$2500,0)))),"⚠ phone not in Pledges"))</f>
      </c>
      <c r="C863" s="12"/>
      <c r="D863" s="13"/>
      <c r="E863" s="22"/>
      <c r="F863" s="23"/>
      <c r="G863">
        <f>IF($A863="","","#"&amp;TRIM(SUBSTITUTE(SUBSTITUTE(SUBSTITUTE(SUBSTITUTE(SUBSTITUTE(SUBSTITUTE($A863,"-",""),"(",""),")",""),".",""),"+","")," ","")))</f>
      </c>
    </row>
    <row r="864" spans="1:7" x14ac:dyDescent="0.3">
      <c r="A864" s="11"/>
      <c r="B864" s="38">
        <f>IF($A864="","",IFERROR(IF(INDEX(Pledges!$D$5:$D$2500,MATCH($G864,Pledges!$K$5:$K$2500,0))="","⚠ no amount on Pledges",IF(INDEX(Pledges!$B$5:$B$2500,MATCH($G864,Pledges!$K$5:$K$2500,0))="","",INDEX(Pledges!$B$5:$B$2500,MATCH($G864,Pledges!$K$5:$K$2500,0)))),"⚠ phone not in Pledges"))</f>
      </c>
      <c r="C864" s="12"/>
      <c r="D864" s="13"/>
      <c r="E864" s="22"/>
      <c r="F864" s="23"/>
      <c r="G864">
        <f>IF($A864="","","#"&amp;TRIM(SUBSTITUTE(SUBSTITUTE(SUBSTITUTE(SUBSTITUTE(SUBSTITUTE(SUBSTITUTE($A864,"-",""),"(",""),")",""),".",""),"+","")," ","")))</f>
      </c>
    </row>
    <row r="865" spans="1:7" x14ac:dyDescent="0.3">
      <c r="A865" s="11"/>
      <c r="B865" s="38">
        <f>IF($A865="","",IFERROR(IF(INDEX(Pledges!$D$5:$D$2500,MATCH($G865,Pledges!$K$5:$K$2500,0))="","⚠ no amount on Pledges",IF(INDEX(Pledges!$B$5:$B$2500,MATCH($G865,Pledges!$K$5:$K$2500,0))="","",INDEX(Pledges!$B$5:$B$2500,MATCH($G865,Pledges!$K$5:$K$2500,0)))),"⚠ phone not in Pledges"))</f>
      </c>
      <c r="C865" s="12"/>
      <c r="D865" s="13"/>
      <c r="E865" s="22"/>
      <c r="F865" s="23"/>
      <c r="G865">
        <f>IF($A865="","","#"&amp;TRIM(SUBSTITUTE(SUBSTITUTE(SUBSTITUTE(SUBSTITUTE(SUBSTITUTE(SUBSTITUTE($A865,"-",""),"(",""),")",""),".",""),"+","")," ","")))</f>
      </c>
    </row>
    <row r="866" spans="1:7" x14ac:dyDescent="0.3">
      <c r="A866" s="11"/>
      <c r="B866" s="38">
        <f>IF($A866="","",IFERROR(IF(INDEX(Pledges!$D$5:$D$2500,MATCH($G866,Pledges!$K$5:$K$2500,0))="","⚠ no amount on Pledges",IF(INDEX(Pledges!$B$5:$B$2500,MATCH($G866,Pledges!$K$5:$K$2500,0))="","",INDEX(Pledges!$B$5:$B$2500,MATCH($G866,Pledges!$K$5:$K$2500,0)))),"⚠ phone not in Pledges"))</f>
      </c>
      <c r="C866" s="12"/>
      <c r="D866" s="13"/>
      <c r="E866" s="22"/>
      <c r="F866" s="23"/>
      <c r="G866">
        <f>IF($A866="","","#"&amp;TRIM(SUBSTITUTE(SUBSTITUTE(SUBSTITUTE(SUBSTITUTE(SUBSTITUTE(SUBSTITUTE($A866,"-",""),"(",""),")",""),".",""),"+","")," ","")))</f>
      </c>
    </row>
    <row r="867" spans="1:7" x14ac:dyDescent="0.3">
      <c r="A867" s="11"/>
      <c r="B867" s="38">
        <f>IF($A867="","",IFERROR(IF(INDEX(Pledges!$D$5:$D$2500,MATCH($G867,Pledges!$K$5:$K$2500,0))="","⚠ no amount on Pledges",IF(INDEX(Pledges!$B$5:$B$2500,MATCH($G867,Pledges!$K$5:$K$2500,0))="","",INDEX(Pledges!$B$5:$B$2500,MATCH($G867,Pledges!$K$5:$K$2500,0)))),"⚠ phone not in Pledges"))</f>
      </c>
      <c r="C867" s="12"/>
      <c r="D867" s="13"/>
      <c r="E867" s="22"/>
      <c r="F867" s="23"/>
      <c r="G867">
        <f>IF($A867="","","#"&amp;TRIM(SUBSTITUTE(SUBSTITUTE(SUBSTITUTE(SUBSTITUTE(SUBSTITUTE(SUBSTITUTE($A867,"-",""),"(",""),")",""),".",""),"+","")," ","")))</f>
      </c>
    </row>
    <row r="868" spans="1:7" x14ac:dyDescent="0.3">
      <c r="A868" s="11"/>
      <c r="B868" s="38">
        <f>IF($A868="","",IFERROR(IF(INDEX(Pledges!$D$5:$D$2500,MATCH($G868,Pledges!$K$5:$K$2500,0))="","⚠ no amount on Pledges",IF(INDEX(Pledges!$B$5:$B$2500,MATCH($G868,Pledges!$K$5:$K$2500,0))="","",INDEX(Pledges!$B$5:$B$2500,MATCH($G868,Pledges!$K$5:$K$2500,0)))),"⚠ phone not in Pledges"))</f>
      </c>
      <c r="C868" s="12"/>
      <c r="D868" s="13"/>
      <c r="E868" s="22"/>
      <c r="F868" s="23"/>
      <c r="G868">
        <f>IF($A868="","","#"&amp;TRIM(SUBSTITUTE(SUBSTITUTE(SUBSTITUTE(SUBSTITUTE(SUBSTITUTE(SUBSTITUTE($A868,"-",""),"(",""),")",""),".",""),"+","")," ","")))</f>
      </c>
    </row>
    <row r="869" spans="1:7" x14ac:dyDescent="0.3">
      <c r="A869" s="11"/>
      <c r="B869" s="38">
        <f>IF($A869="","",IFERROR(IF(INDEX(Pledges!$D$5:$D$2500,MATCH($G869,Pledges!$K$5:$K$2500,0))="","⚠ no amount on Pledges",IF(INDEX(Pledges!$B$5:$B$2500,MATCH($G869,Pledges!$K$5:$K$2500,0))="","",INDEX(Pledges!$B$5:$B$2500,MATCH($G869,Pledges!$K$5:$K$2500,0)))),"⚠ phone not in Pledges"))</f>
      </c>
      <c r="C869" s="12"/>
      <c r="D869" s="13"/>
      <c r="E869" s="22"/>
      <c r="F869" s="23"/>
      <c r="G869">
        <f>IF($A869="","","#"&amp;TRIM(SUBSTITUTE(SUBSTITUTE(SUBSTITUTE(SUBSTITUTE(SUBSTITUTE(SUBSTITUTE($A869,"-",""),"(",""),")",""),".",""),"+","")," ","")))</f>
      </c>
    </row>
    <row r="870" spans="1:7" x14ac:dyDescent="0.3">
      <c r="A870" s="11"/>
      <c r="B870" s="38">
        <f>IF($A870="","",IFERROR(IF(INDEX(Pledges!$D$5:$D$2500,MATCH($G870,Pledges!$K$5:$K$2500,0))="","⚠ no amount on Pledges",IF(INDEX(Pledges!$B$5:$B$2500,MATCH($G870,Pledges!$K$5:$K$2500,0))="","",INDEX(Pledges!$B$5:$B$2500,MATCH($G870,Pledges!$K$5:$K$2500,0)))),"⚠ phone not in Pledges"))</f>
      </c>
      <c r="C870" s="12"/>
      <c r="D870" s="13"/>
      <c r="E870" s="22"/>
      <c r="F870" s="23"/>
      <c r="G870">
        <f>IF($A870="","","#"&amp;TRIM(SUBSTITUTE(SUBSTITUTE(SUBSTITUTE(SUBSTITUTE(SUBSTITUTE(SUBSTITUTE($A870,"-",""),"(",""),")",""),".",""),"+","")," ","")))</f>
      </c>
    </row>
    <row r="871" spans="1:7" x14ac:dyDescent="0.3">
      <c r="A871" s="11"/>
      <c r="B871" s="38">
        <f>IF($A871="","",IFERROR(IF(INDEX(Pledges!$D$5:$D$2500,MATCH($G871,Pledges!$K$5:$K$2500,0))="","⚠ no amount on Pledges",IF(INDEX(Pledges!$B$5:$B$2500,MATCH($G871,Pledges!$K$5:$K$2500,0))="","",INDEX(Pledges!$B$5:$B$2500,MATCH($G871,Pledges!$K$5:$K$2500,0)))),"⚠ phone not in Pledges"))</f>
      </c>
      <c r="C871" s="12"/>
      <c r="D871" s="13"/>
      <c r="E871" s="22"/>
      <c r="F871" s="23"/>
      <c r="G871">
        <f>IF($A871="","","#"&amp;TRIM(SUBSTITUTE(SUBSTITUTE(SUBSTITUTE(SUBSTITUTE(SUBSTITUTE(SUBSTITUTE($A871,"-",""),"(",""),")",""),".",""),"+","")," ","")))</f>
      </c>
    </row>
    <row r="872" spans="1:7" x14ac:dyDescent="0.3">
      <c r="A872" s="11"/>
      <c r="B872" s="38">
        <f>IF($A872="","",IFERROR(IF(INDEX(Pledges!$D$5:$D$2500,MATCH($G872,Pledges!$K$5:$K$2500,0))="","⚠ no amount on Pledges",IF(INDEX(Pledges!$B$5:$B$2500,MATCH($G872,Pledges!$K$5:$K$2500,0))="","",INDEX(Pledges!$B$5:$B$2500,MATCH($G872,Pledges!$K$5:$K$2500,0)))),"⚠ phone not in Pledges"))</f>
      </c>
      <c r="C872" s="12"/>
      <c r="D872" s="13"/>
      <c r="E872" s="22"/>
      <c r="F872" s="23"/>
      <c r="G872">
        <f>IF($A872="","","#"&amp;TRIM(SUBSTITUTE(SUBSTITUTE(SUBSTITUTE(SUBSTITUTE(SUBSTITUTE(SUBSTITUTE($A872,"-",""),"(",""),")",""),".",""),"+","")," ","")))</f>
      </c>
    </row>
    <row r="873" spans="1:7" x14ac:dyDescent="0.3">
      <c r="A873" s="11"/>
      <c r="B873" s="38">
        <f>IF($A873="","",IFERROR(IF(INDEX(Pledges!$D$5:$D$2500,MATCH($G873,Pledges!$K$5:$K$2500,0))="","⚠ no amount on Pledges",IF(INDEX(Pledges!$B$5:$B$2500,MATCH($G873,Pledges!$K$5:$K$2500,0))="","",INDEX(Pledges!$B$5:$B$2500,MATCH($G873,Pledges!$K$5:$K$2500,0)))),"⚠ phone not in Pledges"))</f>
      </c>
      <c r="C873" s="12"/>
      <c r="D873" s="13"/>
      <c r="E873" s="22"/>
      <c r="F873" s="23"/>
      <c r="G873">
        <f>IF($A873="","","#"&amp;TRIM(SUBSTITUTE(SUBSTITUTE(SUBSTITUTE(SUBSTITUTE(SUBSTITUTE(SUBSTITUTE($A873,"-",""),"(",""),")",""),".",""),"+","")," ","")))</f>
      </c>
    </row>
    <row r="874" spans="1:7" x14ac:dyDescent="0.3">
      <c r="A874" s="11"/>
      <c r="B874" s="38">
        <f>IF($A874="","",IFERROR(IF(INDEX(Pledges!$D$5:$D$2500,MATCH($G874,Pledges!$K$5:$K$2500,0))="","⚠ no amount on Pledges",IF(INDEX(Pledges!$B$5:$B$2500,MATCH($G874,Pledges!$K$5:$K$2500,0))="","",INDEX(Pledges!$B$5:$B$2500,MATCH($G874,Pledges!$K$5:$K$2500,0)))),"⚠ phone not in Pledges"))</f>
      </c>
      <c r="C874" s="12"/>
      <c r="D874" s="13"/>
      <c r="E874" s="22"/>
      <c r="F874" s="23"/>
      <c r="G874">
        <f>IF($A874="","","#"&amp;TRIM(SUBSTITUTE(SUBSTITUTE(SUBSTITUTE(SUBSTITUTE(SUBSTITUTE(SUBSTITUTE($A874,"-",""),"(",""),")",""),".",""),"+","")," ","")))</f>
      </c>
    </row>
    <row r="875" spans="1:7" x14ac:dyDescent="0.3">
      <c r="A875" s="11"/>
      <c r="B875" s="38">
        <f>IF($A875="","",IFERROR(IF(INDEX(Pledges!$D$5:$D$2500,MATCH($G875,Pledges!$K$5:$K$2500,0))="","⚠ no amount on Pledges",IF(INDEX(Pledges!$B$5:$B$2500,MATCH($G875,Pledges!$K$5:$K$2500,0))="","",INDEX(Pledges!$B$5:$B$2500,MATCH($G875,Pledges!$K$5:$K$2500,0)))),"⚠ phone not in Pledges"))</f>
      </c>
      <c r="C875" s="12"/>
      <c r="D875" s="13"/>
      <c r="E875" s="22"/>
      <c r="F875" s="23"/>
      <c r="G875">
        <f>IF($A875="","","#"&amp;TRIM(SUBSTITUTE(SUBSTITUTE(SUBSTITUTE(SUBSTITUTE(SUBSTITUTE(SUBSTITUTE($A875,"-",""),"(",""),")",""),".",""),"+","")," ","")))</f>
      </c>
    </row>
    <row r="876" spans="1:7" x14ac:dyDescent="0.3">
      <c r="A876" s="11"/>
      <c r="B876" s="38">
        <f>IF($A876="","",IFERROR(IF(INDEX(Pledges!$D$5:$D$2500,MATCH($G876,Pledges!$K$5:$K$2500,0))="","⚠ no amount on Pledges",IF(INDEX(Pledges!$B$5:$B$2500,MATCH($G876,Pledges!$K$5:$K$2500,0))="","",INDEX(Pledges!$B$5:$B$2500,MATCH($G876,Pledges!$K$5:$K$2500,0)))),"⚠ phone not in Pledges"))</f>
      </c>
      <c r="C876" s="12"/>
      <c r="D876" s="13"/>
      <c r="E876" s="22"/>
      <c r="F876" s="23"/>
      <c r="G876">
        <f>IF($A876="","","#"&amp;TRIM(SUBSTITUTE(SUBSTITUTE(SUBSTITUTE(SUBSTITUTE(SUBSTITUTE(SUBSTITUTE($A876,"-",""),"(",""),")",""),".",""),"+","")," ","")))</f>
      </c>
    </row>
    <row r="877" spans="1:7" x14ac:dyDescent="0.3">
      <c r="A877" s="11"/>
      <c r="B877" s="38">
        <f>IF($A877="","",IFERROR(IF(INDEX(Pledges!$D$5:$D$2500,MATCH($G877,Pledges!$K$5:$K$2500,0))="","⚠ no amount on Pledges",IF(INDEX(Pledges!$B$5:$B$2500,MATCH($G877,Pledges!$K$5:$K$2500,0))="","",INDEX(Pledges!$B$5:$B$2500,MATCH($G877,Pledges!$K$5:$K$2500,0)))),"⚠ phone not in Pledges"))</f>
      </c>
      <c r="C877" s="12"/>
      <c r="D877" s="13"/>
      <c r="E877" s="22"/>
      <c r="F877" s="23"/>
      <c r="G877">
        <f>IF($A877="","","#"&amp;TRIM(SUBSTITUTE(SUBSTITUTE(SUBSTITUTE(SUBSTITUTE(SUBSTITUTE(SUBSTITUTE($A877,"-",""),"(",""),")",""),".",""),"+","")," ","")))</f>
      </c>
    </row>
    <row r="878" spans="1:7" x14ac:dyDescent="0.3">
      <c r="A878" s="11"/>
      <c r="B878" s="38">
        <f>IF($A878="","",IFERROR(IF(INDEX(Pledges!$D$5:$D$2500,MATCH($G878,Pledges!$K$5:$K$2500,0))="","⚠ no amount on Pledges",IF(INDEX(Pledges!$B$5:$B$2500,MATCH($G878,Pledges!$K$5:$K$2500,0))="","",INDEX(Pledges!$B$5:$B$2500,MATCH($G878,Pledges!$K$5:$K$2500,0)))),"⚠ phone not in Pledges"))</f>
      </c>
      <c r="C878" s="12"/>
      <c r="D878" s="13"/>
      <c r="E878" s="22"/>
      <c r="F878" s="23"/>
      <c r="G878">
        <f>IF($A878="","","#"&amp;TRIM(SUBSTITUTE(SUBSTITUTE(SUBSTITUTE(SUBSTITUTE(SUBSTITUTE(SUBSTITUTE($A878,"-",""),"(",""),")",""),".",""),"+","")," ","")))</f>
      </c>
    </row>
    <row r="879" spans="1:7" x14ac:dyDescent="0.3">
      <c r="A879" s="11"/>
      <c r="B879" s="38">
        <f>IF($A879="","",IFERROR(IF(INDEX(Pledges!$D$5:$D$2500,MATCH($G879,Pledges!$K$5:$K$2500,0))="","⚠ no amount on Pledges",IF(INDEX(Pledges!$B$5:$B$2500,MATCH($G879,Pledges!$K$5:$K$2500,0))="","",INDEX(Pledges!$B$5:$B$2500,MATCH($G879,Pledges!$K$5:$K$2500,0)))),"⚠ phone not in Pledges"))</f>
      </c>
      <c r="C879" s="12"/>
      <c r="D879" s="13"/>
      <c r="E879" s="22"/>
      <c r="F879" s="23"/>
      <c r="G879">
        <f>IF($A879="","","#"&amp;TRIM(SUBSTITUTE(SUBSTITUTE(SUBSTITUTE(SUBSTITUTE(SUBSTITUTE(SUBSTITUTE($A879,"-",""),"(",""),")",""),".",""),"+","")," ","")))</f>
      </c>
    </row>
    <row r="880" spans="1:7" x14ac:dyDescent="0.3">
      <c r="A880" s="11"/>
      <c r="B880" s="38">
        <f>IF($A880="","",IFERROR(IF(INDEX(Pledges!$D$5:$D$2500,MATCH($G880,Pledges!$K$5:$K$2500,0))="","⚠ no amount on Pledges",IF(INDEX(Pledges!$B$5:$B$2500,MATCH($G880,Pledges!$K$5:$K$2500,0))="","",INDEX(Pledges!$B$5:$B$2500,MATCH($G880,Pledges!$K$5:$K$2500,0)))),"⚠ phone not in Pledges"))</f>
      </c>
      <c r="C880" s="12"/>
      <c r="D880" s="13"/>
      <c r="E880" s="22"/>
      <c r="F880" s="23"/>
      <c r="G880">
        <f>IF($A880="","","#"&amp;TRIM(SUBSTITUTE(SUBSTITUTE(SUBSTITUTE(SUBSTITUTE(SUBSTITUTE(SUBSTITUTE($A880,"-",""),"(",""),")",""),".",""),"+","")," ","")))</f>
      </c>
    </row>
    <row r="881" spans="1:7" x14ac:dyDescent="0.3">
      <c r="A881" s="11"/>
      <c r="B881" s="38">
        <f>IF($A881="","",IFERROR(IF(INDEX(Pledges!$D$5:$D$2500,MATCH($G881,Pledges!$K$5:$K$2500,0))="","⚠ no amount on Pledges",IF(INDEX(Pledges!$B$5:$B$2500,MATCH($G881,Pledges!$K$5:$K$2500,0))="","",INDEX(Pledges!$B$5:$B$2500,MATCH($G881,Pledges!$K$5:$K$2500,0)))),"⚠ phone not in Pledges"))</f>
      </c>
      <c r="C881" s="12"/>
      <c r="D881" s="13"/>
      <c r="E881" s="22"/>
      <c r="F881" s="23"/>
      <c r="G881">
        <f>IF($A881="","","#"&amp;TRIM(SUBSTITUTE(SUBSTITUTE(SUBSTITUTE(SUBSTITUTE(SUBSTITUTE(SUBSTITUTE($A881,"-",""),"(",""),")",""),".",""),"+","")," ","")))</f>
      </c>
    </row>
    <row r="882" spans="1:7" x14ac:dyDescent="0.3">
      <c r="A882" s="11"/>
      <c r="B882" s="38">
        <f>IF($A882="","",IFERROR(IF(INDEX(Pledges!$D$5:$D$2500,MATCH($G882,Pledges!$K$5:$K$2500,0))="","⚠ no amount on Pledges",IF(INDEX(Pledges!$B$5:$B$2500,MATCH($G882,Pledges!$K$5:$K$2500,0))="","",INDEX(Pledges!$B$5:$B$2500,MATCH($G882,Pledges!$K$5:$K$2500,0)))),"⚠ phone not in Pledges"))</f>
      </c>
      <c r="C882" s="12"/>
      <c r="D882" s="13"/>
      <c r="E882" s="22"/>
      <c r="F882" s="23"/>
      <c r="G882">
        <f>IF($A882="","","#"&amp;TRIM(SUBSTITUTE(SUBSTITUTE(SUBSTITUTE(SUBSTITUTE(SUBSTITUTE(SUBSTITUTE($A882,"-",""),"(",""),")",""),".",""),"+","")," ","")))</f>
      </c>
    </row>
    <row r="883" spans="1:7" x14ac:dyDescent="0.3">
      <c r="A883" s="11"/>
      <c r="B883" s="38">
        <f>IF($A883="","",IFERROR(IF(INDEX(Pledges!$D$5:$D$2500,MATCH($G883,Pledges!$K$5:$K$2500,0))="","⚠ no amount on Pledges",IF(INDEX(Pledges!$B$5:$B$2500,MATCH($G883,Pledges!$K$5:$K$2500,0))="","",INDEX(Pledges!$B$5:$B$2500,MATCH($G883,Pledges!$K$5:$K$2500,0)))),"⚠ phone not in Pledges"))</f>
      </c>
      <c r="C883" s="12"/>
      <c r="D883" s="13"/>
      <c r="E883" s="22"/>
      <c r="F883" s="23"/>
      <c r="G883">
        <f>IF($A883="","","#"&amp;TRIM(SUBSTITUTE(SUBSTITUTE(SUBSTITUTE(SUBSTITUTE(SUBSTITUTE(SUBSTITUTE($A883,"-",""),"(",""),")",""),".",""),"+","")," ","")))</f>
      </c>
    </row>
    <row r="884" spans="1:7" x14ac:dyDescent="0.3">
      <c r="A884" s="11"/>
      <c r="B884" s="38">
        <f>IF($A884="","",IFERROR(IF(INDEX(Pledges!$D$5:$D$2500,MATCH($G884,Pledges!$K$5:$K$2500,0))="","⚠ no amount on Pledges",IF(INDEX(Pledges!$B$5:$B$2500,MATCH($G884,Pledges!$K$5:$K$2500,0))="","",INDEX(Pledges!$B$5:$B$2500,MATCH($G884,Pledges!$K$5:$K$2500,0)))),"⚠ phone not in Pledges"))</f>
      </c>
      <c r="C884" s="12"/>
      <c r="D884" s="13"/>
      <c r="E884" s="22"/>
      <c r="F884" s="23"/>
      <c r="G884">
        <f>IF($A884="","","#"&amp;TRIM(SUBSTITUTE(SUBSTITUTE(SUBSTITUTE(SUBSTITUTE(SUBSTITUTE(SUBSTITUTE($A884,"-",""),"(",""),")",""),".",""),"+","")," ","")))</f>
      </c>
    </row>
    <row r="885" spans="1:7" x14ac:dyDescent="0.3">
      <c r="A885" s="11"/>
      <c r="B885" s="38">
        <f>IF($A885="","",IFERROR(IF(INDEX(Pledges!$D$5:$D$2500,MATCH($G885,Pledges!$K$5:$K$2500,0))="","⚠ no amount on Pledges",IF(INDEX(Pledges!$B$5:$B$2500,MATCH($G885,Pledges!$K$5:$K$2500,0))="","",INDEX(Pledges!$B$5:$B$2500,MATCH($G885,Pledges!$K$5:$K$2500,0)))),"⚠ phone not in Pledges"))</f>
      </c>
      <c r="C885" s="12"/>
      <c r="D885" s="13"/>
      <c r="E885" s="22"/>
      <c r="F885" s="23"/>
      <c r="G885">
        <f>IF($A885="","","#"&amp;TRIM(SUBSTITUTE(SUBSTITUTE(SUBSTITUTE(SUBSTITUTE(SUBSTITUTE(SUBSTITUTE($A885,"-",""),"(",""),")",""),".",""),"+","")," ","")))</f>
      </c>
    </row>
    <row r="886" spans="1:7" x14ac:dyDescent="0.3">
      <c r="A886" s="11"/>
      <c r="B886" s="38">
        <f>IF($A886="","",IFERROR(IF(INDEX(Pledges!$D$5:$D$2500,MATCH($G886,Pledges!$K$5:$K$2500,0))="","⚠ no amount on Pledges",IF(INDEX(Pledges!$B$5:$B$2500,MATCH($G886,Pledges!$K$5:$K$2500,0))="","",INDEX(Pledges!$B$5:$B$2500,MATCH($G886,Pledges!$K$5:$K$2500,0)))),"⚠ phone not in Pledges"))</f>
      </c>
      <c r="C886" s="12"/>
      <c r="D886" s="13"/>
      <c r="E886" s="22"/>
      <c r="F886" s="23"/>
      <c r="G886">
        <f>IF($A886="","","#"&amp;TRIM(SUBSTITUTE(SUBSTITUTE(SUBSTITUTE(SUBSTITUTE(SUBSTITUTE(SUBSTITUTE($A886,"-",""),"(",""),")",""),".",""),"+","")," ","")))</f>
      </c>
    </row>
    <row r="887" spans="1:7" x14ac:dyDescent="0.3">
      <c r="A887" s="11"/>
      <c r="B887" s="38">
        <f>IF($A887="","",IFERROR(IF(INDEX(Pledges!$D$5:$D$2500,MATCH($G887,Pledges!$K$5:$K$2500,0))="","⚠ no amount on Pledges",IF(INDEX(Pledges!$B$5:$B$2500,MATCH($G887,Pledges!$K$5:$K$2500,0))="","",INDEX(Pledges!$B$5:$B$2500,MATCH($G887,Pledges!$K$5:$K$2500,0)))),"⚠ phone not in Pledges"))</f>
      </c>
      <c r="C887" s="12"/>
      <c r="D887" s="13"/>
      <c r="E887" s="22"/>
      <c r="F887" s="23"/>
      <c r="G887">
        <f>IF($A887="","","#"&amp;TRIM(SUBSTITUTE(SUBSTITUTE(SUBSTITUTE(SUBSTITUTE(SUBSTITUTE(SUBSTITUTE($A887,"-",""),"(",""),")",""),".",""),"+","")," ","")))</f>
      </c>
    </row>
    <row r="888" spans="1:7" x14ac:dyDescent="0.3">
      <c r="A888" s="11"/>
      <c r="B888" s="38">
        <f>IF($A888="","",IFERROR(IF(INDEX(Pledges!$D$5:$D$2500,MATCH($G888,Pledges!$K$5:$K$2500,0))="","⚠ no amount on Pledges",IF(INDEX(Pledges!$B$5:$B$2500,MATCH($G888,Pledges!$K$5:$K$2500,0))="","",INDEX(Pledges!$B$5:$B$2500,MATCH($G888,Pledges!$K$5:$K$2500,0)))),"⚠ phone not in Pledges"))</f>
      </c>
      <c r="C888" s="12"/>
      <c r="D888" s="13"/>
      <c r="E888" s="22"/>
      <c r="F888" s="23"/>
      <c r="G888">
        <f>IF($A888="","","#"&amp;TRIM(SUBSTITUTE(SUBSTITUTE(SUBSTITUTE(SUBSTITUTE(SUBSTITUTE(SUBSTITUTE($A888,"-",""),"(",""),")",""),".",""),"+","")," ","")))</f>
      </c>
    </row>
    <row r="889" spans="1:7" x14ac:dyDescent="0.3">
      <c r="A889" s="11"/>
      <c r="B889" s="38">
        <f>IF($A889="","",IFERROR(IF(INDEX(Pledges!$D$5:$D$2500,MATCH($G889,Pledges!$K$5:$K$2500,0))="","⚠ no amount on Pledges",IF(INDEX(Pledges!$B$5:$B$2500,MATCH($G889,Pledges!$K$5:$K$2500,0))="","",INDEX(Pledges!$B$5:$B$2500,MATCH($G889,Pledges!$K$5:$K$2500,0)))),"⚠ phone not in Pledges"))</f>
      </c>
      <c r="C889" s="12"/>
      <c r="D889" s="13"/>
      <c r="E889" s="22"/>
      <c r="F889" s="23"/>
      <c r="G889">
        <f>IF($A889="","","#"&amp;TRIM(SUBSTITUTE(SUBSTITUTE(SUBSTITUTE(SUBSTITUTE(SUBSTITUTE(SUBSTITUTE($A889,"-",""),"(",""),")",""),".",""),"+","")," ","")))</f>
      </c>
    </row>
    <row r="890" spans="1:7" x14ac:dyDescent="0.3">
      <c r="A890" s="11"/>
      <c r="B890" s="38">
        <f>IF($A890="","",IFERROR(IF(INDEX(Pledges!$D$5:$D$2500,MATCH($G890,Pledges!$K$5:$K$2500,0))="","⚠ no amount on Pledges",IF(INDEX(Pledges!$B$5:$B$2500,MATCH($G890,Pledges!$K$5:$K$2500,0))="","",INDEX(Pledges!$B$5:$B$2500,MATCH($G890,Pledges!$K$5:$K$2500,0)))),"⚠ phone not in Pledges"))</f>
      </c>
      <c r="C890" s="12"/>
      <c r="D890" s="13"/>
      <c r="E890" s="22"/>
      <c r="F890" s="23"/>
      <c r="G890">
        <f>IF($A890="","","#"&amp;TRIM(SUBSTITUTE(SUBSTITUTE(SUBSTITUTE(SUBSTITUTE(SUBSTITUTE(SUBSTITUTE($A890,"-",""),"(",""),")",""),".",""),"+","")," ","")))</f>
      </c>
    </row>
    <row r="891" spans="1:7" x14ac:dyDescent="0.3">
      <c r="A891" s="11"/>
      <c r="B891" s="38">
        <f>IF($A891="","",IFERROR(IF(INDEX(Pledges!$D$5:$D$2500,MATCH($G891,Pledges!$K$5:$K$2500,0))="","⚠ no amount on Pledges",IF(INDEX(Pledges!$B$5:$B$2500,MATCH($G891,Pledges!$K$5:$K$2500,0))="","",INDEX(Pledges!$B$5:$B$2500,MATCH($G891,Pledges!$K$5:$K$2500,0)))),"⚠ phone not in Pledges"))</f>
      </c>
      <c r="C891" s="12"/>
      <c r="D891" s="13"/>
      <c r="E891" s="22"/>
      <c r="F891" s="23"/>
      <c r="G891">
        <f>IF($A891="","","#"&amp;TRIM(SUBSTITUTE(SUBSTITUTE(SUBSTITUTE(SUBSTITUTE(SUBSTITUTE(SUBSTITUTE($A891,"-",""),"(",""),")",""),".",""),"+","")," ","")))</f>
      </c>
    </row>
    <row r="892" spans="1:7" x14ac:dyDescent="0.3">
      <c r="A892" s="11"/>
      <c r="B892" s="38">
        <f>IF($A892="","",IFERROR(IF(INDEX(Pledges!$D$5:$D$2500,MATCH($G892,Pledges!$K$5:$K$2500,0))="","⚠ no amount on Pledges",IF(INDEX(Pledges!$B$5:$B$2500,MATCH($G892,Pledges!$K$5:$K$2500,0))="","",INDEX(Pledges!$B$5:$B$2500,MATCH($G892,Pledges!$K$5:$K$2500,0)))),"⚠ phone not in Pledges"))</f>
      </c>
      <c r="C892" s="12"/>
      <c r="D892" s="13"/>
      <c r="E892" s="22"/>
      <c r="F892" s="23"/>
      <c r="G892">
        <f>IF($A892="","","#"&amp;TRIM(SUBSTITUTE(SUBSTITUTE(SUBSTITUTE(SUBSTITUTE(SUBSTITUTE(SUBSTITUTE($A892,"-",""),"(",""),")",""),".",""),"+","")," ","")))</f>
      </c>
    </row>
    <row r="893" spans="1:7" x14ac:dyDescent="0.3">
      <c r="A893" s="11"/>
      <c r="B893" s="38">
        <f>IF($A893="","",IFERROR(IF(INDEX(Pledges!$D$5:$D$2500,MATCH($G893,Pledges!$K$5:$K$2500,0))="","⚠ no amount on Pledges",IF(INDEX(Pledges!$B$5:$B$2500,MATCH($G893,Pledges!$K$5:$K$2500,0))="","",INDEX(Pledges!$B$5:$B$2500,MATCH($G893,Pledges!$K$5:$K$2500,0)))),"⚠ phone not in Pledges"))</f>
      </c>
      <c r="C893" s="12"/>
      <c r="D893" s="13"/>
      <c r="E893" s="22"/>
      <c r="F893" s="23"/>
      <c r="G893">
        <f>IF($A893="","","#"&amp;TRIM(SUBSTITUTE(SUBSTITUTE(SUBSTITUTE(SUBSTITUTE(SUBSTITUTE(SUBSTITUTE($A893,"-",""),"(",""),")",""),".",""),"+","")," ","")))</f>
      </c>
    </row>
    <row r="894" spans="1:7" x14ac:dyDescent="0.3">
      <c r="A894" s="11"/>
      <c r="B894" s="38">
        <f>IF($A894="","",IFERROR(IF(INDEX(Pledges!$D$5:$D$2500,MATCH($G894,Pledges!$K$5:$K$2500,0))="","⚠ no amount on Pledges",IF(INDEX(Pledges!$B$5:$B$2500,MATCH($G894,Pledges!$K$5:$K$2500,0))="","",INDEX(Pledges!$B$5:$B$2500,MATCH($G894,Pledges!$K$5:$K$2500,0)))),"⚠ phone not in Pledges"))</f>
      </c>
      <c r="C894" s="12"/>
      <c r="D894" s="13"/>
      <c r="E894" s="22"/>
      <c r="F894" s="23"/>
      <c r="G894">
        <f>IF($A894="","","#"&amp;TRIM(SUBSTITUTE(SUBSTITUTE(SUBSTITUTE(SUBSTITUTE(SUBSTITUTE(SUBSTITUTE($A894,"-",""),"(",""),")",""),".",""),"+","")," ","")))</f>
      </c>
    </row>
    <row r="895" spans="1:7" x14ac:dyDescent="0.3">
      <c r="A895" s="11"/>
      <c r="B895" s="38">
        <f>IF($A895="","",IFERROR(IF(INDEX(Pledges!$D$5:$D$2500,MATCH($G895,Pledges!$K$5:$K$2500,0))="","⚠ no amount on Pledges",IF(INDEX(Pledges!$B$5:$B$2500,MATCH($G895,Pledges!$K$5:$K$2500,0))="","",INDEX(Pledges!$B$5:$B$2500,MATCH($G895,Pledges!$K$5:$K$2500,0)))),"⚠ phone not in Pledges"))</f>
      </c>
      <c r="C895" s="12"/>
      <c r="D895" s="13"/>
      <c r="E895" s="22"/>
      <c r="F895" s="23"/>
      <c r="G895">
        <f>IF($A895="","","#"&amp;TRIM(SUBSTITUTE(SUBSTITUTE(SUBSTITUTE(SUBSTITUTE(SUBSTITUTE(SUBSTITUTE($A895,"-",""),"(",""),")",""),".",""),"+","")," ","")))</f>
      </c>
    </row>
    <row r="896" spans="1:7" x14ac:dyDescent="0.3">
      <c r="A896" s="11"/>
      <c r="B896" s="38">
        <f>IF($A896="","",IFERROR(IF(INDEX(Pledges!$D$5:$D$2500,MATCH($G896,Pledges!$K$5:$K$2500,0))="","⚠ no amount on Pledges",IF(INDEX(Pledges!$B$5:$B$2500,MATCH($G896,Pledges!$K$5:$K$2500,0))="","",INDEX(Pledges!$B$5:$B$2500,MATCH($G896,Pledges!$K$5:$K$2500,0)))),"⚠ phone not in Pledges"))</f>
      </c>
      <c r="C896" s="12"/>
      <c r="D896" s="13"/>
      <c r="E896" s="22"/>
      <c r="F896" s="23"/>
      <c r="G896">
        <f>IF($A896="","","#"&amp;TRIM(SUBSTITUTE(SUBSTITUTE(SUBSTITUTE(SUBSTITUTE(SUBSTITUTE(SUBSTITUTE($A896,"-",""),"(",""),")",""),".",""),"+","")," ","")))</f>
      </c>
    </row>
    <row r="897" spans="1:7" x14ac:dyDescent="0.3">
      <c r="A897" s="11"/>
      <c r="B897" s="38">
        <f>IF($A897="","",IFERROR(IF(INDEX(Pledges!$D$5:$D$2500,MATCH($G897,Pledges!$K$5:$K$2500,0))="","⚠ no amount on Pledges",IF(INDEX(Pledges!$B$5:$B$2500,MATCH($G897,Pledges!$K$5:$K$2500,0))="","",INDEX(Pledges!$B$5:$B$2500,MATCH($G897,Pledges!$K$5:$K$2500,0)))),"⚠ phone not in Pledges"))</f>
      </c>
      <c r="C897" s="12"/>
      <c r="D897" s="13"/>
      <c r="E897" s="22"/>
      <c r="F897" s="23"/>
      <c r="G897">
        <f>IF($A897="","","#"&amp;TRIM(SUBSTITUTE(SUBSTITUTE(SUBSTITUTE(SUBSTITUTE(SUBSTITUTE(SUBSTITUTE($A897,"-",""),"(",""),")",""),".",""),"+","")," ","")))</f>
      </c>
    </row>
    <row r="898" spans="1:7" x14ac:dyDescent="0.3">
      <c r="A898" s="11"/>
      <c r="B898" s="38">
        <f>IF($A898="","",IFERROR(IF(INDEX(Pledges!$D$5:$D$2500,MATCH($G898,Pledges!$K$5:$K$2500,0))="","⚠ no amount on Pledges",IF(INDEX(Pledges!$B$5:$B$2500,MATCH($G898,Pledges!$K$5:$K$2500,0))="","",INDEX(Pledges!$B$5:$B$2500,MATCH($G898,Pledges!$K$5:$K$2500,0)))),"⚠ phone not in Pledges"))</f>
      </c>
      <c r="C898" s="12"/>
      <c r="D898" s="13"/>
      <c r="E898" s="22"/>
      <c r="F898" s="23"/>
      <c r="G898">
        <f>IF($A898="","","#"&amp;TRIM(SUBSTITUTE(SUBSTITUTE(SUBSTITUTE(SUBSTITUTE(SUBSTITUTE(SUBSTITUTE($A898,"-",""),"(",""),")",""),".",""),"+","")," ","")))</f>
      </c>
    </row>
    <row r="899" spans="1:7" x14ac:dyDescent="0.3">
      <c r="A899" s="11"/>
      <c r="B899" s="38">
        <f>IF($A899="","",IFERROR(IF(INDEX(Pledges!$D$5:$D$2500,MATCH($G899,Pledges!$K$5:$K$2500,0))="","⚠ no amount on Pledges",IF(INDEX(Pledges!$B$5:$B$2500,MATCH($G899,Pledges!$K$5:$K$2500,0))="","",INDEX(Pledges!$B$5:$B$2500,MATCH($G899,Pledges!$K$5:$K$2500,0)))),"⚠ phone not in Pledges"))</f>
      </c>
      <c r="C899" s="12"/>
      <c r="D899" s="13"/>
      <c r="E899" s="22"/>
      <c r="F899" s="23"/>
      <c r="G899">
        <f>IF($A899="","","#"&amp;TRIM(SUBSTITUTE(SUBSTITUTE(SUBSTITUTE(SUBSTITUTE(SUBSTITUTE(SUBSTITUTE($A899,"-",""),"(",""),")",""),".",""),"+","")," ","")))</f>
      </c>
    </row>
    <row r="900" spans="1:7" x14ac:dyDescent="0.3">
      <c r="A900" s="11"/>
      <c r="B900" s="38">
        <f>IF($A900="","",IFERROR(IF(INDEX(Pledges!$D$5:$D$2500,MATCH($G900,Pledges!$K$5:$K$2500,0))="","⚠ no amount on Pledges",IF(INDEX(Pledges!$B$5:$B$2500,MATCH($G900,Pledges!$K$5:$K$2500,0))="","",INDEX(Pledges!$B$5:$B$2500,MATCH($G900,Pledges!$K$5:$K$2500,0)))),"⚠ phone not in Pledges"))</f>
      </c>
      <c r="C900" s="12"/>
      <c r="D900" s="13"/>
      <c r="E900" s="22"/>
      <c r="F900" s="23"/>
      <c r="G900">
        <f>IF($A900="","","#"&amp;TRIM(SUBSTITUTE(SUBSTITUTE(SUBSTITUTE(SUBSTITUTE(SUBSTITUTE(SUBSTITUTE($A900,"-",""),"(",""),")",""),".",""),"+","")," ","")))</f>
      </c>
    </row>
    <row r="901" spans="1:7" x14ac:dyDescent="0.3">
      <c r="A901" s="11"/>
      <c r="B901" s="38">
        <f>IF($A901="","",IFERROR(IF(INDEX(Pledges!$D$5:$D$2500,MATCH($G901,Pledges!$K$5:$K$2500,0))="","⚠ no amount on Pledges",IF(INDEX(Pledges!$B$5:$B$2500,MATCH($G901,Pledges!$K$5:$K$2500,0))="","",INDEX(Pledges!$B$5:$B$2500,MATCH($G901,Pledges!$K$5:$K$2500,0)))),"⚠ phone not in Pledges"))</f>
      </c>
      <c r="C901" s="12"/>
      <c r="D901" s="13"/>
      <c r="E901" s="22"/>
      <c r="F901" s="23"/>
      <c r="G901">
        <f>IF($A901="","","#"&amp;TRIM(SUBSTITUTE(SUBSTITUTE(SUBSTITUTE(SUBSTITUTE(SUBSTITUTE(SUBSTITUTE($A901,"-",""),"(",""),")",""),".",""),"+","")," ","")))</f>
      </c>
    </row>
    <row r="902" spans="1:7" x14ac:dyDescent="0.3">
      <c r="A902" s="11"/>
      <c r="B902" s="38">
        <f>IF($A902="","",IFERROR(IF(INDEX(Pledges!$D$5:$D$2500,MATCH($G902,Pledges!$K$5:$K$2500,0))="","⚠ no amount on Pledges",IF(INDEX(Pledges!$B$5:$B$2500,MATCH($G902,Pledges!$K$5:$K$2500,0))="","",INDEX(Pledges!$B$5:$B$2500,MATCH($G902,Pledges!$K$5:$K$2500,0)))),"⚠ phone not in Pledges"))</f>
      </c>
      <c r="C902" s="12"/>
      <c r="D902" s="13"/>
      <c r="E902" s="22"/>
      <c r="F902" s="23"/>
      <c r="G902">
        <f>IF($A902="","","#"&amp;TRIM(SUBSTITUTE(SUBSTITUTE(SUBSTITUTE(SUBSTITUTE(SUBSTITUTE(SUBSTITUTE($A902,"-",""),"(",""),")",""),".",""),"+","")," ","")))</f>
      </c>
    </row>
    <row r="903" spans="1:7" x14ac:dyDescent="0.3">
      <c r="A903" s="11"/>
      <c r="B903" s="38">
        <f>IF($A903="","",IFERROR(IF(INDEX(Pledges!$D$5:$D$2500,MATCH($G903,Pledges!$K$5:$K$2500,0))="","⚠ no amount on Pledges",IF(INDEX(Pledges!$B$5:$B$2500,MATCH($G903,Pledges!$K$5:$K$2500,0))="","",INDEX(Pledges!$B$5:$B$2500,MATCH($G903,Pledges!$K$5:$K$2500,0)))),"⚠ phone not in Pledges"))</f>
      </c>
      <c r="C903" s="12"/>
      <c r="D903" s="13"/>
      <c r="E903" s="22"/>
      <c r="F903" s="23"/>
      <c r="G903">
        <f>IF($A903="","","#"&amp;TRIM(SUBSTITUTE(SUBSTITUTE(SUBSTITUTE(SUBSTITUTE(SUBSTITUTE(SUBSTITUTE($A903,"-",""),"(",""),")",""),".",""),"+","")," ","")))</f>
      </c>
    </row>
    <row r="904" spans="1:7" x14ac:dyDescent="0.3">
      <c r="A904" s="11"/>
      <c r="B904" s="38">
        <f>IF($A904="","",IFERROR(IF(INDEX(Pledges!$D$5:$D$2500,MATCH($G904,Pledges!$K$5:$K$2500,0))="","⚠ no amount on Pledges",IF(INDEX(Pledges!$B$5:$B$2500,MATCH($G904,Pledges!$K$5:$K$2500,0))="","",INDEX(Pledges!$B$5:$B$2500,MATCH($G904,Pledges!$K$5:$K$2500,0)))),"⚠ phone not in Pledges"))</f>
      </c>
      <c r="C904" s="12"/>
      <c r="D904" s="13"/>
      <c r="E904" s="22"/>
      <c r="F904" s="23"/>
      <c r="G904">
        <f>IF($A904="","","#"&amp;TRIM(SUBSTITUTE(SUBSTITUTE(SUBSTITUTE(SUBSTITUTE(SUBSTITUTE(SUBSTITUTE($A904,"-",""),"(",""),")",""),".",""),"+","")," ","")))</f>
      </c>
    </row>
    <row r="905" spans="1:7" x14ac:dyDescent="0.3">
      <c r="A905" s="11"/>
      <c r="B905" s="38">
        <f>IF($A905="","",IFERROR(IF(INDEX(Pledges!$D$5:$D$2500,MATCH($G905,Pledges!$K$5:$K$2500,0))="","⚠ no amount on Pledges",IF(INDEX(Pledges!$B$5:$B$2500,MATCH($G905,Pledges!$K$5:$K$2500,0))="","",INDEX(Pledges!$B$5:$B$2500,MATCH($G905,Pledges!$K$5:$K$2500,0)))),"⚠ phone not in Pledges"))</f>
      </c>
      <c r="C905" s="12"/>
      <c r="D905" s="13"/>
      <c r="E905" s="22"/>
      <c r="F905" s="23"/>
      <c r="G905">
        <f>IF($A905="","","#"&amp;TRIM(SUBSTITUTE(SUBSTITUTE(SUBSTITUTE(SUBSTITUTE(SUBSTITUTE(SUBSTITUTE($A905,"-",""),"(",""),")",""),".",""),"+","")," ","")))</f>
      </c>
    </row>
    <row r="906" spans="1:7" x14ac:dyDescent="0.3">
      <c r="A906" s="11"/>
      <c r="B906" s="38">
        <f>IF($A906="","",IFERROR(IF(INDEX(Pledges!$D$5:$D$2500,MATCH($G906,Pledges!$K$5:$K$2500,0))="","⚠ no amount on Pledges",IF(INDEX(Pledges!$B$5:$B$2500,MATCH($G906,Pledges!$K$5:$K$2500,0))="","",INDEX(Pledges!$B$5:$B$2500,MATCH($G906,Pledges!$K$5:$K$2500,0)))),"⚠ phone not in Pledges"))</f>
      </c>
      <c r="C906" s="12"/>
      <c r="D906" s="13"/>
      <c r="E906" s="22"/>
      <c r="F906" s="23"/>
      <c r="G906">
        <f>IF($A906="","","#"&amp;TRIM(SUBSTITUTE(SUBSTITUTE(SUBSTITUTE(SUBSTITUTE(SUBSTITUTE(SUBSTITUTE($A906,"-",""),"(",""),")",""),".",""),"+","")," ","")))</f>
      </c>
    </row>
    <row r="907" spans="1:7" x14ac:dyDescent="0.3">
      <c r="A907" s="11"/>
      <c r="B907" s="38">
        <f>IF($A907="","",IFERROR(IF(INDEX(Pledges!$D$5:$D$2500,MATCH($G907,Pledges!$K$5:$K$2500,0))="","⚠ no amount on Pledges",IF(INDEX(Pledges!$B$5:$B$2500,MATCH($G907,Pledges!$K$5:$K$2500,0))="","",INDEX(Pledges!$B$5:$B$2500,MATCH($G907,Pledges!$K$5:$K$2500,0)))),"⚠ phone not in Pledges"))</f>
      </c>
      <c r="C907" s="12"/>
      <c r="D907" s="13"/>
      <c r="E907" s="22"/>
      <c r="F907" s="23"/>
      <c r="G907">
        <f>IF($A907="","","#"&amp;TRIM(SUBSTITUTE(SUBSTITUTE(SUBSTITUTE(SUBSTITUTE(SUBSTITUTE(SUBSTITUTE($A907,"-",""),"(",""),")",""),".",""),"+","")," ","")))</f>
      </c>
    </row>
    <row r="908" spans="1:7" x14ac:dyDescent="0.3">
      <c r="A908" s="11"/>
      <c r="B908" s="38">
        <f>IF($A908="","",IFERROR(IF(INDEX(Pledges!$D$5:$D$2500,MATCH($G908,Pledges!$K$5:$K$2500,0))="","⚠ no amount on Pledges",IF(INDEX(Pledges!$B$5:$B$2500,MATCH($G908,Pledges!$K$5:$K$2500,0))="","",INDEX(Pledges!$B$5:$B$2500,MATCH($G908,Pledges!$K$5:$K$2500,0)))),"⚠ phone not in Pledges"))</f>
      </c>
      <c r="C908" s="12"/>
      <c r="D908" s="13"/>
      <c r="E908" s="22"/>
      <c r="F908" s="23"/>
      <c r="G908">
        <f>IF($A908="","","#"&amp;TRIM(SUBSTITUTE(SUBSTITUTE(SUBSTITUTE(SUBSTITUTE(SUBSTITUTE(SUBSTITUTE($A908,"-",""),"(",""),")",""),".",""),"+","")," ","")))</f>
      </c>
    </row>
    <row r="909" spans="1:7" x14ac:dyDescent="0.3">
      <c r="A909" s="11"/>
      <c r="B909" s="38">
        <f>IF($A909="","",IFERROR(IF(INDEX(Pledges!$D$5:$D$2500,MATCH($G909,Pledges!$K$5:$K$2500,0))="","⚠ no amount on Pledges",IF(INDEX(Pledges!$B$5:$B$2500,MATCH($G909,Pledges!$K$5:$K$2500,0))="","",INDEX(Pledges!$B$5:$B$2500,MATCH($G909,Pledges!$K$5:$K$2500,0)))),"⚠ phone not in Pledges"))</f>
      </c>
      <c r="C909" s="12"/>
      <c r="D909" s="13"/>
      <c r="E909" s="22"/>
      <c r="F909" s="23"/>
      <c r="G909">
        <f>IF($A909="","","#"&amp;TRIM(SUBSTITUTE(SUBSTITUTE(SUBSTITUTE(SUBSTITUTE(SUBSTITUTE(SUBSTITUTE($A909,"-",""),"(",""),")",""),".",""),"+","")," ","")))</f>
      </c>
    </row>
    <row r="910" spans="1:7" x14ac:dyDescent="0.3">
      <c r="A910" s="11"/>
      <c r="B910" s="38">
        <f>IF($A910="","",IFERROR(IF(INDEX(Pledges!$D$5:$D$2500,MATCH($G910,Pledges!$K$5:$K$2500,0))="","⚠ no amount on Pledges",IF(INDEX(Pledges!$B$5:$B$2500,MATCH($G910,Pledges!$K$5:$K$2500,0))="","",INDEX(Pledges!$B$5:$B$2500,MATCH($G910,Pledges!$K$5:$K$2500,0)))),"⚠ phone not in Pledges"))</f>
      </c>
      <c r="C910" s="12"/>
      <c r="D910" s="13"/>
      <c r="E910" s="22"/>
      <c r="F910" s="23"/>
      <c r="G910">
        <f>IF($A910="","","#"&amp;TRIM(SUBSTITUTE(SUBSTITUTE(SUBSTITUTE(SUBSTITUTE(SUBSTITUTE(SUBSTITUTE($A910,"-",""),"(",""),")",""),".",""),"+","")," ","")))</f>
      </c>
    </row>
    <row r="911" spans="1:7" x14ac:dyDescent="0.3">
      <c r="A911" s="11"/>
      <c r="B911" s="38">
        <f>IF($A911="","",IFERROR(IF(INDEX(Pledges!$D$5:$D$2500,MATCH($G911,Pledges!$K$5:$K$2500,0))="","⚠ no amount on Pledges",IF(INDEX(Pledges!$B$5:$B$2500,MATCH($G911,Pledges!$K$5:$K$2500,0))="","",INDEX(Pledges!$B$5:$B$2500,MATCH($G911,Pledges!$K$5:$K$2500,0)))),"⚠ phone not in Pledges"))</f>
      </c>
      <c r="C911" s="12"/>
      <c r="D911" s="13"/>
      <c r="E911" s="22"/>
      <c r="F911" s="23"/>
      <c r="G911">
        <f>IF($A911="","","#"&amp;TRIM(SUBSTITUTE(SUBSTITUTE(SUBSTITUTE(SUBSTITUTE(SUBSTITUTE(SUBSTITUTE($A911,"-",""),"(",""),")",""),".",""),"+","")," ","")))</f>
      </c>
    </row>
    <row r="912" spans="1:7" x14ac:dyDescent="0.3">
      <c r="A912" s="11"/>
      <c r="B912" s="38">
        <f>IF($A912="","",IFERROR(IF(INDEX(Pledges!$D$5:$D$2500,MATCH($G912,Pledges!$K$5:$K$2500,0))="","⚠ no amount on Pledges",IF(INDEX(Pledges!$B$5:$B$2500,MATCH($G912,Pledges!$K$5:$K$2500,0))="","",INDEX(Pledges!$B$5:$B$2500,MATCH($G912,Pledges!$K$5:$K$2500,0)))),"⚠ phone not in Pledges"))</f>
      </c>
      <c r="C912" s="12"/>
      <c r="D912" s="13"/>
      <c r="E912" s="22"/>
      <c r="F912" s="23"/>
      <c r="G912">
        <f>IF($A912="","","#"&amp;TRIM(SUBSTITUTE(SUBSTITUTE(SUBSTITUTE(SUBSTITUTE(SUBSTITUTE(SUBSTITUTE($A912,"-",""),"(",""),")",""),".",""),"+","")," ","")))</f>
      </c>
    </row>
    <row r="913" spans="1:7" x14ac:dyDescent="0.3">
      <c r="A913" s="11"/>
      <c r="B913" s="38">
        <f>IF($A913="","",IFERROR(IF(INDEX(Pledges!$D$5:$D$2500,MATCH($G913,Pledges!$K$5:$K$2500,0))="","⚠ no amount on Pledges",IF(INDEX(Pledges!$B$5:$B$2500,MATCH($G913,Pledges!$K$5:$K$2500,0))="","",INDEX(Pledges!$B$5:$B$2500,MATCH($G913,Pledges!$K$5:$K$2500,0)))),"⚠ phone not in Pledges"))</f>
      </c>
      <c r="C913" s="12"/>
      <c r="D913" s="13"/>
      <c r="E913" s="22"/>
      <c r="F913" s="23"/>
      <c r="G913">
        <f>IF($A913="","","#"&amp;TRIM(SUBSTITUTE(SUBSTITUTE(SUBSTITUTE(SUBSTITUTE(SUBSTITUTE(SUBSTITUTE($A913,"-",""),"(",""),")",""),".",""),"+","")," ","")))</f>
      </c>
    </row>
    <row r="914" spans="1:7" x14ac:dyDescent="0.3">
      <c r="A914" s="11"/>
      <c r="B914" s="38">
        <f>IF($A914="","",IFERROR(IF(INDEX(Pledges!$D$5:$D$2500,MATCH($G914,Pledges!$K$5:$K$2500,0))="","⚠ no amount on Pledges",IF(INDEX(Pledges!$B$5:$B$2500,MATCH($G914,Pledges!$K$5:$K$2500,0))="","",INDEX(Pledges!$B$5:$B$2500,MATCH($G914,Pledges!$K$5:$K$2500,0)))),"⚠ phone not in Pledges"))</f>
      </c>
      <c r="C914" s="12"/>
      <c r="D914" s="13"/>
      <c r="E914" s="22"/>
      <c r="F914" s="23"/>
      <c r="G914">
        <f>IF($A914="","","#"&amp;TRIM(SUBSTITUTE(SUBSTITUTE(SUBSTITUTE(SUBSTITUTE(SUBSTITUTE(SUBSTITUTE($A914,"-",""),"(",""),")",""),".",""),"+","")," ","")))</f>
      </c>
    </row>
    <row r="915" spans="1:7" x14ac:dyDescent="0.3">
      <c r="A915" s="11"/>
      <c r="B915" s="38">
        <f>IF($A915="","",IFERROR(IF(INDEX(Pledges!$D$5:$D$2500,MATCH($G915,Pledges!$K$5:$K$2500,0))="","⚠ no amount on Pledges",IF(INDEX(Pledges!$B$5:$B$2500,MATCH($G915,Pledges!$K$5:$K$2500,0))="","",INDEX(Pledges!$B$5:$B$2500,MATCH($G915,Pledges!$K$5:$K$2500,0)))),"⚠ phone not in Pledges"))</f>
      </c>
      <c r="C915" s="12"/>
      <c r="D915" s="13"/>
      <c r="E915" s="22"/>
      <c r="F915" s="23"/>
      <c r="G915">
        <f>IF($A915="","","#"&amp;TRIM(SUBSTITUTE(SUBSTITUTE(SUBSTITUTE(SUBSTITUTE(SUBSTITUTE(SUBSTITUTE($A915,"-",""),"(",""),")",""),".",""),"+","")," ","")))</f>
      </c>
    </row>
    <row r="916" spans="1:7" x14ac:dyDescent="0.3">
      <c r="A916" s="11"/>
      <c r="B916" s="38">
        <f>IF($A916="","",IFERROR(IF(INDEX(Pledges!$D$5:$D$2500,MATCH($G916,Pledges!$K$5:$K$2500,0))="","⚠ no amount on Pledges",IF(INDEX(Pledges!$B$5:$B$2500,MATCH($G916,Pledges!$K$5:$K$2500,0))="","",INDEX(Pledges!$B$5:$B$2500,MATCH($G916,Pledges!$K$5:$K$2500,0)))),"⚠ phone not in Pledges"))</f>
      </c>
      <c r="C916" s="12"/>
      <c r="D916" s="13"/>
      <c r="E916" s="22"/>
      <c r="F916" s="23"/>
      <c r="G916">
        <f>IF($A916="","","#"&amp;TRIM(SUBSTITUTE(SUBSTITUTE(SUBSTITUTE(SUBSTITUTE(SUBSTITUTE(SUBSTITUTE($A916,"-",""),"(",""),")",""),".",""),"+","")," ","")))</f>
      </c>
    </row>
    <row r="917" spans="1:7" x14ac:dyDescent="0.3">
      <c r="A917" s="11"/>
      <c r="B917" s="38">
        <f>IF($A917="","",IFERROR(IF(INDEX(Pledges!$D$5:$D$2500,MATCH($G917,Pledges!$K$5:$K$2500,0))="","⚠ no amount on Pledges",IF(INDEX(Pledges!$B$5:$B$2500,MATCH($G917,Pledges!$K$5:$K$2500,0))="","",INDEX(Pledges!$B$5:$B$2500,MATCH($G917,Pledges!$K$5:$K$2500,0)))),"⚠ phone not in Pledges"))</f>
      </c>
      <c r="C917" s="12"/>
      <c r="D917" s="13"/>
      <c r="E917" s="22"/>
      <c r="F917" s="23"/>
      <c r="G917">
        <f>IF($A917="","","#"&amp;TRIM(SUBSTITUTE(SUBSTITUTE(SUBSTITUTE(SUBSTITUTE(SUBSTITUTE(SUBSTITUTE($A917,"-",""),"(",""),")",""),".",""),"+","")," ","")))</f>
      </c>
    </row>
    <row r="918" spans="1:7" x14ac:dyDescent="0.3">
      <c r="A918" s="11"/>
      <c r="B918" s="38">
        <f>IF($A918="","",IFERROR(IF(INDEX(Pledges!$D$5:$D$2500,MATCH($G918,Pledges!$K$5:$K$2500,0))="","⚠ no amount on Pledges",IF(INDEX(Pledges!$B$5:$B$2500,MATCH($G918,Pledges!$K$5:$K$2500,0))="","",INDEX(Pledges!$B$5:$B$2500,MATCH($G918,Pledges!$K$5:$K$2500,0)))),"⚠ phone not in Pledges"))</f>
      </c>
      <c r="C918" s="12"/>
      <c r="D918" s="13"/>
      <c r="E918" s="22"/>
      <c r="F918" s="23"/>
      <c r="G918">
        <f>IF($A918="","","#"&amp;TRIM(SUBSTITUTE(SUBSTITUTE(SUBSTITUTE(SUBSTITUTE(SUBSTITUTE(SUBSTITUTE($A918,"-",""),"(",""),")",""),".",""),"+","")," ","")))</f>
      </c>
    </row>
    <row r="919" spans="1:7" x14ac:dyDescent="0.3">
      <c r="A919" s="11"/>
      <c r="B919" s="38">
        <f>IF($A919="","",IFERROR(IF(INDEX(Pledges!$D$5:$D$2500,MATCH($G919,Pledges!$K$5:$K$2500,0))="","⚠ no amount on Pledges",IF(INDEX(Pledges!$B$5:$B$2500,MATCH($G919,Pledges!$K$5:$K$2500,0))="","",INDEX(Pledges!$B$5:$B$2500,MATCH($G919,Pledges!$K$5:$K$2500,0)))),"⚠ phone not in Pledges"))</f>
      </c>
      <c r="C919" s="12"/>
      <c r="D919" s="13"/>
      <c r="E919" s="22"/>
      <c r="F919" s="23"/>
      <c r="G919">
        <f>IF($A919="","","#"&amp;TRIM(SUBSTITUTE(SUBSTITUTE(SUBSTITUTE(SUBSTITUTE(SUBSTITUTE(SUBSTITUTE($A919,"-",""),"(",""),")",""),".",""),"+","")," ","")))</f>
      </c>
    </row>
    <row r="920" spans="1:7" x14ac:dyDescent="0.3">
      <c r="A920" s="11"/>
      <c r="B920" s="38">
        <f>IF($A920="","",IFERROR(IF(INDEX(Pledges!$D$5:$D$2500,MATCH($G920,Pledges!$K$5:$K$2500,0))="","⚠ no amount on Pledges",IF(INDEX(Pledges!$B$5:$B$2500,MATCH($G920,Pledges!$K$5:$K$2500,0))="","",INDEX(Pledges!$B$5:$B$2500,MATCH($G920,Pledges!$K$5:$K$2500,0)))),"⚠ phone not in Pledges"))</f>
      </c>
      <c r="C920" s="12"/>
      <c r="D920" s="13"/>
      <c r="E920" s="22"/>
      <c r="F920" s="23"/>
      <c r="G920">
        <f>IF($A920="","","#"&amp;TRIM(SUBSTITUTE(SUBSTITUTE(SUBSTITUTE(SUBSTITUTE(SUBSTITUTE(SUBSTITUTE($A920,"-",""),"(",""),")",""),".",""),"+","")," ","")))</f>
      </c>
    </row>
    <row r="921" spans="1:7" x14ac:dyDescent="0.3">
      <c r="A921" s="11"/>
      <c r="B921" s="38">
        <f>IF($A921="","",IFERROR(IF(INDEX(Pledges!$D$5:$D$2500,MATCH($G921,Pledges!$K$5:$K$2500,0))="","⚠ no amount on Pledges",IF(INDEX(Pledges!$B$5:$B$2500,MATCH($G921,Pledges!$K$5:$K$2500,0))="","",INDEX(Pledges!$B$5:$B$2500,MATCH($G921,Pledges!$K$5:$K$2500,0)))),"⚠ phone not in Pledges"))</f>
      </c>
      <c r="C921" s="12"/>
      <c r="D921" s="13"/>
      <c r="E921" s="22"/>
      <c r="F921" s="23"/>
      <c r="G921">
        <f>IF($A921="","","#"&amp;TRIM(SUBSTITUTE(SUBSTITUTE(SUBSTITUTE(SUBSTITUTE(SUBSTITUTE(SUBSTITUTE($A921,"-",""),"(",""),")",""),".",""),"+","")," ","")))</f>
      </c>
    </row>
    <row r="922" spans="1:7" x14ac:dyDescent="0.3">
      <c r="A922" s="11"/>
      <c r="B922" s="38">
        <f>IF($A922="","",IFERROR(IF(INDEX(Pledges!$D$5:$D$2500,MATCH($G922,Pledges!$K$5:$K$2500,0))="","⚠ no amount on Pledges",IF(INDEX(Pledges!$B$5:$B$2500,MATCH($G922,Pledges!$K$5:$K$2500,0))="","",INDEX(Pledges!$B$5:$B$2500,MATCH($G922,Pledges!$K$5:$K$2500,0)))),"⚠ phone not in Pledges"))</f>
      </c>
      <c r="C922" s="12"/>
      <c r="D922" s="13"/>
      <c r="E922" s="22"/>
      <c r="F922" s="23"/>
      <c r="G922">
        <f>IF($A922="","","#"&amp;TRIM(SUBSTITUTE(SUBSTITUTE(SUBSTITUTE(SUBSTITUTE(SUBSTITUTE(SUBSTITUTE($A922,"-",""),"(",""),")",""),".",""),"+","")," ","")))</f>
      </c>
    </row>
    <row r="923" spans="1:7" x14ac:dyDescent="0.3">
      <c r="A923" s="11"/>
      <c r="B923" s="38">
        <f>IF($A923="","",IFERROR(IF(INDEX(Pledges!$D$5:$D$2500,MATCH($G923,Pledges!$K$5:$K$2500,0))="","⚠ no amount on Pledges",IF(INDEX(Pledges!$B$5:$B$2500,MATCH($G923,Pledges!$K$5:$K$2500,0))="","",INDEX(Pledges!$B$5:$B$2500,MATCH($G923,Pledges!$K$5:$K$2500,0)))),"⚠ phone not in Pledges"))</f>
      </c>
      <c r="C923" s="12"/>
      <c r="D923" s="13"/>
      <c r="E923" s="22"/>
      <c r="F923" s="23"/>
      <c r="G923">
        <f>IF($A923="","","#"&amp;TRIM(SUBSTITUTE(SUBSTITUTE(SUBSTITUTE(SUBSTITUTE(SUBSTITUTE(SUBSTITUTE($A923,"-",""),"(",""),")",""),".",""),"+","")," ","")))</f>
      </c>
    </row>
    <row r="924" spans="1:7" x14ac:dyDescent="0.3">
      <c r="A924" s="11"/>
      <c r="B924" s="38">
        <f>IF($A924="","",IFERROR(IF(INDEX(Pledges!$D$5:$D$2500,MATCH($G924,Pledges!$K$5:$K$2500,0))="","⚠ no amount on Pledges",IF(INDEX(Pledges!$B$5:$B$2500,MATCH($G924,Pledges!$K$5:$K$2500,0))="","",INDEX(Pledges!$B$5:$B$2500,MATCH($G924,Pledges!$K$5:$K$2500,0)))),"⚠ phone not in Pledges"))</f>
      </c>
      <c r="C924" s="12"/>
      <c r="D924" s="13"/>
      <c r="E924" s="22"/>
      <c r="F924" s="23"/>
      <c r="G924">
        <f>IF($A924="","","#"&amp;TRIM(SUBSTITUTE(SUBSTITUTE(SUBSTITUTE(SUBSTITUTE(SUBSTITUTE(SUBSTITUTE($A924,"-",""),"(",""),")",""),".",""),"+","")," ","")))</f>
      </c>
    </row>
    <row r="925" spans="1:7" x14ac:dyDescent="0.3">
      <c r="A925" s="11"/>
      <c r="B925" s="38">
        <f>IF($A925="","",IFERROR(IF(INDEX(Pledges!$D$5:$D$2500,MATCH($G925,Pledges!$K$5:$K$2500,0))="","⚠ no amount on Pledges",IF(INDEX(Pledges!$B$5:$B$2500,MATCH($G925,Pledges!$K$5:$K$2500,0))="","",INDEX(Pledges!$B$5:$B$2500,MATCH($G925,Pledges!$K$5:$K$2500,0)))),"⚠ phone not in Pledges"))</f>
      </c>
      <c r="C925" s="12"/>
      <c r="D925" s="13"/>
      <c r="E925" s="22"/>
      <c r="F925" s="23"/>
      <c r="G925">
        <f>IF($A925="","","#"&amp;TRIM(SUBSTITUTE(SUBSTITUTE(SUBSTITUTE(SUBSTITUTE(SUBSTITUTE(SUBSTITUTE($A925,"-",""),"(",""),")",""),".",""),"+","")," ","")))</f>
      </c>
    </row>
    <row r="926" spans="1:7" x14ac:dyDescent="0.3">
      <c r="A926" s="11"/>
      <c r="B926" s="38">
        <f>IF($A926="","",IFERROR(IF(INDEX(Pledges!$D$5:$D$2500,MATCH($G926,Pledges!$K$5:$K$2500,0))="","⚠ no amount on Pledges",IF(INDEX(Pledges!$B$5:$B$2500,MATCH($G926,Pledges!$K$5:$K$2500,0))="","",INDEX(Pledges!$B$5:$B$2500,MATCH($G926,Pledges!$K$5:$K$2500,0)))),"⚠ phone not in Pledges"))</f>
      </c>
      <c r="C926" s="12"/>
      <c r="D926" s="13"/>
      <c r="E926" s="22"/>
      <c r="F926" s="23"/>
      <c r="G926">
        <f>IF($A926="","","#"&amp;TRIM(SUBSTITUTE(SUBSTITUTE(SUBSTITUTE(SUBSTITUTE(SUBSTITUTE(SUBSTITUTE($A926,"-",""),"(",""),")",""),".",""),"+","")," ","")))</f>
      </c>
    </row>
    <row r="927" spans="1:7" x14ac:dyDescent="0.3">
      <c r="A927" s="11"/>
      <c r="B927" s="38">
        <f>IF($A927="","",IFERROR(IF(INDEX(Pledges!$D$5:$D$2500,MATCH($G927,Pledges!$K$5:$K$2500,0))="","⚠ no amount on Pledges",IF(INDEX(Pledges!$B$5:$B$2500,MATCH($G927,Pledges!$K$5:$K$2500,0))="","",INDEX(Pledges!$B$5:$B$2500,MATCH($G927,Pledges!$K$5:$K$2500,0)))),"⚠ phone not in Pledges"))</f>
      </c>
      <c r="C927" s="12"/>
      <c r="D927" s="13"/>
      <c r="E927" s="22"/>
      <c r="F927" s="23"/>
      <c r="G927">
        <f>IF($A927="","","#"&amp;TRIM(SUBSTITUTE(SUBSTITUTE(SUBSTITUTE(SUBSTITUTE(SUBSTITUTE(SUBSTITUTE($A927,"-",""),"(",""),")",""),".",""),"+","")," ","")))</f>
      </c>
    </row>
    <row r="928" spans="1:7" x14ac:dyDescent="0.3">
      <c r="A928" s="11"/>
      <c r="B928" s="38">
        <f>IF($A928="","",IFERROR(IF(INDEX(Pledges!$D$5:$D$2500,MATCH($G928,Pledges!$K$5:$K$2500,0))="","⚠ no amount on Pledges",IF(INDEX(Pledges!$B$5:$B$2500,MATCH($G928,Pledges!$K$5:$K$2500,0))="","",INDEX(Pledges!$B$5:$B$2500,MATCH($G928,Pledges!$K$5:$K$2500,0)))),"⚠ phone not in Pledges"))</f>
      </c>
      <c r="C928" s="12"/>
      <c r="D928" s="13"/>
      <c r="E928" s="22"/>
      <c r="F928" s="23"/>
      <c r="G928">
        <f>IF($A928="","","#"&amp;TRIM(SUBSTITUTE(SUBSTITUTE(SUBSTITUTE(SUBSTITUTE(SUBSTITUTE(SUBSTITUTE($A928,"-",""),"(",""),")",""),".",""),"+","")," ","")))</f>
      </c>
    </row>
    <row r="929" spans="1:7" x14ac:dyDescent="0.3">
      <c r="A929" s="11"/>
      <c r="B929" s="38">
        <f>IF($A929="","",IFERROR(IF(INDEX(Pledges!$D$5:$D$2500,MATCH($G929,Pledges!$K$5:$K$2500,0))="","⚠ no amount on Pledges",IF(INDEX(Pledges!$B$5:$B$2500,MATCH($G929,Pledges!$K$5:$K$2500,0))="","",INDEX(Pledges!$B$5:$B$2500,MATCH($G929,Pledges!$K$5:$K$2500,0)))),"⚠ phone not in Pledges"))</f>
      </c>
      <c r="C929" s="12"/>
      <c r="D929" s="13"/>
      <c r="E929" s="22"/>
      <c r="F929" s="23"/>
      <c r="G929">
        <f>IF($A929="","","#"&amp;TRIM(SUBSTITUTE(SUBSTITUTE(SUBSTITUTE(SUBSTITUTE(SUBSTITUTE(SUBSTITUTE($A929,"-",""),"(",""),")",""),".",""),"+","")," ","")))</f>
      </c>
    </row>
    <row r="930" spans="1:7" x14ac:dyDescent="0.3">
      <c r="A930" s="11"/>
      <c r="B930" s="38">
        <f>IF($A930="","",IFERROR(IF(INDEX(Pledges!$D$5:$D$2500,MATCH($G930,Pledges!$K$5:$K$2500,0))="","⚠ no amount on Pledges",IF(INDEX(Pledges!$B$5:$B$2500,MATCH($G930,Pledges!$K$5:$K$2500,0))="","",INDEX(Pledges!$B$5:$B$2500,MATCH($G930,Pledges!$K$5:$K$2500,0)))),"⚠ phone not in Pledges"))</f>
      </c>
      <c r="C930" s="12"/>
      <c r="D930" s="13"/>
      <c r="E930" s="22"/>
      <c r="F930" s="23"/>
      <c r="G930">
        <f>IF($A930="","","#"&amp;TRIM(SUBSTITUTE(SUBSTITUTE(SUBSTITUTE(SUBSTITUTE(SUBSTITUTE(SUBSTITUTE($A930,"-",""),"(",""),")",""),".",""),"+","")," ","")))</f>
      </c>
    </row>
    <row r="931" spans="1:7" x14ac:dyDescent="0.3">
      <c r="A931" s="11"/>
      <c r="B931" s="38">
        <f>IF($A931="","",IFERROR(IF(INDEX(Pledges!$D$5:$D$2500,MATCH($G931,Pledges!$K$5:$K$2500,0))="","⚠ no amount on Pledges",IF(INDEX(Pledges!$B$5:$B$2500,MATCH($G931,Pledges!$K$5:$K$2500,0))="","",INDEX(Pledges!$B$5:$B$2500,MATCH($G931,Pledges!$K$5:$K$2500,0)))),"⚠ phone not in Pledges"))</f>
      </c>
      <c r="C931" s="12"/>
      <c r="D931" s="13"/>
      <c r="E931" s="22"/>
      <c r="F931" s="23"/>
      <c r="G931">
        <f>IF($A931="","","#"&amp;TRIM(SUBSTITUTE(SUBSTITUTE(SUBSTITUTE(SUBSTITUTE(SUBSTITUTE(SUBSTITUTE($A931,"-",""),"(",""),")",""),".",""),"+","")," ","")))</f>
      </c>
    </row>
    <row r="932" spans="1:7" x14ac:dyDescent="0.3">
      <c r="A932" s="11"/>
      <c r="B932" s="38">
        <f>IF($A932="","",IFERROR(IF(INDEX(Pledges!$D$5:$D$2500,MATCH($G932,Pledges!$K$5:$K$2500,0))="","⚠ no amount on Pledges",IF(INDEX(Pledges!$B$5:$B$2500,MATCH($G932,Pledges!$K$5:$K$2500,0))="","",INDEX(Pledges!$B$5:$B$2500,MATCH($G932,Pledges!$K$5:$K$2500,0)))),"⚠ phone not in Pledges"))</f>
      </c>
      <c r="C932" s="12"/>
      <c r="D932" s="13"/>
      <c r="E932" s="22"/>
      <c r="F932" s="23"/>
      <c r="G932">
        <f>IF($A932="","","#"&amp;TRIM(SUBSTITUTE(SUBSTITUTE(SUBSTITUTE(SUBSTITUTE(SUBSTITUTE(SUBSTITUTE($A932,"-",""),"(",""),")",""),".",""),"+","")," ","")))</f>
      </c>
    </row>
    <row r="933" spans="1:7" x14ac:dyDescent="0.3">
      <c r="A933" s="11"/>
      <c r="B933" s="38">
        <f>IF($A933="","",IFERROR(IF(INDEX(Pledges!$D$5:$D$2500,MATCH($G933,Pledges!$K$5:$K$2500,0))="","⚠ no amount on Pledges",IF(INDEX(Pledges!$B$5:$B$2500,MATCH($G933,Pledges!$K$5:$K$2500,0))="","",INDEX(Pledges!$B$5:$B$2500,MATCH($G933,Pledges!$K$5:$K$2500,0)))),"⚠ phone not in Pledges"))</f>
      </c>
      <c r="C933" s="12"/>
      <c r="D933" s="13"/>
      <c r="E933" s="22"/>
      <c r="F933" s="23"/>
      <c r="G933">
        <f>IF($A933="","","#"&amp;TRIM(SUBSTITUTE(SUBSTITUTE(SUBSTITUTE(SUBSTITUTE(SUBSTITUTE(SUBSTITUTE($A933,"-",""),"(",""),")",""),".",""),"+","")," ","")))</f>
      </c>
    </row>
    <row r="934" spans="1:7" x14ac:dyDescent="0.3">
      <c r="A934" s="11"/>
      <c r="B934" s="38">
        <f>IF($A934="","",IFERROR(IF(INDEX(Pledges!$D$5:$D$2500,MATCH($G934,Pledges!$K$5:$K$2500,0))="","⚠ no amount on Pledges",IF(INDEX(Pledges!$B$5:$B$2500,MATCH($G934,Pledges!$K$5:$K$2500,0))="","",INDEX(Pledges!$B$5:$B$2500,MATCH($G934,Pledges!$K$5:$K$2500,0)))),"⚠ phone not in Pledges"))</f>
      </c>
      <c r="C934" s="12"/>
      <c r="D934" s="13"/>
      <c r="E934" s="22"/>
      <c r="F934" s="23"/>
      <c r="G934">
        <f>IF($A934="","","#"&amp;TRIM(SUBSTITUTE(SUBSTITUTE(SUBSTITUTE(SUBSTITUTE(SUBSTITUTE(SUBSTITUTE($A934,"-",""),"(",""),")",""),".",""),"+","")," ","")))</f>
      </c>
    </row>
    <row r="935" spans="1:7" x14ac:dyDescent="0.3">
      <c r="A935" s="11"/>
      <c r="B935" s="38">
        <f>IF($A935="","",IFERROR(IF(INDEX(Pledges!$D$5:$D$2500,MATCH($G935,Pledges!$K$5:$K$2500,0))="","⚠ no amount on Pledges",IF(INDEX(Pledges!$B$5:$B$2500,MATCH($G935,Pledges!$K$5:$K$2500,0))="","",INDEX(Pledges!$B$5:$B$2500,MATCH($G935,Pledges!$K$5:$K$2500,0)))),"⚠ phone not in Pledges"))</f>
      </c>
      <c r="C935" s="12"/>
      <c r="D935" s="13"/>
      <c r="E935" s="22"/>
      <c r="F935" s="23"/>
      <c r="G935">
        <f>IF($A935="","","#"&amp;TRIM(SUBSTITUTE(SUBSTITUTE(SUBSTITUTE(SUBSTITUTE(SUBSTITUTE(SUBSTITUTE($A935,"-",""),"(",""),")",""),".",""),"+","")," ","")))</f>
      </c>
    </row>
    <row r="936" spans="1:7" x14ac:dyDescent="0.3">
      <c r="A936" s="11"/>
      <c r="B936" s="38">
        <f>IF($A936="","",IFERROR(IF(INDEX(Pledges!$D$5:$D$2500,MATCH($G936,Pledges!$K$5:$K$2500,0))="","⚠ no amount on Pledges",IF(INDEX(Pledges!$B$5:$B$2500,MATCH($G936,Pledges!$K$5:$K$2500,0))="","",INDEX(Pledges!$B$5:$B$2500,MATCH($G936,Pledges!$K$5:$K$2500,0)))),"⚠ phone not in Pledges"))</f>
      </c>
      <c r="C936" s="12"/>
      <c r="D936" s="13"/>
      <c r="E936" s="22"/>
      <c r="F936" s="23"/>
      <c r="G936">
        <f>IF($A936="","","#"&amp;TRIM(SUBSTITUTE(SUBSTITUTE(SUBSTITUTE(SUBSTITUTE(SUBSTITUTE(SUBSTITUTE($A936,"-",""),"(",""),")",""),".",""),"+","")," ","")))</f>
      </c>
    </row>
    <row r="937" spans="1:7" x14ac:dyDescent="0.3">
      <c r="A937" s="11"/>
      <c r="B937" s="38">
        <f>IF($A937="","",IFERROR(IF(INDEX(Pledges!$D$5:$D$2500,MATCH($G937,Pledges!$K$5:$K$2500,0))="","⚠ no amount on Pledges",IF(INDEX(Pledges!$B$5:$B$2500,MATCH($G937,Pledges!$K$5:$K$2500,0))="","",INDEX(Pledges!$B$5:$B$2500,MATCH($G937,Pledges!$K$5:$K$2500,0)))),"⚠ phone not in Pledges"))</f>
      </c>
      <c r="C937" s="12"/>
      <c r="D937" s="13"/>
      <c r="E937" s="22"/>
      <c r="F937" s="23"/>
      <c r="G937">
        <f>IF($A937="","","#"&amp;TRIM(SUBSTITUTE(SUBSTITUTE(SUBSTITUTE(SUBSTITUTE(SUBSTITUTE(SUBSTITUTE($A937,"-",""),"(",""),")",""),".",""),"+","")," ","")))</f>
      </c>
    </row>
    <row r="938" spans="1:7" x14ac:dyDescent="0.3">
      <c r="A938" s="11"/>
      <c r="B938" s="38">
        <f>IF($A938="","",IFERROR(IF(INDEX(Pledges!$D$5:$D$2500,MATCH($G938,Pledges!$K$5:$K$2500,0))="","⚠ no amount on Pledges",IF(INDEX(Pledges!$B$5:$B$2500,MATCH($G938,Pledges!$K$5:$K$2500,0))="","",INDEX(Pledges!$B$5:$B$2500,MATCH($G938,Pledges!$K$5:$K$2500,0)))),"⚠ phone not in Pledges"))</f>
      </c>
      <c r="C938" s="12"/>
      <c r="D938" s="13"/>
      <c r="E938" s="22"/>
      <c r="F938" s="23"/>
      <c r="G938">
        <f>IF($A938="","","#"&amp;TRIM(SUBSTITUTE(SUBSTITUTE(SUBSTITUTE(SUBSTITUTE(SUBSTITUTE(SUBSTITUTE($A938,"-",""),"(",""),")",""),".",""),"+","")," ","")))</f>
      </c>
    </row>
    <row r="939" spans="1:7" x14ac:dyDescent="0.3">
      <c r="A939" s="11"/>
      <c r="B939" s="38">
        <f>IF($A939="","",IFERROR(IF(INDEX(Pledges!$D$5:$D$2500,MATCH($G939,Pledges!$K$5:$K$2500,0))="","⚠ no amount on Pledges",IF(INDEX(Pledges!$B$5:$B$2500,MATCH($G939,Pledges!$K$5:$K$2500,0))="","",INDEX(Pledges!$B$5:$B$2500,MATCH($G939,Pledges!$K$5:$K$2500,0)))),"⚠ phone not in Pledges"))</f>
      </c>
      <c r="C939" s="12"/>
      <c r="D939" s="13"/>
      <c r="E939" s="22"/>
      <c r="F939" s="23"/>
      <c r="G939">
        <f>IF($A939="","","#"&amp;TRIM(SUBSTITUTE(SUBSTITUTE(SUBSTITUTE(SUBSTITUTE(SUBSTITUTE(SUBSTITUTE($A939,"-",""),"(",""),")",""),".",""),"+","")," ","")))</f>
      </c>
    </row>
    <row r="940" spans="1:7" x14ac:dyDescent="0.3">
      <c r="A940" s="11"/>
      <c r="B940" s="38">
        <f>IF($A940="","",IFERROR(IF(INDEX(Pledges!$D$5:$D$2500,MATCH($G940,Pledges!$K$5:$K$2500,0))="","⚠ no amount on Pledges",IF(INDEX(Pledges!$B$5:$B$2500,MATCH($G940,Pledges!$K$5:$K$2500,0))="","",INDEX(Pledges!$B$5:$B$2500,MATCH($G940,Pledges!$K$5:$K$2500,0)))),"⚠ phone not in Pledges"))</f>
      </c>
      <c r="C940" s="12"/>
      <c r="D940" s="13"/>
      <c r="E940" s="22"/>
      <c r="F940" s="23"/>
      <c r="G940">
        <f>IF($A940="","","#"&amp;TRIM(SUBSTITUTE(SUBSTITUTE(SUBSTITUTE(SUBSTITUTE(SUBSTITUTE(SUBSTITUTE($A940,"-",""),"(",""),")",""),".",""),"+","")," ","")))</f>
      </c>
    </row>
    <row r="941" spans="1:7" x14ac:dyDescent="0.3">
      <c r="A941" s="11"/>
      <c r="B941" s="38">
        <f>IF($A941="","",IFERROR(IF(INDEX(Pledges!$D$5:$D$2500,MATCH($G941,Pledges!$K$5:$K$2500,0))="","⚠ no amount on Pledges",IF(INDEX(Pledges!$B$5:$B$2500,MATCH($G941,Pledges!$K$5:$K$2500,0))="","",INDEX(Pledges!$B$5:$B$2500,MATCH($G941,Pledges!$K$5:$K$2500,0)))),"⚠ phone not in Pledges"))</f>
      </c>
      <c r="C941" s="12"/>
      <c r="D941" s="13"/>
      <c r="E941" s="22"/>
      <c r="F941" s="23"/>
      <c r="G941">
        <f>IF($A941="","","#"&amp;TRIM(SUBSTITUTE(SUBSTITUTE(SUBSTITUTE(SUBSTITUTE(SUBSTITUTE(SUBSTITUTE($A941,"-",""),"(",""),")",""),".",""),"+","")," ","")))</f>
      </c>
    </row>
    <row r="942" spans="1:7" x14ac:dyDescent="0.3">
      <c r="A942" s="11"/>
      <c r="B942" s="38">
        <f>IF($A942="","",IFERROR(IF(INDEX(Pledges!$D$5:$D$2500,MATCH($G942,Pledges!$K$5:$K$2500,0))="","⚠ no amount on Pledges",IF(INDEX(Pledges!$B$5:$B$2500,MATCH($G942,Pledges!$K$5:$K$2500,0))="","",INDEX(Pledges!$B$5:$B$2500,MATCH($G942,Pledges!$K$5:$K$2500,0)))),"⚠ phone not in Pledges"))</f>
      </c>
      <c r="C942" s="12"/>
      <c r="D942" s="13"/>
      <c r="E942" s="22"/>
      <c r="F942" s="23"/>
      <c r="G942">
        <f>IF($A942="","","#"&amp;TRIM(SUBSTITUTE(SUBSTITUTE(SUBSTITUTE(SUBSTITUTE(SUBSTITUTE(SUBSTITUTE($A942,"-",""),"(",""),")",""),".",""),"+","")," ","")))</f>
      </c>
    </row>
    <row r="943" spans="1:7" x14ac:dyDescent="0.3">
      <c r="A943" s="11"/>
      <c r="B943" s="38">
        <f>IF($A943="","",IFERROR(IF(INDEX(Pledges!$D$5:$D$2500,MATCH($G943,Pledges!$K$5:$K$2500,0))="","⚠ no amount on Pledges",IF(INDEX(Pledges!$B$5:$B$2500,MATCH($G943,Pledges!$K$5:$K$2500,0))="","",INDEX(Pledges!$B$5:$B$2500,MATCH($G943,Pledges!$K$5:$K$2500,0)))),"⚠ phone not in Pledges"))</f>
      </c>
      <c r="C943" s="12"/>
      <c r="D943" s="13"/>
      <c r="E943" s="22"/>
      <c r="F943" s="23"/>
      <c r="G943">
        <f>IF($A943="","","#"&amp;TRIM(SUBSTITUTE(SUBSTITUTE(SUBSTITUTE(SUBSTITUTE(SUBSTITUTE(SUBSTITUTE($A943,"-",""),"(",""),")",""),".",""),"+","")," ","")))</f>
      </c>
    </row>
    <row r="944" spans="1:7" x14ac:dyDescent="0.3">
      <c r="A944" s="11"/>
      <c r="B944" s="38">
        <f>IF($A944="","",IFERROR(IF(INDEX(Pledges!$D$5:$D$2500,MATCH($G944,Pledges!$K$5:$K$2500,0))="","⚠ no amount on Pledges",IF(INDEX(Pledges!$B$5:$B$2500,MATCH($G944,Pledges!$K$5:$K$2500,0))="","",INDEX(Pledges!$B$5:$B$2500,MATCH($G944,Pledges!$K$5:$K$2500,0)))),"⚠ phone not in Pledges"))</f>
      </c>
      <c r="C944" s="12"/>
      <c r="D944" s="13"/>
      <c r="E944" s="22"/>
      <c r="F944" s="23"/>
      <c r="G944">
        <f>IF($A944="","","#"&amp;TRIM(SUBSTITUTE(SUBSTITUTE(SUBSTITUTE(SUBSTITUTE(SUBSTITUTE(SUBSTITUTE($A944,"-",""),"(",""),")",""),".",""),"+","")," ","")))</f>
      </c>
    </row>
    <row r="945" spans="1:7" x14ac:dyDescent="0.3">
      <c r="A945" s="11"/>
      <c r="B945" s="38">
        <f>IF($A945="","",IFERROR(IF(INDEX(Pledges!$D$5:$D$2500,MATCH($G945,Pledges!$K$5:$K$2500,0))="","⚠ no amount on Pledges",IF(INDEX(Pledges!$B$5:$B$2500,MATCH($G945,Pledges!$K$5:$K$2500,0))="","",INDEX(Pledges!$B$5:$B$2500,MATCH($G945,Pledges!$K$5:$K$2500,0)))),"⚠ phone not in Pledges"))</f>
      </c>
      <c r="C945" s="12"/>
      <c r="D945" s="13"/>
      <c r="E945" s="22"/>
      <c r="F945" s="23"/>
      <c r="G945">
        <f>IF($A945="","","#"&amp;TRIM(SUBSTITUTE(SUBSTITUTE(SUBSTITUTE(SUBSTITUTE(SUBSTITUTE(SUBSTITUTE($A945,"-",""),"(",""),")",""),".",""),"+","")," ","")))</f>
      </c>
    </row>
    <row r="946" spans="1:7" x14ac:dyDescent="0.3">
      <c r="A946" s="11"/>
      <c r="B946" s="38">
        <f>IF($A946="","",IFERROR(IF(INDEX(Pledges!$D$5:$D$2500,MATCH($G946,Pledges!$K$5:$K$2500,0))="","⚠ no amount on Pledges",IF(INDEX(Pledges!$B$5:$B$2500,MATCH($G946,Pledges!$K$5:$K$2500,0))="","",INDEX(Pledges!$B$5:$B$2500,MATCH($G946,Pledges!$K$5:$K$2500,0)))),"⚠ phone not in Pledges"))</f>
      </c>
      <c r="C946" s="12"/>
      <c r="D946" s="13"/>
      <c r="E946" s="22"/>
      <c r="F946" s="23"/>
      <c r="G946">
        <f>IF($A946="","","#"&amp;TRIM(SUBSTITUTE(SUBSTITUTE(SUBSTITUTE(SUBSTITUTE(SUBSTITUTE(SUBSTITUTE($A946,"-",""),"(",""),")",""),".",""),"+","")," ","")))</f>
      </c>
    </row>
    <row r="947" spans="1:7" x14ac:dyDescent="0.3">
      <c r="A947" s="11"/>
      <c r="B947" s="38">
        <f>IF($A947="","",IFERROR(IF(INDEX(Pledges!$D$5:$D$2500,MATCH($G947,Pledges!$K$5:$K$2500,0))="","⚠ no amount on Pledges",IF(INDEX(Pledges!$B$5:$B$2500,MATCH($G947,Pledges!$K$5:$K$2500,0))="","",INDEX(Pledges!$B$5:$B$2500,MATCH($G947,Pledges!$K$5:$K$2500,0)))),"⚠ phone not in Pledges"))</f>
      </c>
      <c r="C947" s="12"/>
      <c r="D947" s="13"/>
      <c r="E947" s="22"/>
      <c r="F947" s="23"/>
      <c r="G947">
        <f>IF($A947="","","#"&amp;TRIM(SUBSTITUTE(SUBSTITUTE(SUBSTITUTE(SUBSTITUTE(SUBSTITUTE(SUBSTITUTE($A947,"-",""),"(",""),")",""),".",""),"+","")," ","")))</f>
      </c>
    </row>
    <row r="948" spans="1:7" x14ac:dyDescent="0.3">
      <c r="A948" s="11"/>
      <c r="B948" s="38">
        <f>IF($A948="","",IFERROR(IF(INDEX(Pledges!$D$5:$D$2500,MATCH($G948,Pledges!$K$5:$K$2500,0))="","⚠ no amount on Pledges",IF(INDEX(Pledges!$B$5:$B$2500,MATCH($G948,Pledges!$K$5:$K$2500,0))="","",INDEX(Pledges!$B$5:$B$2500,MATCH($G948,Pledges!$K$5:$K$2500,0)))),"⚠ phone not in Pledges"))</f>
      </c>
      <c r="C948" s="12"/>
      <c r="D948" s="13"/>
      <c r="E948" s="22"/>
      <c r="F948" s="23"/>
      <c r="G948">
        <f>IF($A948="","","#"&amp;TRIM(SUBSTITUTE(SUBSTITUTE(SUBSTITUTE(SUBSTITUTE(SUBSTITUTE(SUBSTITUTE($A948,"-",""),"(",""),")",""),".",""),"+","")," ","")))</f>
      </c>
    </row>
    <row r="949" spans="1:7" x14ac:dyDescent="0.3">
      <c r="A949" s="11"/>
      <c r="B949" s="38">
        <f>IF($A949="","",IFERROR(IF(INDEX(Pledges!$D$5:$D$2500,MATCH($G949,Pledges!$K$5:$K$2500,0))="","⚠ no amount on Pledges",IF(INDEX(Pledges!$B$5:$B$2500,MATCH($G949,Pledges!$K$5:$K$2500,0))="","",INDEX(Pledges!$B$5:$B$2500,MATCH($G949,Pledges!$K$5:$K$2500,0)))),"⚠ phone not in Pledges"))</f>
      </c>
      <c r="C949" s="12"/>
      <c r="D949" s="13"/>
      <c r="E949" s="22"/>
      <c r="F949" s="23"/>
      <c r="G949">
        <f>IF($A949="","","#"&amp;TRIM(SUBSTITUTE(SUBSTITUTE(SUBSTITUTE(SUBSTITUTE(SUBSTITUTE(SUBSTITUTE($A949,"-",""),"(",""),")",""),".",""),"+","")," ","")))</f>
      </c>
    </row>
    <row r="950" spans="1:7" x14ac:dyDescent="0.3">
      <c r="A950" s="11"/>
      <c r="B950" s="38">
        <f>IF($A950="","",IFERROR(IF(INDEX(Pledges!$D$5:$D$2500,MATCH($G950,Pledges!$K$5:$K$2500,0))="","⚠ no amount on Pledges",IF(INDEX(Pledges!$B$5:$B$2500,MATCH($G950,Pledges!$K$5:$K$2500,0))="","",INDEX(Pledges!$B$5:$B$2500,MATCH($G950,Pledges!$K$5:$K$2500,0)))),"⚠ phone not in Pledges"))</f>
      </c>
      <c r="C950" s="12"/>
      <c r="D950" s="13"/>
      <c r="E950" s="22"/>
      <c r="F950" s="23"/>
      <c r="G950">
        <f>IF($A950="","","#"&amp;TRIM(SUBSTITUTE(SUBSTITUTE(SUBSTITUTE(SUBSTITUTE(SUBSTITUTE(SUBSTITUTE($A950,"-",""),"(",""),")",""),".",""),"+","")," ","")))</f>
      </c>
    </row>
    <row r="951" spans="1:7" x14ac:dyDescent="0.3">
      <c r="A951" s="11"/>
      <c r="B951" s="38">
        <f>IF($A951="","",IFERROR(IF(INDEX(Pledges!$D$5:$D$2500,MATCH($G951,Pledges!$K$5:$K$2500,0))="","⚠ no amount on Pledges",IF(INDEX(Pledges!$B$5:$B$2500,MATCH($G951,Pledges!$K$5:$K$2500,0))="","",INDEX(Pledges!$B$5:$B$2500,MATCH($G951,Pledges!$K$5:$K$2500,0)))),"⚠ phone not in Pledges"))</f>
      </c>
      <c r="C951" s="12"/>
      <c r="D951" s="13"/>
      <c r="E951" s="22"/>
      <c r="F951" s="23"/>
      <c r="G951">
        <f>IF($A951="","","#"&amp;TRIM(SUBSTITUTE(SUBSTITUTE(SUBSTITUTE(SUBSTITUTE(SUBSTITUTE(SUBSTITUTE($A951,"-",""),"(",""),")",""),".",""),"+","")," ","")))</f>
      </c>
    </row>
    <row r="952" spans="1:7" x14ac:dyDescent="0.3">
      <c r="A952" s="11"/>
      <c r="B952" s="38">
        <f>IF($A952="","",IFERROR(IF(INDEX(Pledges!$D$5:$D$2500,MATCH($G952,Pledges!$K$5:$K$2500,0))="","⚠ no amount on Pledges",IF(INDEX(Pledges!$B$5:$B$2500,MATCH($G952,Pledges!$K$5:$K$2500,0))="","",INDEX(Pledges!$B$5:$B$2500,MATCH($G952,Pledges!$K$5:$K$2500,0)))),"⚠ phone not in Pledges"))</f>
      </c>
      <c r="C952" s="12"/>
      <c r="D952" s="13"/>
      <c r="E952" s="22"/>
      <c r="F952" s="23"/>
      <c r="G952">
        <f>IF($A952="","","#"&amp;TRIM(SUBSTITUTE(SUBSTITUTE(SUBSTITUTE(SUBSTITUTE(SUBSTITUTE(SUBSTITUTE($A952,"-",""),"(",""),")",""),".",""),"+","")," ","")))</f>
      </c>
    </row>
    <row r="953" spans="1:7" x14ac:dyDescent="0.3">
      <c r="A953" s="11"/>
      <c r="B953" s="38">
        <f>IF($A953="","",IFERROR(IF(INDEX(Pledges!$D$5:$D$2500,MATCH($G953,Pledges!$K$5:$K$2500,0))="","⚠ no amount on Pledges",IF(INDEX(Pledges!$B$5:$B$2500,MATCH($G953,Pledges!$K$5:$K$2500,0))="","",INDEX(Pledges!$B$5:$B$2500,MATCH($G953,Pledges!$K$5:$K$2500,0)))),"⚠ phone not in Pledges"))</f>
      </c>
      <c r="C953" s="12"/>
      <c r="D953" s="13"/>
      <c r="E953" s="22"/>
      <c r="F953" s="23"/>
      <c r="G953">
        <f>IF($A953="","","#"&amp;TRIM(SUBSTITUTE(SUBSTITUTE(SUBSTITUTE(SUBSTITUTE(SUBSTITUTE(SUBSTITUTE($A953,"-",""),"(",""),")",""),".",""),"+","")," ","")))</f>
      </c>
    </row>
    <row r="954" spans="1:7" x14ac:dyDescent="0.3">
      <c r="A954" s="11"/>
      <c r="B954" s="38">
        <f>IF($A954="","",IFERROR(IF(INDEX(Pledges!$D$5:$D$2500,MATCH($G954,Pledges!$K$5:$K$2500,0))="","⚠ no amount on Pledges",IF(INDEX(Pledges!$B$5:$B$2500,MATCH($G954,Pledges!$K$5:$K$2500,0))="","",INDEX(Pledges!$B$5:$B$2500,MATCH($G954,Pledges!$K$5:$K$2500,0)))),"⚠ phone not in Pledges"))</f>
      </c>
      <c r="C954" s="12"/>
      <c r="D954" s="13"/>
      <c r="E954" s="22"/>
      <c r="F954" s="23"/>
      <c r="G954">
        <f>IF($A954="","","#"&amp;TRIM(SUBSTITUTE(SUBSTITUTE(SUBSTITUTE(SUBSTITUTE(SUBSTITUTE(SUBSTITUTE($A954,"-",""),"(",""),")",""),".",""),"+","")," ","")))</f>
      </c>
    </row>
    <row r="955" spans="1:7" x14ac:dyDescent="0.3">
      <c r="A955" s="11"/>
      <c r="B955" s="38">
        <f>IF($A955="","",IFERROR(IF(INDEX(Pledges!$D$5:$D$2500,MATCH($G955,Pledges!$K$5:$K$2500,0))="","⚠ no amount on Pledges",IF(INDEX(Pledges!$B$5:$B$2500,MATCH($G955,Pledges!$K$5:$K$2500,0))="","",INDEX(Pledges!$B$5:$B$2500,MATCH($G955,Pledges!$K$5:$K$2500,0)))),"⚠ phone not in Pledges"))</f>
      </c>
      <c r="C955" s="12"/>
      <c r="D955" s="13"/>
      <c r="E955" s="22"/>
      <c r="F955" s="23"/>
      <c r="G955">
        <f>IF($A955="","","#"&amp;TRIM(SUBSTITUTE(SUBSTITUTE(SUBSTITUTE(SUBSTITUTE(SUBSTITUTE(SUBSTITUTE($A955,"-",""),"(",""),")",""),".",""),"+","")," ","")))</f>
      </c>
    </row>
    <row r="956" spans="1:7" x14ac:dyDescent="0.3">
      <c r="A956" s="11"/>
      <c r="B956" s="38">
        <f>IF($A956="","",IFERROR(IF(INDEX(Pledges!$D$5:$D$2500,MATCH($G956,Pledges!$K$5:$K$2500,0))="","⚠ no amount on Pledges",IF(INDEX(Pledges!$B$5:$B$2500,MATCH($G956,Pledges!$K$5:$K$2500,0))="","",INDEX(Pledges!$B$5:$B$2500,MATCH($G956,Pledges!$K$5:$K$2500,0)))),"⚠ phone not in Pledges"))</f>
      </c>
      <c r="C956" s="12"/>
      <c r="D956" s="13"/>
      <c r="E956" s="22"/>
      <c r="F956" s="23"/>
      <c r="G956">
        <f>IF($A956="","","#"&amp;TRIM(SUBSTITUTE(SUBSTITUTE(SUBSTITUTE(SUBSTITUTE(SUBSTITUTE(SUBSTITUTE($A956,"-",""),"(",""),")",""),".",""),"+","")," ","")))</f>
      </c>
    </row>
    <row r="957" spans="1:7" x14ac:dyDescent="0.3">
      <c r="A957" s="11"/>
      <c r="B957" s="38">
        <f>IF($A957="","",IFERROR(IF(INDEX(Pledges!$D$5:$D$2500,MATCH($G957,Pledges!$K$5:$K$2500,0))="","⚠ no amount on Pledges",IF(INDEX(Pledges!$B$5:$B$2500,MATCH($G957,Pledges!$K$5:$K$2500,0))="","",INDEX(Pledges!$B$5:$B$2500,MATCH($G957,Pledges!$K$5:$K$2500,0)))),"⚠ phone not in Pledges"))</f>
      </c>
      <c r="C957" s="12"/>
      <c r="D957" s="13"/>
      <c r="E957" s="22"/>
      <c r="F957" s="23"/>
      <c r="G957">
        <f>IF($A957="","","#"&amp;TRIM(SUBSTITUTE(SUBSTITUTE(SUBSTITUTE(SUBSTITUTE(SUBSTITUTE(SUBSTITUTE($A957,"-",""),"(",""),")",""),".",""),"+","")," ","")))</f>
      </c>
    </row>
    <row r="958" spans="1:7" x14ac:dyDescent="0.3">
      <c r="A958" s="11"/>
      <c r="B958" s="38">
        <f>IF($A958="","",IFERROR(IF(INDEX(Pledges!$D$5:$D$2500,MATCH($G958,Pledges!$K$5:$K$2500,0))="","⚠ no amount on Pledges",IF(INDEX(Pledges!$B$5:$B$2500,MATCH($G958,Pledges!$K$5:$K$2500,0))="","",INDEX(Pledges!$B$5:$B$2500,MATCH($G958,Pledges!$K$5:$K$2500,0)))),"⚠ phone not in Pledges"))</f>
      </c>
      <c r="C958" s="12"/>
      <c r="D958" s="13"/>
      <c r="E958" s="22"/>
      <c r="F958" s="23"/>
      <c r="G958">
        <f>IF($A958="","","#"&amp;TRIM(SUBSTITUTE(SUBSTITUTE(SUBSTITUTE(SUBSTITUTE(SUBSTITUTE(SUBSTITUTE($A958,"-",""),"(",""),")",""),".",""),"+","")," ","")))</f>
      </c>
    </row>
    <row r="959" spans="1:7" x14ac:dyDescent="0.3">
      <c r="A959" s="11"/>
      <c r="B959" s="38">
        <f>IF($A959="","",IFERROR(IF(INDEX(Pledges!$D$5:$D$2500,MATCH($G959,Pledges!$K$5:$K$2500,0))="","⚠ no amount on Pledges",IF(INDEX(Pledges!$B$5:$B$2500,MATCH($G959,Pledges!$K$5:$K$2500,0))="","",INDEX(Pledges!$B$5:$B$2500,MATCH($G959,Pledges!$K$5:$K$2500,0)))),"⚠ phone not in Pledges"))</f>
      </c>
      <c r="C959" s="12"/>
      <c r="D959" s="13"/>
      <c r="E959" s="22"/>
      <c r="F959" s="23"/>
      <c r="G959">
        <f>IF($A959="","","#"&amp;TRIM(SUBSTITUTE(SUBSTITUTE(SUBSTITUTE(SUBSTITUTE(SUBSTITUTE(SUBSTITUTE($A959,"-",""),"(",""),")",""),".",""),"+","")," ","")))</f>
      </c>
    </row>
    <row r="960" spans="1:7" x14ac:dyDescent="0.3">
      <c r="A960" s="11"/>
      <c r="B960" s="38">
        <f>IF($A960="","",IFERROR(IF(INDEX(Pledges!$D$5:$D$2500,MATCH($G960,Pledges!$K$5:$K$2500,0))="","⚠ no amount on Pledges",IF(INDEX(Pledges!$B$5:$B$2500,MATCH($G960,Pledges!$K$5:$K$2500,0))="","",INDEX(Pledges!$B$5:$B$2500,MATCH($G960,Pledges!$K$5:$K$2500,0)))),"⚠ phone not in Pledges"))</f>
      </c>
      <c r="C960" s="12"/>
      <c r="D960" s="13"/>
      <c r="E960" s="22"/>
      <c r="F960" s="23"/>
      <c r="G960">
        <f>IF($A960="","","#"&amp;TRIM(SUBSTITUTE(SUBSTITUTE(SUBSTITUTE(SUBSTITUTE(SUBSTITUTE(SUBSTITUTE($A960,"-",""),"(",""),")",""),".",""),"+","")," ","")))</f>
      </c>
    </row>
    <row r="961" spans="1:7" x14ac:dyDescent="0.3">
      <c r="A961" s="11"/>
      <c r="B961" s="38">
        <f>IF($A961="","",IFERROR(IF(INDEX(Pledges!$D$5:$D$2500,MATCH($G961,Pledges!$K$5:$K$2500,0))="","⚠ no amount on Pledges",IF(INDEX(Pledges!$B$5:$B$2500,MATCH($G961,Pledges!$K$5:$K$2500,0))="","",INDEX(Pledges!$B$5:$B$2500,MATCH($G961,Pledges!$K$5:$K$2500,0)))),"⚠ phone not in Pledges"))</f>
      </c>
      <c r="C961" s="12"/>
      <c r="D961" s="13"/>
      <c r="E961" s="22"/>
      <c r="F961" s="23"/>
      <c r="G961">
        <f>IF($A961="","","#"&amp;TRIM(SUBSTITUTE(SUBSTITUTE(SUBSTITUTE(SUBSTITUTE(SUBSTITUTE(SUBSTITUTE($A961,"-",""),"(",""),")",""),".",""),"+","")," ","")))</f>
      </c>
    </row>
    <row r="962" spans="1:7" x14ac:dyDescent="0.3">
      <c r="A962" s="11"/>
      <c r="B962" s="38">
        <f>IF($A962="","",IFERROR(IF(INDEX(Pledges!$D$5:$D$2500,MATCH($G962,Pledges!$K$5:$K$2500,0))="","⚠ no amount on Pledges",IF(INDEX(Pledges!$B$5:$B$2500,MATCH($G962,Pledges!$K$5:$K$2500,0))="","",INDEX(Pledges!$B$5:$B$2500,MATCH($G962,Pledges!$K$5:$K$2500,0)))),"⚠ phone not in Pledges"))</f>
      </c>
      <c r="C962" s="12"/>
      <c r="D962" s="13"/>
      <c r="E962" s="22"/>
      <c r="F962" s="23"/>
      <c r="G962">
        <f>IF($A962="","","#"&amp;TRIM(SUBSTITUTE(SUBSTITUTE(SUBSTITUTE(SUBSTITUTE(SUBSTITUTE(SUBSTITUTE($A962,"-",""),"(",""),")",""),".",""),"+","")," ","")))</f>
      </c>
    </row>
    <row r="963" spans="1:7" x14ac:dyDescent="0.3">
      <c r="A963" s="11"/>
      <c r="B963" s="38">
        <f>IF($A963="","",IFERROR(IF(INDEX(Pledges!$D$5:$D$2500,MATCH($G963,Pledges!$K$5:$K$2500,0))="","⚠ no amount on Pledges",IF(INDEX(Pledges!$B$5:$B$2500,MATCH($G963,Pledges!$K$5:$K$2500,0))="","",INDEX(Pledges!$B$5:$B$2500,MATCH($G963,Pledges!$K$5:$K$2500,0)))),"⚠ phone not in Pledges"))</f>
      </c>
      <c r="C963" s="12"/>
      <c r="D963" s="13"/>
      <c r="E963" s="22"/>
      <c r="F963" s="23"/>
      <c r="G963">
        <f>IF($A963="","","#"&amp;TRIM(SUBSTITUTE(SUBSTITUTE(SUBSTITUTE(SUBSTITUTE(SUBSTITUTE(SUBSTITUTE($A963,"-",""),"(",""),")",""),".",""),"+","")," ","")))</f>
      </c>
    </row>
    <row r="964" spans="1:7" x14ac:dyDescent="0.3">
      <c r="A964" s="11"/>
      <c r="B964" s="38">
        <f>IF($A964="","",IFERROR(IF(INDEX(Pledges!$D$5:$D$2500,MATCH($G964,Pledges!$K$5:$K$2500,0))="","⚠ no amount on Pledges",IF(INDEX(Pledges!$B$5:$B$2500,MATCH($G964,Pledges!$K$5:$K$2500,0))="","",INDEX(Pledges!$B$5:$B$2500,MATCH($G964,Pledges!$K$5:$K$2500,0)))),"⚠ phone not in Pledges"))</f>
      </c>
      <c r="C964" s="12"/>
      <c r="D964" s="13"/>
      <c r="E964" s="22"/>
      <c r="F964" s="23"/>
      <c r="G964">
        <f>IF($A964="","","#"&amp;TRIM(SUBSTITUTE(SUBSTITUTE(SUBSTITUTE(SUBSTITUTE(SUBSTITUTE(SUBSTITUTE($A964,"-",""),"(",""),")",""),".",""),"+","")," ","")))</f>
      </c>
    </row>
    <row r="965" spans="1:7" x14ac:dyDescent="0.3">
      <c r="A965" s="11"/>
      <c r="B965" s="38">
        <f>IF($A965="","",IFERROR(IF(INDEX(Pledges!$D$5:$D$2500,MATCH($G965,Pledges!$K$5:$K$2500,0))="","⚠ no amount on Pledges",IF(INDEX(Pledges!$B$5:$B$2500,MATCH($G965,Pledges!$K$5:$K$2500,0))="","",INDEX(Pledges!$B$5:$B$2500,MATCH($G965,Pledges!$K$5:$K$2500,0)))),"⚠ phone not in Pledges"))</f>
      </c>
      <c r="C965" s="12"/>
      <c r="D965" s="13"/>
      <c r="E965" s="22"/>
      <c r="F965" s="23"/>
      <c r="G965">
        <f>IF($A965="","","#"&amp;TRIM(SUBSTITUTE(SUBSTITUTE(SUBSTITUTE(SUBSTITUTE(SUBSTITUTE(SUBSTITUTE($A965,"-",""),"(",""),")",""),".",""),"+","")," ","")))</f>
      </c>
    </row>
    <row r="966" spans="1:7" x14ac:dyDescent="0.3">
      <c r="A966" s="11"/>
      <c r="B966" s="38">
        <f>IF($A966="","",IFERROR(IF(INDEX(Pledges!$D$5:$D$2500,MATCH($G966,Pledges!$K$5:$K$2500,0))="","⚠ no amount on Pledges",IF(INDEX(Pledges!$B$5:$B$2500,MATCH($G966,Pledges!$K$5:$K$2500,0))="","",INDEX(Pledges!$B$5:$B$2500,MATCH($G966,Pledges!$K$5:$K$2500,0)))),"⚠ phone not in Pledges"))</f>
      </c>
      <c r="C966" s="12"/>
      <c r="D966" s="13"/>
      <c r="E966" s="22"/>
      <c r="F966" s="23"/>
      <c r="G966">
        <f>IF($A966="","","#"&amp;TRIM(SUBSTITUTE(SUBSTITUTE(SUBSTITUTE(SUBSTITUTE(SUBSTITUTE(SUBSTITUTE($A966,"-",""),"(",""),")",""),".",""),"+","")," ","")))</f>
      </c>
    </row>
    <row r="967" spans="1:7" x14ac:dyDescent="0.3">
      <c r="A967" s="11"/>
      <c r="B967" s="38">
        <f>IF($A967="","",IFERROR(IF(INDEX(Pledges!$D$5:$D$2500,MATCH($G967,Pledges!$K$5:$K$2500,0))="","⚠ no amount on Pledges",IF(INDEX(Pledges!$B$5:$B$2500,MATCH($G967,Pledges!$K$5:$K$2500,0))="","",INDEX(Pledges!$B$5:$B$2500,MATCH($G967,Pledges!$K$5:$K$2500,0)))),"⚠ phone not in Pledges"))</f>
      </c>
      <c r="C967" s="12"/>
      <c r="D967" s="13"/>
      <c r="E967" s="22"/>
      <c r="F967" s="23"/>
      <c r="G967">
        <f>IF($A967="","","#"&amp;TRIM(SUBSTITUTE(SUBSTITUTE(SUBSTITUTE(SUBSTITUTE(SUBSTITUTE(SUBSTITUTE($A967,"-",""),"(",""),")",""),".",""),"+","")," ","")))</f>
      </c>
    </row>
    <row r="968" spans="1:7" x14ac:dyDescent="0.3">
      <c r="A968" s="11"/>
      <c r="B968" s="38">
        <f>IF($A968="","",IFERROR(IF(INDEX(Pledges!$D$5:$D$2500,MATCH($G968,Pledges!$K$5:$K$2500,0))="","⚠ no amount on Pledges",IF(INDEX(Pledges!$B$5:$B$2500,MATCH($G968,Pledges!$K$5:$K$2500,0))="","",INDEX(Pledges!$B$5:$B$2500,MATCH($G968,Pledges!$K$5:$K$2500,0)))),"⚠ phone not in Pledges"))</f>
      </c>
      <c r="C968" s="12"/>
      <c r="D968" s="13"/>
      <c r="E968" s="22"/>
      <c r="F968" s="23"/>
      <c r="G968">
        <f>IF($A968="","","#"&amp;TRIM(SUBSTITUTE(SUBSTITUTE(SUBSTITUTE(SUBSTITUTE(SUBSTITUTE(SUBSTITUTE($A968,"-",""),"(",""),")",""),".",""),"+","")," ","")))</f>
      </c>
    </row>
    <row r="969" spans="1:7" x14ac:dyDescent="0.3">
      <c r="A969" s="11"/>
      <c r="B969" s="38">
        <f>IF($A969="","",IFERROR(IF(INDEX(Pledges!$D$5:$D$2500,MATCH($G969,Pledges!$K$5:$K$2500,0))="","⚠ no amount on Pledges",IF(INDEX(Pledges!$B$5:$B$2500,MATCH($G969,Pledges!$K$5:$K$2500,0))="","",INDEX(Pledges!$B$5:$B$2500,MATCH($G969,Pledges!$K$5:$K$2500,0)))),"⚠ phone not in Pledges"))</f>
      </c>
      <c r="C969" s="12"/>
      <c r="D969" s="13"/>
      <c r="E969" s="22"/>
      <c r="F969" s="23"/>
      <c r="G969">
        <f>IF($A969="","","#"&amp;TRIM(SUBSTITUTE(SUBSTITUTE(SUBSTITUTE(SUBSTITUTE(SUBSTITUTE(SUBSTITUTE($A969,"-",""),"(",""),")",""),".",""),"+","")," ","")))</f>
      </c>
    </row>
    <row r="970" spans="1:7" x14ac:dyDescent="0.3">
      <c r="A970" s="11"/>
      <c r="B970" s="38">
        <f>IF($A970="","",IFERROR(IF(INDEX(Pledges!$D$5:$D$2500,MATCH($G970,Pledges!$K$5:$K$2500,0))="","⚠ no amount on Pledges",IF(INDEX(Pledges!$B$5:$B$2500,MATCH($G970,Pledges!$K$5:$K$2500,0))="","",INDEX(Pledges!$B$5:$B$2500,MATCH($G970,Pledges!$K$5:$K$2500,0)))),"⚠ phone not in Pledges"))</f>
      </c>
      <c r="C970" s="12"/>
      <c r="D970" s="13"/>
      <c r="E970" s="22"/>
      <c r="F970" s="23"/>
      <c r="G970">
        <f>IF($A970="","","#"&amp;TRIM(SUBSTITUTE(SUBSTITUTE(SUBSTITUTE(SUBSTITUTE(SUBSTITUTE(SUBSTITUTE($A970,"-",""),"(",""),")",""),".",""),"+","")," ","")))</f>
      </c>
    </row>
    <row r="971" spans="1:7" x14ac:dyDescent="0.3">
      <c r="A971" s="11"/>
      <c r="B971" s="38">
        <f>IF($A971="","",IFERROR(IF(INDEX(Pledges!$D$5:$D$2500,MATCH($G971,Pledges!$K$5:$K$2500,0))="","⚠ no amount on Pledges",IF(INDEX(Pledges!$B$5:$B$2500,MATCH($G971,Pledges!$K$5:$K$2500,0))="","",INDEX(Pledges!$B$5:$B$2500,MATCH($G971,Pledges!$K$5:$K$2500,0)))),"⚠ phone not in Pledges"))</f>
      </c>
      <c r="C971" s="12"/>
      <c r="D971" s="13"/>
      <c r="E971" s="22"/>
      <c r="F971" s="23"/>
      <c r="G971">
        <f>IF($A971="","","#"&amp;TRIM(SUBSTITUTE(SUBSTITUTE(SUBSTITUTE(SUBSTITUTE(SUBSTITUTE(SUBSTITUTE($A971,"-",""),"(",""),")",""),".",""),"+","")," ","")))</f>
      </c>
    </row>
    <row r="972" spans="1:7" x14ac:dyDescent="0.3">
      <c r="A972" s="11"/>
      <c r="B972" s="38">
        <f>IF($A972="","",IFERROR(IF(INDEX(Pledges!$D$5:$D$2500,MATCH($G972,Pledges!$K$5:$K$2500,0))="","⚠ no amount on Pledges",IF(INDEX(Pledges!$B$5:$B$2500,MATCH($G972,Pledges!$K$5:$K$2500,0))="","",INDEX(Pledges!$B$5:$B$2500,MATCH($G972,Pledges!$K$5:$K$2500,0)))),"⚠ phone not in Pledges"))</f>
      </c>
      <c r="C972" s="12"/>
      <c r="D972" s="13"/>
      <c r="E972" s="22"/>
      <c r="F972" s="23"/>
      <c r="G972">
        <f>IF($A972="","","#"&amp;TRIM(SUBSTITUTE(SUBSTITUTE(SUBSTITUTE(SUBSTITUTE(SUBSTITUTE(SUBSTITUTE($A972,"-",""),"(",""),")",""),".",""),"+","")," ","")))</f>
      </c>
    </row>
    <row r="973" spans="1:7" x14ac:dyDescent="0.3">
      <c r="A973" s="11"/>
      <c r="B973" s="38">
        <f>IF($A973="","",IFERROR(IF(INDEX(Pledges!$D$5:$D$2500,MATCH($G973,Pledges!$K$5:$K$2500,0))="","⚠ no amount on Pledges",IF(INDEX(Pledges!$B$5:$B$2500,MATCH($G973,Pledges!$K$5:$K$2500,0))="","",INDEX(Pledges!$B$5:$B$2500,MATCH($G973,Pledges!$K$5:$K$2500,0)))),"⚠ phone not in Pledges"))</f>
      </c>
      <c r="C973" s="12"/>
      <c r="D973" s="13"/>
      <c r="E973" s="22"/>
      <c r="F973" s="23"/>
      <c r="G973">
        <f>IF($A973="","","#"&amp;TRIM(SUBSTITUTE(SUBSTITUTE(SUBSTITUTE(SUBSTITUTE(SUBSTITUTE(SUBSTITUTE($A973,"-",""),"(",""),")",""),".",""),"+","")," ","")))</f>
      </c>
    </row>
    <row r="974" spans="1:7" x14ac:dyDescent="0.3">
      <c r="A974" s="11"/>
      <c r="B974" s="38">
        <f>IF($A974="","",IFERROR(IF(INDEX(Pledges!$D$5:$D$2500,MATCH($G974,Pledges!$K$5:$K$2500,0))="","⚠ no amount on Pledges",IF(INDEX(Pledges!$B$5:$B$2500,MATCH($G974,Pledges!$K$5:$K$2500,0))="","",INDEX(Pledges!$B$5:$B$2500,MATCH($G974,Pledges!$K$5:$K$2500,0)))),"⚠ phone not in Pledges"))</f>
      </c>
      <c r="C974" s="12"/>
      <c r="D974" s="13"/>
      <c r="E974" s="22"/>
      <c r="F974" s="23"/>
      <c r="G974">
        <f>IF($A974="","","#"&amp;TRIM(SUBSTITUTE(SUBSTITUTE(SUBSTITUTE(SUBSTITUTE(SUBSTITUTE(SUBSTITUTE($A974,"-",""),"(",""),")",""),".",""),"+","")," ","")))</f>
      </c>
    </row>
    <row r="975" spans="1:7" x14ac:dyDescent="0.3">
      <c r="A975" s="11"/>
      <c r="B975" s="38">
        <f>IF($A975="","",IFERROR(IF(INDEX(Pledges!$D$5:$D$2500,MATCH($G975,Pledges!$K$5:$K$2500,0))="","⚠ no amount on Pledges",IF(INDEX(Pledges!$B$5:$B$2500,MATCH($G975,Pledges!$K$5:$K$2500,0))="","",INDEX(Pledges!$B$5:$B$2500,MATCH($G975,Pledges!$K$5:$K$2500,0)))),"⚠ phone not in Pledges"))</f>
      </c>
      <c r="C975" s="12"/>
      <c r="D975" s="13"/>
      <c r="E975" s="22"/>
      <c r="F975" s="23"/>
      <c r="G975">
        <f>IF($A975="","","#"&amp;TRIM(SUBSTITUTE(SUBSTITUTE(SUBSTITUTE(SUBSTITUTE(SUBSTITUTE(SUBSTITUTE($A975,"-",""),"(",""),")",""),".",""),"+","")," ","")))</f>
      </c>
    </row>
    <row r="976" spans="1:7" x14ac:dyDescent="0.3">
      <c r="A976" s="11"/>
      <c r="B976" s="38">
        <f>IF($A976="","",IFERROR(IF(INDEX(Pledges!$D$5:$D$2500,MATCH($G976,Pledges!$K$5:$K$2500,0))="","⚠ no amount on Pledges",IF(INDEX(Pledges!$B$5:$B$2500,MATCH($G976,Pledges!$K$5:$K$2500,0))="","",INDEX(Pledges!$B$5:$B$2500,MATCH($G976,Pledges!$K$5:$K$2500,0)))),"⚠ phone not in Pledges"))</f>
      </c>
      <c r="C976" s="12"/>
      <c r="D976" s="13"/>
      <c r="E976" s="22"/>
      <c r="F976" s="23"/>
      <c r="G976">
        <f>IF($A976="","","#"&amp;TRIM(SUBSTITUTE(SUBSTITUTE(SUBSTITUTE(SUBSTITUTE(SUBSTITUTE(SUBSTITUTE($A976,"-",""),"(",""),")",""),".",""),"+","")," ","")))</f>
      </c>
    </row>
    <row r="977" spans="1:7" x14ac:dyDescent="0.3">
      <c r="A977" s="11"/>
      <c r="B977" s="38">
        <f>IF($A977="","",IFERROR(IF(INDEX(Pledges!$D$5:$D$2500,MATCH($G977,Pledges!$K$5:$K$2500,0))="","⚠ no amount on Pledges",IF(INDEX(Pledges!$B$5:$B$2500,MATCH($G977,Pledges!$K$5:$K$2500,0))="","",INDEX(Pledges!$B$5:$B$2500,MATCH($G977,Pledges!$K$5:$K$2500,0)))),"⚠ phone not in Pledges"))</f>
      </c>
      <c r="C977" s="12"/>
      <c r="D977" s="13"/>
      <c r="E977" s="22"/>
      <c r="F977" s="23"/>
      <c r="G977">
        <f>IF($A977="","","#"&amp;TRIM(SUBSTITUTE(SUBSTITUTE(SUBSTITUTE(SUBSTITUTE(SUBSTITUTE(SUBSTITUTE($A977,"-",""),"(",""),")",""),".",""),"+","")," ","")))</f>
      </c>
    </row>
    <row r="978" spans="1:7" x14ac:dyDescent="0.3">
      <c r="A978" s="11"/>
      <c r="B978" s="38">
        <f>IF($A978="","",IFERROR(IF(INDEX(Pledges!$D$5:$D$2500,MATCH($G978,Pledges!$K$5:$K$2500,0))="","⚠ no amount on Pledges",IF(INDEX(Pledges!$B$5:$B$2500,MATCH($G978,Pledges!$K$5:$K$2500,0))="","",INDEX(Pledges!$B$5:$B$2500,MATCH($G978,Pledges!$K$5:$K$2500,0)))),"⚠ phone not in Pledges"))</f>
      </c>
      <c r="C978" s="12"/>
      <c r="D978" s="13"/>
      <c r="E978" s="22"/>
      <c r="F978" s="23"/>
      <c r="G978">
        <f>IF($A978="","","#"&amp;TRIM(SUBSTITUTE(SUBSTITUTE(SUBSTITUTE(SUBSTITUTE(SUBSTITUTE(SUBSTITUTE($A978,"-",""),"(",""),")",""),".",""),"+","")," ","")))</f>
      </c>
    </row>
    <row r="979" spans="1:7" x14ac:dyDescent="0.3">
      <c r="A979" s="11"/>
      <c r="B979" s="38">
        <f>IF($A979="","",IFERROR(IF(INDEX(Pledges!$D$5:$D$2500,MATCH($G979,Pledges!$K$5:$K$2500,0))="","⚠ no amount on Pledges",IF(INDEX(Pledges!$B$5:$B$2500,MATCH($G979,Pledges!$K$5:$K$2500,0))="","",INDEX(Pledges!$B$5:$B$2500,MATCH($G979,Pledges!$K$5:$K$2500,0)))),"⚠ phone not in Pledges"))</f>
      </c>
      <c r="C979" s="12"/>
      <c r="D979" s="13"/>
      <c r="E979" s="22"/>
      <c r="F979" s="23"/>
      <c r="G979">
        <f>IF($A979="","","#"&amp;TRIM(SUBSTITUTE(SUBSTITUTE(SUBSTITUTE(SUBSTITUTE(SUBSTITUTE(SUBSTITUTE($A979,"-",""),"(",""),")",""),".",""),"+","")," ","")))</f>
      </c>
    </row>
    <row r="980" spans="1:7" x14ac:dyDescent="0.3">
      <c r="A980" s="11"/>
      <c r="B980" s="38">
        <f>IF($A980="","",IFERROR(IF(INDEX(Pledges!$D$5:$D$2500,MATCH($G980,Pledges!$K$5:$K$2500,0))="","⚠ no amount on Pledges",IF(INDEX(Pledges!$B$5:$B$2500,MATCH($G980,Pledges!$K$5:$K$2500,0))="","",INDEX(Pledges!$B$5:$B$2500,MATCH($G980,Pledges!$K$5:$K$2500,0)))),"⚠ phone not in Pledges"))</f>
      </c>
      <c r="C980" s="12"/>
      <c r="D980" s="13"/>
      <c r="E980" s="22"/>
      <c r="F980" s="23"/>
      <c r="G980">
        <f>IF($A980="","","#"&amp;TRIM(SUBSTITUTE(SUBSTITUTE(SUBSTITUTE(SUBSTITUTE(SUBSTITUTE(SUBSTITUTE($A980,"-",""),"(",""),")",""),".",""),"+","")," ","")))</f>
      </c>
    </row>
    <row r="981" spans="1:7" x14ac:dyDescent="0.3">
      <c r="A981" s="11"/>
      <c r="B981" s="38">
        <f>IF($A981="","",IFERROR(IF(INDEX(Pledges!$D$5:$D$2500,MATCH($G981,Pledges!$K$5:$K$2500,0))="","⚠ no amount on Pledges",IF(INDEX(Pledges!$B$5:$B$2500,MATCH($G981,Pledges!$K$5:$K$2500,0))="","",INDEX(Pledges!$B$5:$B$2500,MATCH($G981,Pledges!$K$5:$K$2500,0)))),"⚠ phone not in Pledges"))</f>
      </c>
      <c r="C981" s="12"/>
      <c r="D981" s="13"/>
      <c r="E981" s="22"/>
      <c r="F981" s="23"/>
      <c r="G981">
        <f>IF($A981="","","#"&amp;TRIM(SUBSTITUTE(SUBSTITUTE(SUBSTITUTE(SUBSTITUTE(SUBSTITUTE(SUBSTITUTE($A981,"-",""),"(",""),")",""),".",""),"+","")," ","")))</f>
      </c>
    </row>
    <row r="982" spans="1:7" x14ac:dyDescent="0.3">
      <c r="A982" s="11"/>
      <c r="B982" s="38">
        <f>IF($A982="","",IFERROR(IF(INDEX(Pledges!$D$5:$D$2500,MATCH($G982,Pledges!$K$5:$K$2500,0))="","⚠ no amount on Pledges",IF(INDEX(Pledges!$B$5:$B$2500,MATCH($G982,Pledges!$K$5:$K$2500,0))="","",INDEX(Pledges!$B$5:$B$2500,MATCH($G982,Pledges!$K$5:$K$2500,0)))),"⚠ phone not in Pledges"))</f>
      </c>
      <c r="C982" s="12"/>
      <c r="D982" s="13"/>
      <c r="E982" s="22"/>
      <c r="F982" s="23"/>
      <c r="G982">
        <f>IF($A982="","","#"&amp;TRIM(SUBSTITUTE(SUBSTITUTE(SUBSTITUTE(SUBSTITUTE(SUBSTITUTE(SUBSTITUTE($A982,"-",""),"(",""),")",""),".",""),"+","")," ","")))</f>
      </c>
    </row>
    <row r="983" spans="1:7" x14ac:dyDescent="0.3">
      <c r="A983" s="11"/>
      <c r="B983" s="38">
        <f>IF($A983="","",IFERROR(IF(INDEX(Pledges!$D$5:$D$2500,MATCH($G983,Pledges!$K$5:$K$2500,0))="","⚠ no amount on Pledges",IF(INDEX(Pledges!$B$5:$B$2500,MATCH($G983,Pledges!$K$5:$K$2500,0))="","",INDEX(Pledges!$B$5:$B$2500,MATCH($G983,Pledges!$K$5:$K$2500,0)))),"⚠ phone not in Pledges"))</f>
      </c>
      <c r="C983" s="12"/>
      <c r="D983" s="13"/>
      <c r="E983" s="22"/>
      <c r="F983" s="23"/>
      <c r="G983">
        <f>IF($A983="","","#"&amp;TRIM(SUBSTITUTE(SUBSTITUTE(SUBSTITUTE(SUBSTITUTE(SUBSTITUTE(SUBSTITUTE($A983,"-",""),"(",""),")",""),".",""),"+","")," ","")))</f>
      </c>
    </row>
    <row r="984" spans="1:7" x14ac:dyDescent="0.3">
      <c r="A984" s="11"/>
      <c r="B984" s="38">
        <f>IF($A984="","",IFERROR(IF(INDEX(Pledges!$D$5:$D$2500,MATCH($G984,Pledges!$K$5:$K$2500,0))="","⚠ no amount on Pledges",IF(INDEX(Pledges!$B$5:$B$2500,MATCH($G984,Pledges!$K$5:$K$2500,0))="","",INDEX(Pledges!$B$5:$B$2500,MATCH($G984,Pledges!$K$5:$K$2500,0)))),"⚠ phone not in Pledges"))</f>
      </c>
      <c r="C984" s="12"/>
      <c r="D984" s="13"/>
      <c r="E984" s="22"/>
      <c r="F984" s="23"/>
      <c r="G984">
        <f>IF($A984="","","#"&amp;TRIM(SUBSTITUTE(SUBSTITUTE(SUBSTITUTE(SUBSTITUTE(SUBSTITUTE(SUBSTITUTE($A984,"-",""),"(",""),")",""),".",""),"+","")," ","")))</f>
      </c>
    </row>
    <row r="985" spans="1:7" x14ac:dyDescent="0.3">
      <c r="A985" s="11"/>
      <c r="B985" s="38">
        <f>IF($A985="","",IFERROR(IF(INDEX(Pledges!$D$5:$D$2500,MATCH($G985,Pledges!$K$5:$K$2500,0))="","⚠ no amount on Pledges",IF(INDEX(Pledges!$B$5:$B$2500,MATCH($G985,Pledges!$K$5:$K$2500,0))="","",INDEX(Pledges!$B$5:$B$2500,MATCH($G985,Pledges!$K$5:$K$2500,0)))),"⚠ phone not in Pledges"))</f>
      </c>
      <c r="C985" s="12"/>
      <c r="D985" s="13"/>
      <c r="E985" s="22"/>
      <c r="F985" s="23"/>
      <c r="G985">
        <f>IF($A985="","","#"&amp;TRIM(SUBSTITUTE(SUBSTITUTE(SUBSTITUTE(SUBSTITUTE(SUBSTITUTE(SUBSTITUTE($A985,"-",""),"(",""),")",""),".",""),"+","")," ","")))</f>
      </c>
    </row>
    <row r="986" spans="1:7" x14ac:dyDescent="0.3">
      <c r="A986" s="11"/>
      <c r="B986" s="38">
        <f>IF($A986="","",IFERROR(IF(INDEX(Pledges!$D$5:$D$2500,MATCH($G986,Pledges!$K$5:$K$2500,0))="","⚠ no amount on Pledges",IF(INDEX(Pledges!$B$5:$B$2500,MATCH($G986,Pledges!$K$5:$K$2500,0))="","",INDEX(Pledges!$B$5:$B$2500,MATCH($G986,Pledges!$K$5:$K$2500,0)))),"⚠ phone not in Pledges"))</f>
      </c>
      <c r="C986" s="12"/>
      <c r="D986" s="13"/>
      <c r="E986" s="22"/>
      <c r="F986" s="23"/>
      <c r="G986">
        <f>IF($A986="","","#"&amp;TRIM(SUBSTITUTE(SUBSTITUTE(SUBSTITUTE(SUBSTITUTE(SUBSTITUTE(SUBSTITUTE($A986,"-",""),"(",""),")",""),".",""),"+","")," ","")))</f>
      </c>
    </row>
    <row r="987" spans="1:7" x14ac:dyDescent="0.3">
      <c r="A987" s="11"/>
      <c r="B987" s="38">
        <f>IF($A987="","",IFERROR(IF(INDEX(Pledges!$D$5:$D$2500,MATCH($G987,Pledges!$K$5:$K$2500,0))="","⚠ no amount on Pledges",IF(INDEX(Pledges!$B$5:$B$2500,MATCH($G987,Pledges!$K$5:$K$2500,0))="","",INDEX(Pledges!$B$5:$B$2500,MATCH($G987,Pledges!$K$5:$K$2500,0)))),"⚠ phone not in Pledges"))</f>
      </c>
      <c r="C987" s="12"/>
      <c r="D987" s="13"/>
      <c r="E987" s="22"/>
      <c r="F987" s="23"/>
      <c r="G987">
        <f>IF($A987="","","#"&amp;TRIM(SUBSTITUTE(SUBSTITUTE(SUBSTITUTE(SUBSTITUTE(SUBSTITUTE(SUBSTITUTE($A987,"-",""),"(",""),")",""),".",""),"+","")," ","")))</f>
      </c>
    </row>
    <row r="988" spans="1:7" x14ac:dyDescent="0.3">
      <c r="A988" s="11"/>
      <c r="B988" s="38">
        <f>IF($A988="","",IFERROR(IF(INDEX(Pledges!$D$5:$D$2500,MATCH($G988,Pledges!$K$5:$K$2500,0))="","⚠ no amount on Pledges",IF(INDEX(Pledges!$B$5:$B$2500,MATCH($G988,Pledges!$K$5:$K$2500,0))="","",INDEX(Pledges!$B$5:$B$2500,MATCH($G988,Pledges!$K$5:$K$2500,0)))),"⚠ phone not in Pledges"))</f>
      </c>
      <c r="C988" s="12"/>
      <c r="D988" s="13"/>
      <c r="E988" s="22"/>
      <c r="F988" s="23"/>
      <c r="G988">
        <f>IF($A988="","","#"&amp;TRIM(SUBSTITUTE(SUBSTITUTE(SUBSTITUTE(SUBSTITUTE(SUBSTITUTE(SUBSTITUTE($A988,"-",""),"(",""),")",""),".",""),"+","")," ","")))</f>
      </c>
    </row>
    <row r="989" spans="1:7" x14ac:dyDescent="0.3">
      <c r="A989" s="11"/>
      <c r="B989" s="38">
        <f>IF($A989="","",IFERROR(IF(INDEX(Pledges!$D$5:$D$2500,MATCH($G989,Pledges!$K$5:$K$2500,0))="","⚠ no amount on Pledges",IF(INDEX(Pledges!$B$5:$B$2500,MATCH($G989,Pledges!$K$5:$K$2500,0))="","",INDEX(Pledges!$B$5:$B$2500,MATCH($G989,Pledges!$K$5:$K$2500,0)))),"⚠ phone not in Pledges"))</f>
      </c>
      <c r="C989" s="12"/>
      <c r="D989" s="13"/>
      <c r="E989" s="22"/>
      <c r="F989" s="23"/>
      <c r="G989">
        <f>IF($A989="","","#"&amp;TRIM(SUBSTITUTE(SUBSTITUTE(SUBSTITUTE(SUBSTITUTE(SUBSTITUTE(SUBSTITUTE($A989,"-",""),"(",""),")",""),".",""),"+","")," ","")))</f>
      </c>
    </row>
    <row r="990" spans="1:7" x14ac:dyDescent="0.3">
      <c r="A990" s="11"/>
      <c r="B990" s="38">
        <f>IF($A990="","",IFERROR(IF(INDEX(Pledges!$D$5:$D$2500,MATCH($G990,Pledges!$K$5:$K$2500,0))="","⚠ no amount on Pledges",IF(INDEX(Pledges!$B$5:$B$2500,MATCH($G990,Pledges!$K$5:$K$2500,0))="","",INDEX(Pledges!$B$5:$B$2500,MATCH($G990,Pledges!$K$5:$K$2500,0)))),"⚠ phone not in Pledges"))</f>
      </c>
      <c r="C990" s="12"/>
      <c r="D990" s="13"/>
      <c r="E990" s="22"/>
      <c r="F990" s="23"/>
      <c r="G990">
        <f>IF($A990="","","#"&amp;TRIM(SUBSTITUTE(SUBSTITUTE(SUBSTITUTE(SUBSTITUTE(SUBSTITUTE(SUBSTITUTE($A990,"-",""),"(",""),")",""),".",""),"+","")," ","")))</f>
      </c>
    </row>
    <row r="991" spans="1:7" x14ac:dyDescent="0.3">
      <c r="A991" s="11"/>
      <c r="B991" s="38">
        <f>IF($A991="","",IFERROR(IF(INDEX(Pledges!$D$5:$D$2500,MATCH($G991,Pledges!$K$5:$K$2500,0))="","⚠ no amount on Pledges",IF(INDEX(Pledges!$B$5:$B$2500,MATCH($G991,Pledges!$K$5:$K$2500,0))="","",INDEX(Pledges!$B$5:$B$2500,MATCH($G991,Pledges!$K$5:$K$2500,0)))),"⚠ phone not in Pledges"))</f>
      </c>
      <c r="C991" s="12"/>
      <c r="D991" s="13"/>
      <c r="E991" s="22"/>
      <c r="F991" s="23"/>
      <c r="G991">
        <f>IF($A991="","","#"&amp;TRIM(SUBSTITUTE(SUBSTITUTE(SUBSTITUTE(SUBSTITUTE(SUBSTITUTE(SUBSTITUTE($A991,"-",""),"(",""),")",""),".",""),"+","")," ","")))</f>
      </c>
    </row>
    <row r="992" spans="1:7" x14ac:dyDescent="0.3">
      <c r="A992" s="11"/>
      <c r="B992" s="38">
        <f>IF($A992="","",IFERROR(IF(INDEX(Pledges!$D$5:$D$2500,MATCH($G992,Pledges!$K$5:$K$2500,0))="","⚠ no amount on Pledges",IF(INDEX(Pledges!$B$5:$B$2500,MATCH($G992,Pledges!$K$5:$K$2500,0))="","",INDEX(Pledges!$B$5:$B$2500,MATCH($G992,Pledges!$K$5:$K$2500,0)))),"⚠ phone not in Pledges"))</f>
      </c>
      <c r="C992" s="12"/>
      <c r="D992" s="13"/>
      <c r="E992" s="22"/>
      <c r="F992" s="23"/>
      <c r="G992">
        <f>IF($A992="","","#"&amp;TRIM(SUBSTITUTE(SUBSTITUTE(SUBSTITUTE(SUBSTITUTE(SUBSTITUTE(SUBSTITUTE($A992,"-",""),"(",""),")",""),".",""),"+","")," ","")))</f>
      </c>
    </row>
    <row r="993" spans="1:7" x14ac:dyDescent="0.3">
      <c r="A993" s="11"/>
      <c r="B993" s="38">
        <f>IF($A993="","",IFERROR(IF(INDEX(Pledges!$D$5:$D$2500,MATCH($G993,Pledges!$K$5:$K$2500,0))="","⚠ no amount on Pledges",IF(INDEX(Pledges!$B$5:$B$2500,MATCH($G993,Pledges!$K$5:$K$2500,0))="","",INDEX(Pledges!$B$5:$B$2500,MATCH($G993,Pledges!$K$5:$K$2500,0)))),"⚠ phone not in Pledges"))</f>
      </c>
      <c r="C993" s="12"/>
      <c r="D993" s="13"/>
      <c r="E993" s="22"/>
      <c r="F993" s="23"/>
      <c r="G993">
        <f>IF($A993="","","#"&amp;TRIM(SUBSTITUTE(SUBSTITUTE(SUBSTITUTE(SUBSTITUTE(SUBSTITUTE(SUBSTITUTE($A993,"-",""),"(",""),")",""),".",""),"+","")," ","")))</f>
      </c>
    </row>
    <row r="994" spans="1:7" x14ac:dyDescent="0.3">
      <c r="A994" s="11"/>
      <c r="B994" s="38">
        <f>IF($A994="","",IFERROR(IF(INDEX(Pledges!$D$5:$D$2500,MATCH($G994,Pledges!$K$5:$K$2500,0))="","⚠ no amount on Pledges",IF(INDEX(Pledges!$B$5:$B$2500,MATCH($G994,Pledges!$K$5:$K$2500,0))="","",INDEX(Pledges!$B$5:$B$2500,MATCH($G994,Pledges!$K$5:$K$2500,0)))),"⚠ phone not in Pledges"))</f>
      </c>
      <c r="C994" s="12"/>
      <c r="D994" s="13"/>
      <c r="E994" s="22"/>
      <c r="F994" s="23"/>
      <c r="G994">
        <f>IF($A994="","","#"&amp;TRIM(SUBSTITUTE(SUBSTITUTE(SUBSTITUTE(SUBSTITUTE(SUBSTITUTE(SUBSTITUTE($A994,"-",""),"(",""),")",""),".",""),"+","")," ","")))</f>
      </c>
    </row>
    <row r="995" spans="1:7" x14ac:dyDescent="0.3">
      <c r="A995" s="11"/>
      <c r="B995" s="38">
        <f>IF($A995="","",IFERROR(IF(INDEX(Pledges!$D$5:$D$2500,MATCH($G995,Pledges!$K$5:$K$2500,0))="","⚠ no amount on Pledges",IF(INDEX(Pledges!$B$5:$B$2500,MATCH($G995,Pledges!$K$5:$K$2500,0))="","",INDEX(Pledges!$B$5:$B$2500,MATCH($G995,Pledges!$K$5:$K$2500,0)))),"⚠ phone not in Pledges"))</f>
      </c>
      <c r="C995" s="12"/>
      <c r="D995" s="13"/>
      <c r="E995" s="22"/>
      <c r="F995" s="23"/>
      <c r="G995">
        <f>IF($A995="","","#"&amp;TRIM(SUBSTITUTE(SUBSTITUTE(SUBSTITUTE(SUBSTITUTE(SUBSTITUTE(SUBSTITUTE($A995,"-",""),"(",""),")",""),".",""),"+","")," ","")))</f>
      </c>
    </row>
    <row r="996" spans="1:7" x14ac:dyDescent="0.3">
      <c r="A996" s="11"/>
      <c r="B996" s="38">
        <f>IF($A996="","",IFERROR(IF(INDEX(Pledges!$D$5:$D$2500,MATCH($G996,Pledges!$K$5:$K$2500,0))="","⚠ no amount on Pledges",IF(INDEX(Pledges!$B$5:$B$2500,MATCH($G996,Pledges!$K$5:$K$2500,0))="","",INDEX(Pledges!$B$5:$B$2500,MATCH($G996,Pledges!$K$5:$K$2500,0)))),"⚠ phone not in Pledges"))</f>
      </c>
      <c r="C996" s="12"/>
      <c r="D996" s="13"/>
      <c r="E996" s="22"/>
      <c r="F996" s="23"/>
      <c r="G996">
        <f>IF($A996="","","#"&amp;TRIM(SUBSTITUTE(SUBSTITUTE(SUBSTITUTE(SUBSTITUTE(SUBSTITUTE(SUBSTITUTE($A996,"-",""),"(",""),")",""),".",""),"+","")," ","")))</f>
      </c>
    </row>
    <row r="997" spans="1:7" x14ac:dyDescent="0.3">
      <c r="A997" s="11"/>
      <c r="B997" s="38">
        <f>IF($A997="","",IFERROR(IF(INDEX(Pledges!$D$5:$D$2500,MATCH($G997,Pledges!$K$5:$K$2500,0))="","⚠ no amount on Pledges",IF(INDEX(Pledges!$B$5:$B$2500,MATCH($G997,Pledges!$K$5:$K$2500,0))="","",INDEX(Pledges!$B$5:$B$2500,MATCH($G997,Pledges!$K$5:$K$2500,0)))),"⚠ phone not in Pledges"))</f>
      </c>
      <c r="C997" s="12"/>
      <c r="D997" s="13"/>
      <c r="E997" s="22"/>
      <c r="F997" s="23"/>
      <c r="G997">
        <f>IF($A997="","","#"&amp;TRIM(SUBSTITUTE(SUBSTITUTE(SUBSTITUTE(SUBSTITUTE(SUBSTITUTE(SUBSTITUTE($A997,"-",""),"(",""),")",""),".",""),"+","")," ","")))</f>
      </c>
    </row>
    <row r="998" spans="1:7" x14ac:dyDescent="0.3">
      <c r="A998" s="11"/>
      <c r="B998" s="38">
        <f>IF($A998="","",IFERROR(IF(INDEX(Pledges!$D$5:$D$2500,MATCH($G998,Pledges!$K$5:$K$2500,0))="","⚠ no amount on Pledges",IF(INDEX(Pledges!$B$5:$B$2500,MATCH($G998,Pledges!$K$5:$K$2500,0))="","",INDEX(Pledges!$B$5:$B$2500,MATCH($G998,Pledges!$K$5:$K$2500,0)))),"⚠ phone not in Pledges"))</f>
      </c>
      <c r="C998" s="12"/>
      <c r="D998" s="13"/>
      <c r="E998" s="22"/>
      <c r="F998" s="23"/>
      <c r="G998">
        <f>IF($A998="","","#"&amp;TRIM(SUBSTITUTE(SUBSTITUTE(SUBSTITUTE(SUBSTITUTE(SUBSTITUTE(SUBSTITUTE($A998,"-",""),"(",""),")",""),".",""),"+","")," ","")))</f>
      </c>
    </row>
    <row r="999" spans="1:7" x14ac:dyDescent="0.3">
      <c r="A999" s="11"/>
      <c r="B999" s="38">
        <f>IF($A999="","",IFERROR(IF(INDEX(Pledges!$D$5:$D$2500,MATCH($G999,Pledges!$K$5:$K$2500,0))="","⚠ no amount on Pledges",IF(INDEX(Pledges!$B$5:$B$2500,MATCH($G999,Pledges!$K$5:$K$2500,0))="","",INDEX(Pledges!$B$5:$B$2500,MATCH($G999,Pledges!$K$5:$K$2500,0)))),"⚠ phone not in Pledges"))</f>
      </c>
      <c r="C999" s="12"/>
      <c r="D999" s="13"/>
      <c r="E999" s="22"/>
      <c r="F999" s="23"/>
      <c r="G999">
        <f>IF($A999="","","#"&amp;TRIM(SUBSTITUTE(SUBSTITUTE(SUBSTITUTE(SUBSTITUTE(SUBSTITUTE(SUBSTITUTE($A999,"-",""),"(",""),")",""),".",""),"+","")," ","")))</f>
      </c>
    </row>
    <row r="1000" spans="1:7" x14ac:dyDescent="0.3">
      <c r="A1000" s="11"/>
      <c r="B1000" s="38">
        <f>IF($A1000="","",IFERROR(IF(INDEX(Pledges!$D$5:$D$2500,MATCH($G1000,Pledges!$K$5:$K$2500,0))="","⚠ no amount on Pledges",IF(INDEX(Pledges!$B$5:$B$2500,MATCH($G1000,Pledges!$K$5:$K$2500,0))="","",INDEX(Pledges!$B$5:$B$2500,MATCH($G1000,Pledges!$K$5:$K$2500,0)))),"⚠ phone not in Pledges"))</f>
      </c>
      <c r="C1000" s="12"/>
      <c r="D1000" s="13"/>
      <c r="E1000" s="22"/>
      <c r="F1000" s="23"/>
      <c r="G1000">
        <f>IF($A1000="","","#"&amp;TRIM(SUBSTITUTE(SUBSTITUTE(SUBSTITUTE(SUBSTITUTE(SUBSTITUTE(SUBSTITUTE($A1000,"-",""),"(",""),")",""),".",""),"+","")," ","")))</f>
      </c>
    </row>
    <row r="1001" spans="1:7" x14ac:dyDescent="0.3">
      <c r="A1001" s="11"/>
      <c r="B1001" s="38">
        <f>IF($A1001="","",IFERROR(IF(INDEX(Pledges!$D$5:$D$2500,MATCH($G1001,Pledges!$K$5:$K$2500,0))="","⚠ no amount on Pledges",IF(INDEX(Pledges!$B$5:$B$2500,MATCH($G1001,Pledges!$K$5:$K$2500,0))="","",INDEX(Pledges!$B$5:$B$2500,MATCH($G1001,Pledges!$K$5:$K$2500,0)))),"⚠ phone not in Pledges"))</f>
      </c>
      <c r="C1001" s="12"/>
      <c r="D1001" s="13"/>
      <c r="E1001" s="22"/>
      <c r="F1001" s="23"/>
      <c r="G1001">
        <f>IF($A1001="","","#"&amp;TRIM(SUBSTITUTE(SUBSTITUTE(SUBSTITUTE(SUBSTITUTE(SUBSTITUTE(SUBSTITUTE($A1001,"-",""),"(",""),")",""),".",""),"+","")," ","")))</f>
      </c>
    </row>
    <row r="1002" spans="1:7" x14ac:dyDescent="0.3">
      <c r="A1002" s="11"/>
      <c r="B1002" s="38">
        <f>IF($A1002="","",IFERROR(IF(INDEX(Pledges!$D$5:$D$2500,MATCH($G1002,Pledges!$K$5:$K$2500,0))="","⚠ no amount on Pledges",IF(INDEX(Pledges!$B$5:$B$2500,MATCH($G1002,Pledges!$K$5:$K$2500,0))="","",INDEX(Pledges!$B$5:$B$2500,MATCH($G1002,Pledges!$K$5:$K$2500,0)))),"⚠ phone not in Pledges"))</f>
      </c>
      <c r="C1002" s="12"/>
      <c r="D1002" s="13"/>
      <c r="E1002" s="22"/>
      <c r="F1002" s="23"/>
      <c r="G1002">
        <f>IF($A1002="","","#"&amp;TRIM(SUBSTITUTE(SUBSTITUTE(SUBSTITUTE(SUBSTITUTE(SUBSTITUTE(SUBSTITUTE($A1002,"-",""),"(",""),")",""),".",""),"+","")," ","")))</f>
      </c>
    </row>
    <row r="1003" spans="1:7" x14ac:dyDescent="0.3">
      <c r="A1003" s="11"/>
      <c r="B1003" s="38">
        <f>IF($A1003="","",IFERROR(IF(INDEX(Pledges!$D$5:$D$2500,MATCH($G1003,Pledges!$K$5:$K$2500,0))="","⚠ no amount on Pledges",IF(INDEX(Pledges!$B$5:$B$2500,MATCH($G1003,Pledges!$K$5:$K$2500,0))="","",INDEX(Pledges!$B$5:$B$2500,MATCH($G1003,Pledges!$K$5:$K$2500,0)))),"⚠ phone not in Pledges"))</f>
      </c>
      <c r="C1003" s="12"/>
      <c r="D1003" s="13"/>
      <c r="E1003" s="22"/>
      <c r="F1003" s="23"/>
      <c r="G1003">
        <f>IF($A1003="","","#"&amp;TRIM(SUBSTITUTE(SUBSTITUTE(SUBSTITUTE(SUBSTITUTE(SUBSTITUTE(SUBSTITUTE($A1003,"-",""),"(",""),")",""),".",""),"+","")," ","")))</f>
      </c>
    </row>
    <row r="1004" spans="1:7" x14ac:dyDescent="0.3">
      <c r="A1004" s="11"/>
      <c r="B1004" s="38">
        <f>IF($A1004="","",IFERROR(IF(INDEX(Pledges!$D$5:$D$2500,MATCH($G1004,Pledges!$K$5:$K$2500,0))="","⚠ no amount on Pledges",IF(INDEX(Pledges!$B$5:$B$2500,MATCH($G1004,Pledges!$K$5:$K$2500,0))="","",INDEX(Pledges!$B$5:$B$2500,MATCH($G1004,Pledges!$K$5:$K$2500,0)))),"⚠ phone not in Pledges"))</f>
      </c>
      <c r="C1004" s="12"/>
      <c r="D1004" s="13"/>
      <c r="E1004" s="22"/>
      <c r="F1004" s="23"/>
      <c r="G1004">
        <f>IF($A1004="","","#"&amp;TRIM(SUBSTITUTE(SUBSTITUTE(SUBSTITUTE(SUBSTITUTE(SUBSTITUTE(SUBSTITUTE($A1004,"-",""),"(",""),")",""),".",""),"+","")," ","")))</f>
      </c>
    </row>
    <row r="1005" spans="1:7" x14ac:dyDescent="0.3">
      <c r="A1005" s="11"/>
      <c r="B1005" s="38">
        <f>IF($A1005="","",IFERROR(IF(INDEX(Pledges!$D$5:$D$2500,MATCH($G1005,Pledges!$K$5:$K$2500,0))="","⚠ no amount on Pledges",IF(INDEX(Pledges!$B$5:$B$2500,MATCH($G1005,Pledges!$K$5:$K$2500,0))="","",INDEX(Pledges!$B$5:$B$2500,MATCH($G1005,Pledges!$K$5:$K$2500,0)))),"⚠ phone not in Pledges"))</f>
      </c>
      <c r="C1005" s="12"/>
      <c r="D1005" s="13"/>
      <c r="E1005" s="22"/>
      <c r="F1005" s="23"/>
      <c r="G1005">
        <f>IF($A1005="","","#"&amp;TRIM(SUBSTITUTE(SUBSTITUTE(SUBSTITUTE(SUBSTITUTE(SUBSTITUTE(SUBSTITUTE($A1005,"-",""),"(",""),")",""),".",""),"+","")," ","")))</f>
      </c>
    </row>
    <row r="1006" spans="1:7" x14ac:dyDescent="0.3">
      <c r="A1006" s="11"/>
      <c r="B1006" s="38">
        <f>IF($A1006="","",IFERROR(IF(INDEX(Pledges!$D$5:$D$2500,MATCH($G1006,Pledges!$K$5:$K$2500,0))="","⚠ no amount on Pledges",IF(INDEX(Pledges!$B$5:$B$2500,MATCH($G1006,Pledges!$K$5:$K$2500,0))="","",INDEX(Pledges!$B$5:$B$2500,MATCH($G1006,Pledges!$K$5:$K$2500,0)))),"⚠ phone not in Pledges"))</f>
      </c>
      <c r="C1006" s="12"/>
      <c r="D1006" s="13"/>
      <c r="E1006" s="22"/>
      <c r="F1006" s="23"/>
      <c r="G1006">
        <f>IF($A1006="","","#"&amp;TRIM(SUBSTITUTE(SUBSTITUTE(SUBSTITUTE(SUBSTITUTE(SUBSTITUTE(SUBSTITUTE($A1006,"-",""),"(",""),")",""),".",""),"+","")," ","")))</f>
      </c>
    </row>
    <row r="1007" spans="1:7" x14ac:dyDescent="0.3">
      <c r="A1007" s="11"/>
      <c r="B1007" s="38">
        <f>IF($A1007="","",IFERROR(IF(INDEX(Pledges!$D$5:$D$2500,MATCH($G1007,Pledges!$K$5:$K$2500,0))="","⚠ no amount on Pledges",IF(INDEX(Pledges!$B$5:$B$2500,MATCH($G1007,Pledges!$K$5:$K$2500,0))="","",INDEX(Pledges!$B$5:$B$2500,MATCH($G1007,Pledges!$K$5:$K$2500,0)))),"⚠ phone not in Pledges"))</f>
      </c>
      <c r="C1007" s="12"/>
      <c r="D1007" s="13"/>
      <c r="E1007" s="22"/>
      <c r="F1007" s="23"/>
      <c r="G1007">
        <f>IF($A1007="","","#"&amp;TRIM(SUBSTITUTE(SUBSTITUTE(SUBSTITUTE(SUBSTITUTE(SUBSTITUTE(SUBSTITUTE($A1007,"-",""),"(",""),")",""),".",""),"+","")," ","")))</f>
      </c>
    </row>
    <row r="1008" spans="1:7" x14ac:dyDescent="0.3">
      <c r="A1008" s="11"/>
      <c r="B1008" s="38">
        <f>IF($A1008="","",IFERROR(IF(INDEX(Pledges!$D$5:$D$2500,MATCH($G1008,Pledges!$K$5:$K$2500,0))="","⚠ no amount on Pledges",IF(INDEX(Pledges!$B$5:$B$2500,MATCH($G1008,Pledges!$K$5:$K$2500,0))="","",INDEX(Pledges!$B$5:$B$2500,MATCH($G1008,Pledges!$K$5:$K$2500,0)))),"⚠ phone not in Pledges"))</f>
      </c>
      <c r="C1008" s="12"/>
      <c r="D1008" s="13"/>
      <c r="E1008" s="22"/>
      <c r="F1008" s="23"/>
      <c r="G1008">
        <f>IF($A1008="","","#"&amp;TRIM(SUBSTITUTE(SUBSTITUTE(SUBSTITUTE(SUBSTITUTE(SUBSTITUTE(SUBSTITUTE($A1008,"-",""),"(",""),")",""),".",""),"+","")," ","")))</f>
      </c>
    </row>
    <row r="1009" spans="1:7" x14ac:dyDescent="0.3">
      <c r="A1009" s="11"/>
      <c r="B1009" s="38">
        <f>IF($A1009="","",IFERROR(IF(INDEX(Pledges!$D$5:$D$2500,MATCH($G1009,Pledges!$K$5:$K$2500,0))="","⚠ no amount on Pledges",IF(INDEX(Pledges!$B$5:$B$2500,MATCH($G1009,Pledges!$K$5:$K$2500,0))="","",INDEX(Pledges!$B$5:$B$2500,MATCH($G1009,Pledges!$K$5:$K$2500,0)))),"⚠ phone not in Pledges"))</f>
      </c>
      <c r="C1009" s="12"/>
      <c r="D1009" s="13"/>
      <c r="E1009" s="22"/>
      <c r="F1009" s="23"/>
      <c r="G1009">
        <f>IF($A1009="","","#"&amp;TRIM(SUBSTITUTE(SUBSTITUTE(SUBSTITUTE(SUBSTITUTE(SUBSTITUTE(SUBSTITUTE($A1009,"-",""),"(",""),")",""),".",""),"+","")," ","")))</f>
      </c>
    </row>
    <row r="1010" spans="1:7" x14ac:dyDescent="0.3">
      <c r="A1010" s="11"/>
      <c r="B1010" s="38">
        <f>IF($A1010="","",IFERROR(IF(INDEX(Pledges!$D$5:$D$2500,MATCH($G1010,Pledges!$K$5:$K$2500,0))="","⚠ no amount on Pledges",IF(INDEX(Pledges!$B$5:$B$2500,MATCH($G1010,Pledges!$K$5:$K$2500,0))="","",INDEX(Pledges!$B$5:$B$2500,MATCH($G1010,Pledges!$K$5:$K$2500,0)))),"⚠ phone not in Pledges"))</f>
      </c>
      <c r="C1010" s="12"/>
      <c r="D1010" s="13"/>
      <c r="E1010" s="22"/>
      <c r="F1010" s="23"/>
      <c r="G1010">
        <f>IF($A1010="","","#"&amp;TRIM(SUBSTITUTE(SUBSTITUTE(SUBSTITUTE(SUBSTITUTE(SUBSTITUTE(SUBSTITUTE($A1010,"-",""),"(",""),")",""),".",""),"+","")," ","")))</f>
      </c>
    </row>
    <row r="1011" spans="1:7" x14ac:dyDescent="0.3">
      <c r="A1011" s="11"/>
      <c r="B1011" s="38">
        <f>IF($A1011="","",IFERROR(IF(INDEX(Pledges!$D$5:$D$2500,MATCH($G1011,Pledges!$K$5:$K$2500,0))="","⚠ no amount on Pledges",IF(INDEX(Pledges!$B$5:$B$2500,MATCH($G1011,Pledges!$K$5:$K$2500,0))="","",INDEX(Pledges!$B$5:$B$2500,MATCH($G1011,Pledges!$K$5:$K$2500,0)))),"⚠ phone not in Pledges"))</f>
      </c>
      <c r="C1011" s="12"/>
      <c r="D1011" s="13"/>
      <c r="E1011" s="22"/>
      <c r="F1011" s="23"/>
      <c r="G1011">
        <f>IF($A1011="","","#"&amp;TRIM(SUBSTITUTE(SUBSTITUTE(SUBSTITUTE(SUBSTITUTE(SUBSTITUTE(SUBSTITUTE($A1011,"-",""),"(",""),")",""),".",""),"+","")," ","")))</f>
      </c>
    </row>
    <row r="1012" spans="1:7" x14ac:dyDescent="0.3">
      <c r="A1012" s="11"/>
      <c r="B1012" s="38">
        <f>IF($A1012="","",IFERROR(IF(INDEX(Pledges!$D$5:$D$2500,MATCH($G1012,Pledges!$K$5:$K$2500,0))="","⚠ no amount on Pledges",IF(INDEX(Pledges!$B$5:$B$2500,MATCH($G1012,Pledges!$K$5:$K$2500,0))="","",INDEX(Pledges!$B$5:$B$2500,MATCH($G1012,Pledges!$K$5:$K$2500,0)))),"⚠ phone not in Pledges"))</f>
      </c>
      <c r="C1012" s="12"/>
      <c r="D1012" s="13"/>
      <c r="E1012" s="22"/>
      <c r="F1012" s="23"/>
      <c r="G1012">
        <f>IF($A1012="","","#"&amp;TRIM(SUBSTITUTE(SUBSTITUTE(SUBSTITUTE(SUBSTITUTE(SUBSTITUTE(SUBSTITUTE($A1012,"-",""),"(",""),")",""),".",""),"+","")," ","")))</f>
      </c>
    </row>
    <row r="1013" spans="1:7" x14ac:dyDescent="0.3">
      <c r="A1013" s="11"/>
      <c r="B1013" s="38">
        <f>IF($A1013="","",IFERROR(IF(INDEX(Pledges!$D$5:$D$2500,MATCH($G1013,Pledges!$K$5:$K$2500,0))="","⚠ no amount on Pledges",IF(INDEX(Pledges!$B$5:$B$2500,MATCH($G1013,Pledges!$K$5:$K$2500,0))="","",INDEX(Pledges!$B$5:$B$2500,MATCH($G1013,Pledges!$K$5:$K$2500,0)))),"⚠ phone not in Pledges"))</f>
      </c>
      <c r="C1013" s="12"/>
      <c r="D1013" s="13"/>
      <c r="E1013" s="22"/>
      <c r="F1013" s="23"/>
      <c r="G1013">
        <f>IF($A1013="","","#"&amp;TRIM(SUBSTITUTE(SUBSTITUTE(SUBSTITUTE(SUBSTITUTE(SUBSTITUTE(SUBSTITUTE($A1013,"-",""),"(",""),")",""),".",""),"+","")," ","")))</f>
      </c>
    </row>
    <row r="1014" spans="1:7" x14ac:dyDescent="0.3">
      <c r="A1014" s="11"/>
      <c r="B1014" s="38">
        <f>IF($A1014="","",IFERROR(IF(INDEX(Pledges!$D$5:$D$2500,MATCH($G1014,Pledges!$K$5:$K$2500,0))="","⚠ no amount on Pledges",IF(INDEX(Pledges!$B$5:$B$2500,MATCH($G1014,Pledges!$K$5:$K$2500,0))="","",INDEX(Pledges!$B$5:$B$2500,MATCH($G1014,Pledges!$K$5:$K$2500,0)))),"⚠ phone not in Pledges"))</f>
      </c>
      <c r="C1014" s="12"/>
      <c r="D1014" s="13"/>
      <c r="E1014" s="22"/>
      <c r="F1014" s="23"/>
      <c r="G1014">
        <f>IF($A1014="","","#"&amp;TRIM(SUBSTITUTE(SUBSTITUTE(SUBSTITUTE(SUBSTITUTE(SUBSTITUTE(SUBSTITUTE($A1014,"-",""),"(",""),")",""),".",""),"+","")," ","")))</f>
      </c>
    </row>
    <row r="1015" spans="1:7" x14ac:dyDescent="0.3">
      <c r="A1015" s="11"/>
      <c r="B1015" s="38">
        <f>IF($A1015="","",IFERROR(IF(INDEX(Pledges!$D$5:$D$2500,MATCH($G1015,Pledges!$K$5:$K$2500,0))="","⚠ no amount on Pledges",IF(INDEX(Pledges!$B$5:$B$2500,MATCH($G1015,Pledges!$K$5:$K$2500,0))="","",INDEX(Pledges!$B$5:$B$2500,MATCH($G1015,Pledges!$K$5:$K$2500,0)))),"⚠ phone not in Pledges"))</f>
      </c>
      <c r="C1015" s="12"/>
      <c r="D1015" s="13"/>
      <c r="E1015" s="22"/>
      <c r="F1015" s="23"/>
      <c r="G1015">
        <f>IF($A1015="","","#"&amp;TRIM(SUBSTITUTE(SUBSTITUTE(SUBSTITUTE(SUBSTITUTE(SUBSTITUTE(SUBSTITUTE($A1015,"-",""),"(",""),")",""),".",""),"+","")," ","")))</f>
      </c>
    </row>
    <row r="1016" spans="1:7" x14ac:dyDescent="0.3">
      <c r="A1016" s="11"/>
      <c r="B1016" s="38">
        <f>IF($A1016="","",IFERROR(IF(INDEX(Pledges!$D$5:$D$2500,MATCH($G1016,Pledges!$K$5:$K$2500,0))="","⚠ no amount on Pledges",IF(INDEX(Pledges!$B$5:$B$2500,MATCH($G1016,Pledges!$K$5:$K$2500,0))="","",INDEX(Pledges!$B$5:$B$2500,MATCH($G1016,Pledges!$K$5:$K$2500,0)))),"⚠ phone not in Pledges"))</f>
      </c>
      <c r="C1016" s="12"/>
      <c r="D1016" s="13"/>
      <c r="E1016" s="22"/>
      <c r="F1016" s="23"/>
      <c r="G1016">
        <f>IF($A1016="","","#"&amp;TRIM(SUBSTITUTE(SUBSTITUTE(SUBSTITUTE(SUBSTITUTE(SUBSTITUTE(SUBSTITUTE($A1016,"-",""),"(",""),")",""),".",""),"+","")," ","")))</f>
      </c>
    </row>
    <row r="1017" spans="1:7" x14ac:dyDescent="0.3">
      <c r="A1017" s="11"/>
      <c r="B1017" s="38">
        <f>IF($A1017="","",IFERROR(IF(INDEX(Pledges!$D$5:$D$2500,MATCH($G1017,Pledges!$K$5:$K$2500,0))="","⚠ no amount on Pledges",IF(INDEX(Pledges!$B$5:$B$2500,MATCH($G1017,Pledges!$K$5:$K$2500,0))="","",INDEX(Pledges!$B$5:$B$2500,MATCH($G1017,Pledges!$K$5:$K$2500,0)))),"⚠ phone not in Pledges"))</f>
      </c>
      <c r="C1017" s="12"/>
      <c r="D1017" s="13"/>
      <c r="E1017" s="22"/>
      <c r="F1017" s="23"/>
      <c r="G1017">
        <f>IF($A1017="","","#"&amp;TRIM(SUBSTITUTE(SUBSTITUTE(SUBSTITUTE(SUBSTITUTE(SUBSTITUTE(SUBSTITUTE($A1017,"-",""),"(",""),")",""),".",""),"+","")," ","")))</f>
      </c>
    </row>
    <row r="1018" spans="1:7" x14ac:dyDescent="0.3">
      <c r="A1018" s="11"/>
      <c r="B1018" s="38">
        <f>IF($A1018="","",IFERROR(IF(INDEX(Pledges!$D$5:$D$2500,MATCH($G1018,Pledges!$K$5:$K$2500,0))="","⚠ no amount on Pledges",IF(INDEX(Pledges!$B$5:$B$2500,MATCH($G1018,Pledges!$K$5:$K$2500,0))="","",INDEX(Pledges!$B$5:$B$2500,MATCH($G1018,Pledges!$K$5:$K$2500,0)))),"⚠ phone not in Pledges"))</f>
      </c>
      <c r="C1018" s="12"/>
      <c r="D1018" s="13"/>
      <c r="E1018" s="22"/>
      <c r="F1018" s="23"/>
      <c r="G1018">
        <f>IF($A1018="","","#"&amp;TRIM(SUBSTITUTE(SUBSTITUTE(SUBSTITUTE(SUBSTITUTE(SUBSTITUTE(SUBSTITUTE($A1018,"-",""),"(",""),")",""),".",""),"+","")," ","")))</f>
      </c>
    </row>
    <row r="1019" spans="1:7" x14ac:dyDescent="0.3">
      <c r="A1019" s="11"/>
      <c r="B1019" s="38">
        <f>IF($A1019="","",IFERROR(IF(INDEX(Pledges!$D$5:$D$2500,MATCH($G1019,Pledges!$K$5:$K$2500,0))="","⚠ no amount on Pledges",IF(INDEX(Pledges!$B$5:$B$2500,MATCH($G1019,Pledges!$K$5:$K$2500,0))="","",INDEX(Pledges!$B$5:$B$2500,MATCH($G1019,Pledges!$K$5:$K$2500,0)))),"⚠ phone not in Pledges"))</f>
      </c>
      <c r="C1019" s="12"/>
      <c r="D1019" s="13"/>
      <c r="E1019" s="22"/>
      <c r="F1019" s="23"/>
      <c r="G1019">
        <f>IF($A1019="","","#"&amp;TRIM(SUBSTITUTE(SUBSTITUTE(SUBSTITUTE(SUBSTITUTE(SUBSTITUTE(SUBSTITUTE($A1019,"-",""),"(",""),")",""),".",""),"+","")," ","")))</f>
      </c>
    </row>
    <row r="1020" spans="1:7" x14ac:dyDescent="0.3">
      <c r="A1020" s="11"/>
      <c r="B1020" s="38">
        <f>IF($A1020="","",IFERROR(IF(INDEX(Pledges!$D$5:$D$2500,MATCH($G1020,Pledges!$K$5:$K$2500,0))="","⚠ no amount on Pledges",IF(INDEX(Pledges!$B$5:$B$2500,MATCH($G1020,Pledges!$K$5:$K$2500,0))="","",INDEX(Pledges!$B$5:$B$2500,MATCH($G1020,Pledges!$K$5:$K$2500,0)))),"⚠ phone not in Pledges"))</f>
      </c>
      <c r="C1020" s="12"/>
      <c r="D1020" s="13"/>
      <c r="E1020" s="22"/>
      <c r="F1020" s="23"/>
      <c r="G1020">
        <f>IF($A1020="","","#"&amp;TRIM(SUBSTITUTE(SUBSTITUTE(SUBSTITUTE(SUBSTITUTE(SUBSTITUTE(SUBSTITUTE($A1020,"-",""),"(",""),")",""),".",""),"+","")," ","")))</f>
      </c>
    </row>
    <row r="1021" spans="1:7" x14ac:dyDescent="0.3">
      <c r="A1021" s="11"/>
      <c r="B1021" s="38">
        <f>IF($A1021="","",IFERROR(IF(INDEX(Pledges!$D$5:$D$2500,MATCH($G1021,Pledges!$K$5:$K$2500,0))="","⚠ no amount on Pledges",IF(INDEX(Pledges!$B$5:$B$2500,MATCH($G1021,Pledges!$K$5:$K$2500,0))="","",INDEX(Pledges!$B$5:$B$2500,MATCH($G1021,Pledges!$K$5:$K$2500,0)))),"⚠ phone not in Pledges"))</f>
      </c>
      <c r="C1021" s="12"/>
      <c r="D1021" s="13"/>
      <c r="E1021" s="22"/>
      <c r="F1021" s="23"/>
      <c r="G1021">
        <f>IF($A1021="","","#"&amp;TRIM(SUBSTITUTE(SUBSTITUTE(SUBSTITUTE(SUBSTITUTE(SUBSTITUTE(SUBSTITUTE($A1021,"-",""),"(",""),")",""),".",""),"+","")," ","")))</f>
      </c>
    </row>
    <row r="1022" spans="1:7" x14ac:dyDescent="0.3">
      <c r="A1022" s="11"/>
      <c r="B1022" s="38">
        <f>IF($A1022="","",IFERROR(IF(INDEX(Pledges!$D$5:$D$2500,MATCH($G1022,Pledges!$K$5:$K$2500,0))="","⚠ no amount on Pledges",IF(INDEX(Pledges!$B$5:$B$2500,MATCH($G1022,Pledges!$K$5:$K$2500,0))="","",INDEX(Pledges!$B$5:$B$2500,MATCH($G1022,Pledges!$K$5:$K$2500,0)))),"⚠ phone not in Pledges"))</f>
      </c>
      <c r="C1022" s="12"/>
      <c r="D1022" s="13"/>
      <c r="E1022" s="22"/>
      <c r="F1022" s="23"/>
      <c r="G1022">
        <f>IF($A1022="","","#"&amp;TRIM(SUBSTITUTE(SUBSTITUTE(SUBSTITUTE(SUBSTITUTE(SUBSTITUTE(SUBSTITUTE($A1022,"-",""),"(",""),")",""),".",""),"+","")," ","")))</f>
      </c>
    </row>
    <row r="1023" spans="1:7" x14ac:dyDescent="0.3">
      <c r="A1023" s="11"/>
      <c r="B1023" s="38">
        <f>IF($A1023="","",IFERROR(IF(INDEX(Pledges!$D$5:$D$2500,MATCH($G1023,Pledges!$K$5:$K$2500,0))="","⚠ no amount on Pledges",IF(INDEX(Pledges!$B$5:$B$2500,MATCH($G1023,Pledges!$K$5:$K$2500,0))="","",INDEX(Pledges!$B$5:$B$2500,MATCH($G1023,Pledges!$K$5:$K$2500,0)))),"⚠ phone not in Pledges"))</f>
      </c>
      <c r="C1023" s="12"/>
      <c r="D1023" s="13"/>
      <c r="E1023" s="22"/>
      <c r="F1023" s="23"/>
      <c r="G1023">
        <f>IF($A1023="","","#"&amp;TRIM(SUBSTITUTE(SUBSTITUTE(SUBSTITUTE(SUBSTITUTE(SUBSTITUTE(SUBSTITUTE($A1023,"-",""),"(",""),")",""),".",""),"+","")," ","")))</f>
      </c>
    </row>
    <row r="1024" spans="1:7" x14ac:dyDescent="0.3">
      <c r="A1024" s="11"/>
      <c r="B1024" s="38">
        <f>IF($A1024="","",IFERROR(IF(INDEX(Pledges!$D$5:$D$2500,MATCH($G1024,Pledges!$K$5:$K$2500,0))="","⚠ no amount on Pledges",IF(INDEX(Pledges!$B$5:$B$2500,MATCH($G1024,Pledges!$K$5:$K$2500,0))="","",INDEX(Pledges!$B$5:$B$2500,MATCH($G1024,Pledges!$K$5:$K$2500,0)))),"⚠ phone not in Pledges"))</f>
      </c>
      <c r="C1024" s="12"/>
      <c r="D1024" s="13"/>
      <c r="E1024" s="22"/>
      <c r="F1024" s="23"/>
      <c r="G1024">
        <f>IF($A1024="","","#"&amp;TRIM(SUBSTITUTE(SUBSTITUTE(SUBSTITUTE(SUBSTITUTE(SUBSTITUTE(SUBSTITUTE($A1024,"-",""),"(",""),")",""),".",""),"+","")," ","")))</f>
      </c>
    </row>
    <row r="1025" spans="1:7" x14ac:dyDescent="0.3">
      <c r="A1025" s="11"/>
      <c r="B1025" s="38">
        <f>IF($A1025="","",IFERROR(IF(INDEX(Pledges!$D$5:$D$2500,MATCH($G1025,Pledges!$K$5:$K$2500,0))="","⚠ no amount on Pledges",IF(INDEX(Pledges!$B$5:$B$2500,MATCH($G1025,Pledges!$K$5:$K$2500,0))="","",INDEX(Pledges!$B$5:$B$2500,MATCH($G1025,Pledges!$K$5:$K$2500,0)))),"⚠ phone not in Pledges"))</f>
      </c>
      <c r="C1025" s="12"/>
      <c r="D1025" s="13"/>
      <c r="E1025" s="22"/>
      <c r="F1025" s="23"/>
      <c r="G1025">
        <f>IF($A1025="","","#"&amp;TRIM(SUBSTITUTE(SUBSTITUTE(SUBSTITUTE(SUBSTITUTE(SUBSTITUTE(SUBSTITUTE($A1025,"-",""),"(",""),")",""),".",""),"+","")," ","")))</f>
      </c>
    </row>
    <row r="1026" spans="1:7" x14ac:dyDescent="0.3">
      <c r="A1026" s="11"/>
      <c r="B1026" s="38">
        <f>IF($A1026="","",IFERROR(IF(INDEX(Pledges!$D$5:$D$2500,MATCH($G1026,Pledges!$K$5:$K$2500,0))="","⚠ no amount on Pledges",IF(INDEX(Pledges!$B$5:$B$2500,MATCH($G1026,Pledges!$K$5:$K$2500,0))="","",INDEX(Pledges!$B$5:$B$2500,MATCH($G1026,Pledges!$K$5:$K$2500,0)))),"⚠ phone not in Pledges"))</f>
      </c>
      <c r="C1026" s="12"/>
      <c r="D1026" s="13"/>
      <c r="E1026" s="22"/>
      <c r="F1026" s="23"/>
      <c r="G1026">
        <f>IF($A1026="","","#"&amp;TRIM(SUBSTITUTE(SUBSTITUTE(SUBSTITUTE(SUBSTITUTE(SUBSTITUTE(SUBSTITUTE($A1026,"-",""),"(",""),")",""),".",""),"+","")," ","")))</f>
      </c>
    </row>
    <row r="1027" spans="1:7" x14ac:dyDescent="0.3">
      <c r="A1027" s="11"/>
      <c r="B1027" s="38">
        <f>IF($A1027="","",IFERROR(IF(INDEX(Pledges!$D$5:$D$2500,MATCH($G1027,Pledges!$K$5:$K$2500,0))="","⚠ no amount on Pledges",IF(INDEX(Pledges!$B$5:$B$2500,MATCH($G1027,Pledges!$K$5:$K$2500,0))="","",INDEX(Pledges!$B$5:$B$2500,MATCH($G1027,Pledges!$K$5:$K$2500,0)))),"⚠ phone not in Pledges"))</f>
      </c>
      <c r="C1027" s="12"/>
      <c r="D1027" s="13"/>
      <c r="E1027" s="22"/>
      <c r="F1027" s="23"/>
      <c r="G1027">
        <f>IF($A1027="","","#"&amp;TRIM(SUBSTITUTE(SUBSTITUTE(SUBSTITUTE(SUBSTITUTE(SUBSTITUTE(SUBSTITUTE($A1027,"-",""),"(",""),")",""),".",""),"+","")," ","")))</f>
      </c>
    </row>
    <row r="1028" spans="1:7" x14ac:dyDescent="0.3">
      <c r="A1028" s="11"/>
      <c r="B1028" s="38">
        <f>IF($A1028="","",IFERROR(IF(INDEX(Pledges!$D$5:$D$2500,MATCH($G1028,Pledges!$K$5:$K$2500,0))="","⚠ no amount on Pledges",IF(INDEX(Pledges!$B$5:$B$2500,MATCH($G1028,Pledges!$K$5:$K$2500,0))="","",INDEX(Pledges!$B$5:$B$2500,MATCH($G1028,Pledges!$K$5:$K$2500,0)))),"⚠ phone not in Pledges"))</f>
      </c>
      <c r="C1028" s="12"/>
      <c r="D1028" s="13"/>
      <c r="E1028" s="22"/>
      <c r="F1028" s="23"/>
      <c r="G1028">
        <f>IF($A1028="","","#"&amp;TRIM(SUBSTITUTE(SUBSTITUTE(SUBSTITUTE(SUBSTITUTE(SUBSTITUTE(SUBSTITUTE($A1028,"-",""),"(",""),")",""),".",""),"+","")," ","")))</f>
      </c>
    </row>
    <row r="1029" spans="1:7" x14ac:dyDescent="0.3">
      <c r="A1029" s="11"/>
      <c r="B1029" s="38">
        <f>IF($A1029="","",IFERROR(IF(INDEX(Pledges!$D$5:$D$2500,MATCH($G1029,Pledges!$K$5:$K$2500,0))="","⚠ no amount on Pledges",IF(INDEX(Pledges!$B$5:$B$2500,MATCH($G1029,Pledges!$K$5:$K$2500,0))="","",INDEX(Pledges!$B$5:$B$2500,MATCH($G1029,Pledges!$K$5:$K$2500,0)))),"⚠ phone not in Pledges"))</f>
      </c>
      <c r="C1029" s="12"/>
      <c r="D1029" s="13"/>
      <c r="E1029" s="22"/>
      <c r="F1029" s="23"/>
      <c r="G1029">
        <f>IF($A1029="","","#"&amp;TRIM(SUBSTITUTE(SUBSTITUTE(SUBSTITUTE(SUBSTITUTE(SUBSTITUTE(SUBSTITUTE($A1029,"-",""),"(",""),")",""),".",""),"+","")," ","")))</f>
      </c>
    </row>
    <row r="1030" spans="1:7" x14ac:dyDescent="0.3">
      <c r="A1030" s="11"/>
      <c r="B1030" s="38">
        <f>IF($A1030="","",IFERROR(IF(INDEX(Pledges!$D$5:$D$2500,MATCH($G1030,Pledges!$K$5:$K$2500,0))="","⚠ no amount on Pledges",IF(INDEX(Pledges!$B$5:$B$2500,MATCH($G1030,Pledges!$K$5:$K$2500,0))="","",INDEX(Pledges!$B$5:$B$2500,MATCH($G1030,Pledges!$K$5:$K$2500,0)))),"⚠ phone not in Pledges"))</f>
      </c>
      <c r="C1030" s="12"/>
      <c r="D1030" s="13"/>
      <c r="E1030" s="22"/>
      <c r="F1030" s="23"/>
      <c r="G1030">
        <f>IF($A1030="","","#"&amp;TRIM(SUBSTITUTE(SUBSTITUTE(SUBSTITUTE(SUBSTITUTE(SUBSTITUTE(SUBSTITUTE($A1030,"-",""),"(",""),")",""),".",""),"+","")," ","")))</f>
      </c>
    </row>
    <row r="1031" spans="1:7" x14ac:dyDescent="0.3">
      <c r="A1031" s="11"/>
      <c r="B1031" s="38">
        <f>IF($A1031="","",IFERROR(IF(INDEX(Pledges!$D$5:$D$2500,MATCH($G1031,Pledges!$K$5:$K$2500,0))="","⚠ no amount on Pledges",IF(INDEX(Pledges!$B$5:$B$2500,MATCH($G1031,Pledges!$K$5:$K$2500,0))="","",INDEX(Pledges!$B$5:$B$2500,MATCH($G1031,Pledges!$K$5:$K$2500,0)))),"⚠ phone not in Pledges"))</f>
      </c>
      <c r="C1031" s="12"/>
      <c r="D1031" s="13"/>
      <c r="E1031" s="22"/>
      <c r="F1031" s="23"/>
      <c r="G1031">
        <f>IF($A1031="","","#"&amp;TRIM(SUBSTITUTE(SUBSTITUTE(SUBSTITUTE(SUBSTITUTE(SUBSTITUTE(SUBSTITUTE($A1031,"-",""),"(",""),")",""),".",""),"+","")," ","")))</f>
      </c>
    </row>
    <row r="1032" spans="1:7" x14ac:dyDescent="0.3">
      <c r="A1032" s="11"/>
      <c r="B1032" s="38">
        <f>IF($A1032="","",IFERROR(IF(INDEX(Pledges!$D$5:$D$2500,MATCH($G1032,Pledges!$K$5:$K$2500,0))="","⚠ no amount on Pledges",IF(INDEX(Pledges!$B$5:$B$2500,MATCH($G1032,Pledges!$K$5:$K$2500,0))="","",INDEX(Pledges!$B$5:$B$2500,MATCH($G1032,Pledges!$K$5:$K$2500,0)))),"⚠ phone not in Pledges"))</f>
      </c>
      <c r="C1032" s="12"/>
      <c r="D1032" s="13"/>
      <c r="E1032" s="22"/>
      <c r="F1032" s="23"/>
      <c r="G1032">
        <f>IF($A1032="","","#"&amp;TRIM(SUBSTITUTE(SUBSTITUTE(SUBSTITUTE(SUBSTITUTE(SUBSTITUTE(SUBSTITUTE($A1032,"-",""),"(",""),")",""),".",""),"+","")," ","")))</f>
      </c>
    </row>
    <row r="1033" spans="1:7" x14ac:dyDescent="0.3">
      <c r="A1033" s="11"/>
      <c r="B1033" s="38">
        <f>IF($A1033="","",IFERROR(IF(INDEX(Pledges!$D$5:$D$2500,MATCH($G1033,Pledges!$K$5:$K$2500,0))="","⚠ no amount on Pledges",IF(INDEX(Pledges!$B$5:$B$2500,MATCH($G1033,Pledges!$K$5:$K$2500,0))="","",INDEX(Pledges!$B$5:$B$2500,MATCH($G1033,Pledges!$K$5:$K$2500,0)))),"⚠ phone not in Pledges"))</f>
      </c>
      <c r="C1033" s="12"/>
      <c r="D1033" s="13"/>
      <c r="E1033" s="22"/>
      <c r="F1033" s="23"/>
      <c r="G1033">
        <f>IF($A1033="","","#"&amp;TRIM(SUBSTITUTE(SUBSTITUTE(SUBSTITUTE(SUBSTITUTE(SUBSTITUTE(SUBSTITUTE($A1033,"-",""),"(",""),")",""),".",""),"+","")," ","")))</f>
      </c>
    </row>
    <row r="1034" spans="1:7" x14ac:dyDescent="0.3">
      <c r="A1034" s="11"/>
      <c r="B1034" s="38">
        <f>IF($A1034="","",IFERROR(IF(INDEX(Pledges!$D$5:$D$2500,MATCH($G1034,Pledges!$K$5:$K$2500,0))="","⚠ no amount on Pledges",IF(INDEX(Pledges!$B$5:$B$2500,MATCH($G1034,Pledges!$K$5:$K$2500,0))="","",INDEX(Pledges!$B$5:$B$2500,MATCH($G1034,Pledges!$K$5:$K$2500,0)))),"⚠ phone not in Pledges"))</f>
      </c>
      <c r="C1034" s="12"/>
      <c r="D1034" s="13"/>
      <c r="E1034" s="22"/>
      <c r="F1034" s="23"/>
      <c r="G1034">
        <f>IF($A1034="","","#"&amp;TRIM(SUBSTITUTE(SUBSTITUTE(SUBSTITUTE(SUBSTITUTE(SUBSTITUTE(SUBSTITUTE($A1034,"-",""),"(",""),")",""),".",""),"+","")," ","")))</f>
      </c>
    </row>
    <row r="1035" spans="1:7" x14ac:dyDescent="0.3">
      <c r="A1035" s="11"/>
      <c r="B1035" s="38">
        <f>IF($A1035="","",IFERROR(IF(INDEX(Pledges!$D$5:$D$2500,MATCH($G1035,Pledges!$K$5:$K$2500,0))="","⚠ no amount on Pledges",IF(INDEX(Pledges!$B$5:$B$2500,MATCH($G1035,Pledges!$K$5:$K$2500,0))="","",INDEX(Pledges!$B$5:$B$2500,MATCH($G1035,Pledges!$K$5:$K$2500,0)))),"⚠ phone not in Pledges"))</f>
      </c>
      <c r="C1035" s="12"/>
      <c r="D1035" s="13"/>
      <c r="E1035" s="22"/>
      <c r="F1035" s="23"/>
      <c r="G1035">
        <f>IF($A1035="","","#"&amp;TRIM(SUBSTITUTE(SUBSTITUTE(SUBSTITUTE(SUBSTITUTE(SUBSTITUTE(SUBSTITUTE($A1035,"-",""),"(",""),")",""),".",""),"+","")," ","")))</f>
      </c>
    </row>
    <row r="1036" spans="1:7" x14ac:dyDescent="0.3">
      <c r="A1036" s="11"/>
      <c r="B1036" s="38">
        <f>IF($A1036="","",IFERROR(IF(INDEX(Pledges!$D$5:$D$2500,MATCH($G1036,Pledges!$K$5:$K$2500,0))="","⚠ no amount on Pledges",IF(INDEX(Pledges!$B$5:$B$2500,MATCH($G1036,Pledges!$K$5:$K$2500,0))="","",INDEX(Pledges!$B$5:$B$2500,MATCH($G1036,Pledges!$K$5:$K$2500,0)))),"⚠ phone not in Pledges"))</f>
      </c>
      <c r="C1036" s="12"/>
      <c r="D1036" s="13"/>
      <c r="E1036" s="22"/>
      <c r="F1036" s="23"/>
      <c r="G1036">
        <f>IF($A1036="","","#"&amp;TRIM(SUBSTITUTE(SUBSTITUTE(SUBSTITUTE(SUBSTITUTE(SUBSTITUTE(SUBSTITUTE($A1036,"-",""),"(",""),")",""),".",""),"+","")," ","")))</f>
      </c>
    </row>
    <row r="1037" spans="1:7" x14ac:dyDescent="0.3">
      <c r="A1037" s="11"/>
      <c r="B1037" s="38">
        <f>IF($A1037="","",IFERROR(IF(INDEX(Pledges!$D$5:$D$2500,MATCH($G1037,Pledges!$K$5:$K$2500,0))="","⚠ no amount on Pledges",IF(INDEX(Pledges!$B$5:$B$2500,MATCH($G1037,Pledges!$K$5:$K$2500,0))="","",INDEX(Pledges!$B$5:$B$2500,MATCH($G1037,Pledges!$K$5:$K$2500,0)))),"⚠ phone not in Pledges"))</f>
      </c>
      <c r="C1037" s="12"/>
      <c r="D1037" s="13"/>
      <c r="E1037" s="22"/>
      <c r="F1037" s="23"/>
      <c r="G1037">
        <f>IF($A1037="","","#"&amp;TRIM(SUBSTITUTE(SUBSTITUTE(SUBSTITUTE(SUBSTITUTE(SUBSTITUTE(SUBSTITUTE($A1037,"-",""),"(",""),")",""),".",""),"+","")," ","")))</f>
      </c>
    </row>
    <row r="1038" spans="1:7" x14ac:dyDescent="0.3">
      <c r="A1038" s="11"/>
      <c r="B1038" s="38">
        <f>IF($A1038="","",IFERROR(IF(INDEX(Pledges!$D$5:$D$2500,MATCH($G1038,Pledges!$K$5:$K$2500,0))="","⚠ no amount on Pledges",IF(INDEX(Pledges!$B$5:$B$2500,MATCH($G1038,Pledges!$K$5:$K$2500,0))="","",INDEX(Pledges!$B$5:$B$2500,MATCH($G1038,Pledges!$K$5:$K$2500,0)))),"⚠ phone not in Pledges"))</f>
      </c>
      <c r="C1038" s="12"/>
      <c r="D1038" s="13"/>
      <c r="E1038" s="22"/>
      <c r="F1038" s="23"/>
      <c r="G1038">
        <f>IF($A1038="","","#"&amp;TRIM(SUBSTITUTE(SUBSTITUTE(SUBSTITUTE(SUBSTITUTE(SUBSTITUTE(SUBSTITUTE($A1038,"-",""),"(",""),")",""),".",""),"+","")," ","")))</f>
      </c>
    </row>
    <row r="1039" spans="1:7" x14ac:dyDescent="0.3">
      <c r="A1039" s="11"/>
      <c r="B1039" s="38">
        <f>IF($A1039="","",IFERROR(IF(INDEX(Pledges!$D$5:$D$2500,MATCH($G1039,Pledges!$K$5:$K$2500,0))="","⚠ no amount on Pledges",IF(INDEX(Pledges!$B$5:$B$2500,MATCH($G1039,Pledges!$K$5:$K$2500,0))="","",INDEX(Pledges!$B$5:$B$2500,MATCH($G1039,Pledges!$K$5:$K$2500,0)))),"⚠ phone not in Pledges"))</f>
      </c>
      <c r="C1039" s="12"/>
      <c r="D1039" s="13"/>
      <c r="E1039" s="22"/>
      <c r="F1039" s="23"/>
      <c r="G1039">
        <f>IF($A1039="","","#"&amp;TRIM(SUBSTITUTE(SUBSTITUTE(SUBSTITUTE(SUBSTITUTE(SUBSTITUTE(SUBSTITUTE($A1039,"-",""),"(",""),")",""),".",""),"+","")," ","")))</f>
      </c>
    </row>
    <row r="1040" spans="1:7" x14ac:dyDescent="0.3">
      <c r="A1040" s="11"/>
      <c r="B1040" s="38">
        <f>IF($A1040="","",IFERROR(IF(INDEX(Pledges!$D$5:$D$2500,MATCH($G1040,Pledges!$K$5:$K$2500,0))="","⚠ no amount on Pledges",IF(INDEX(Pledges!$B$5:$B$2500,MATCH($G1040,Pledges!$K$5:$K$2500,0))="","",INDEX(Pledges!$B$5:$B$2500,MATCH($G1040,Pledges!$K$5:$K$2500,0)))),"⚠ phone not in Pledges"))</f>
      </c>
      <c r="C1040" s="12"/>
      <c r="D1040" s="13"/>
      <c r="E1040" s="22"/>
      <c r="F1040" s="23"/>
      <c r="G1040">
        <f>IF($A1040="","","#"&amp;TRIM(SUBSTITUTE(SUBSTITUTE(SUBSTITUTE(SUBSTITUTE(SUBSTITUTE(SUBSTITUTE($A1040,"-",""),"(",""),")",""),".",""),"+","")," ","")))</f>
      </c>
    </row>
    <row r="1041" spans="1:7" x14ac:dyDescent="0.3">
      <c r="A1041" s="11"/>
      <c r="B1041" s="38">
        <f>IF($A1041="","",IFERROR(IF(INDEX(Pledges!$D$5:$D$2500,MATCH($G1041,Pledges!$K$5:$K$2500,0))="","⚠ no amount on Pledges",IF(INDEX(Pledges!$B$5:$B$2500,MATCH($G1041,Pledges!$K$5:$K$2500,0))="","",INDEX(Pledges!$B$5:$B$2500,MATCH($G1041,Pledges!$K$5:$K$2500,0)))),"⚠ phone not in Pledges"))</f>
      </c>
      <c r="C1041" s="12"/>
      <c r="D1041" s="13"/>
      <c r="E1041" s="22"/>
      <c r="F1041" s="23"/>
      <c r="G1041">
        <f>IF($A1041="","","#"&amp;TRIM(SUBSTITUTE(SUBSTITUTE(SUBSTITUTE(SUBSTITUTE(SUBSTITUTE(SUBSTITUTE($A1041,"-",""),"(",""),")",""),".",""),"+","")," ","")))</f>
      </c>
    </row>
    <row r="1042" spans="1:7" x14ac:dyDescent="0.3">
      <c r="A1042" s="11"/>
      <c r="B1042" s="38">
        <f>IF($A1042="","",IFERROR(IF(INDEX(Pledges!$D$5:$D$2500,MATCH($G1042,Pledges!$K$5:$K$2500,0))="","⚠ no amount on Pledges",IF(INDEX(Pledges!$B$5:$B$2500,MATCH($G1042,Pledges!$K$5:$K$2500,0))="","",INDEX(Pledges!$B$5:$B$2500,MATCH($G1042,Pledges!$K$5:$K$2500,0)))),"⚠ phone not in Pledges"))</f>
      </c>
      <c r="C1042" s="12"/>
      <c r="D1042" s="13"/>
      <c r="E1042" s="22"/>
      <c r="F1042" s="23"/>
      <c r="G1042">
        <f>IF($A1042="","","#"&amp;TRIM(SUBSTITUTE(SUBSTITUTE(SUBSTITUTE(SUBSTITUTE(SUBSTITUTE(SUBSTITUTE($A1042,"-",""),"(",""),")",""),".",""),"+","")," ","")))</f>
      </c>
    </row>
    <row r="1043" spans="1:7" x14ac:dyDescent="0.3">
      <c r="A1043" s="11"/>
      <c r="B1043" s="38">
        <f>IF($A1043="","",IFERROR(IF(INDEX(Pledges!$D$5:$D$2500,MATCH($G1043,Pledges!$K$5:$K$2500,0))="","⚠ no amount on Pledges",IF(INDEX(Pledges!$B$5:$B$2500,MATCH($G1043,Pledges!$K$5:$K$2500,0))="","",INDEX(Pledges!$B$5:$B$2500,MATCH($G1043,Pledges!$K$5:$K$2500,0)))),"⚠ phone not in Pledges"))</f>
      </c>
      <c r="C1043" s="12"/>
      <c r="D1043" s="13"/>
      <c r="E1043" s="22"/>
      <c r="F1043" s="23"/>
      <c r="G1043">
        <f>IF($A1043="","","#"&amp;TRIM(SUBSTITUTE(SUBSTITUTE(SUBSTITUTE(SUBSTITUTE(SUBSTITUTE(SUBSTITUTE($A1043,"-",""),"(",""),")",""),".",""),"+","")," ","")))</f>
      </c>
    </row>
    <row r="1044" spans="1:7" x14ac:dyDescent="0.3">
      <c r="A1044" s="11"/>
      <c r="B1044" s="38">
        <f>IF($A1044="","",IFERROR(IF(INDEX(Pledges!$D$5:$D$2500,MATCH($G1044,Pledges!$K$5:$K$2500,0))="","⚠ no amount on Pledges",IF(INDEX(Pledges!$B$5:$B$2500,MATCH($G1044,Pledges!$K$5:$K$2500,0))="","",INDEX(Pledges!$B$5:$B$2500,MATCH($G1044,Pledges!$K$5:$K$2500,0)))),"⚠ phone not in Pledges"))</f>
      </c>
      <c r="C1044" s="12"/>
      <c r="D1044" s="13"/>
      <c r="E1044" s="22"/>
      <c r="F1044" s="23"/>
      <c r="G1044">
        <f>IF($A1044="","","#"&amp;TRIM(SUBSTITUTE(SUBSTITUTE(SUBSTITUTE(SUBSTITUTE(SUBSTITUTE(SUBSTITUTE($A1044,"-",""),"(",""),")",""),".",""),"+","")," ","")))</f>
      </c>
    </row>
    <row r="1045" spans="1:7" x14ac:dyDescent="0.3">
      <c r="A1045" s="11"/>
      <c r="B1045" s="38">
        <f>IF($A1045="","",IFERROR(IF(INDEX(Pledges!$D$5:$D$2500,MATCH($G1045,Pledges!$K$5:$K$2500,0))="","⚠ no amount on Pledges",IF(INDEX(Pledges!$B$5:$B$2500,MATCH($G1045,Pledges!$K$5:$K$2500,0))="","",INDEX(Pledges!$B$5:$B$2500,MATCH($G1045,Pledges!$K$5:$K$2500,0)))),"⚠ phone not in Pledges"))</f>
      </c>
      <c r="C1045" s="12"/>
      <c r="D1045" s="13"/>
      <c r="E1045" s="22"/>
      <c r="F1045" s="23"/>
      <c r="G1045">
        <f>IF($A1045="","","#"&amp;TRIM(SUBSTITUTE(SUBSTITUTE(SUBSTITUTE(SUBSTITUTE(SUBSTITUTE(SUBSTITUTE($A1045,"-",""),"(",""),")",""),".",""),"+","")," ","")))</f>
      </c>
    </row>
    <row r="1046" spans="1:7" x14ac:dyDescent="0.3">
      <c r="A1046" s="11"/>
      <c r="B1046" s="38">
        <f>IF($A1046="","",IFERROR(IF(INDEX(Pledges!$D$5:$D$2500,MATCH($G1046,Pledges!$K$5:$K$2500,0))="","⚠ no amount on Pledges",IF(INDEX(Pledges!$B$5:$B$2500,MATCH($G1046,Pledges!$K$5:$K$2500,0))="","",INDEX(Pledges!$B$5:$B$2500,MATCH($G1046,Pledges!$K$5:$K$2500,0)))),"⚠ phone not in Pledges"))</f>
      </c>
      <c r="C1046" s="12"/>
      <c r="D1046" s="13"/>
      <c r="E1046" s="22"/>
      <c r="F1046" s="23"/>
      <c r="G1046">
        <f>IF($A1046="","","#"&amp;TRIM(SUBSTITUTE(SUBSTITUTE(SUBSTITUTE(SUBSTITUTE(SUBSTITUTE(SUBSTITUTE($A1046,"-",""),"(",""),")",""),".",""),"+","")," ","")))</f>
      </c>
    </row>
    <row r="1047" spans="1:7" x14ac:dyDescent="0.3">
      <c r="A1047" s="11"/>
      <c r="B1047" s="38">
        <f>IF($A1047="","",IFERROR(IF(INDEX(Pledges!$D$5:$D$2500,MATCH($G1047,Pledges!$K$5:$K$2500,0))="","⚠ no amount on Pledges",IF(INDEX(Pledges!$B$5:$B$2500,MATCH($G1047,Pledges!$K$5:$K$2500,0))="","",INDEX(Pledges!$B$5:$B$2500,MATCH($G1047,Pledges!$K$5:$K$2500,0)))),"⚠ phone not in Pledges"))</f>
      </c>
      <c r="C1047" s="12"/>
      <c r="D1047" s="13"/>
      <c r="E1047" s="22"/>
      <c r="F1047" s="23"/>
      <c r="G1047">
        <f>IF($A1047="","","#"&amp;TRIM(SUBSTITUTE(SUBSTITUTE(SUBSTITUTE(SUBSTITUTE(SUBSTITUTE(SUBSTITUTE($A1047,"-",""),"(",""),")",""),".",""),"+","")," ","")))</f>
      </c>
    </row>
    <row r="1048" spans="1:7" x14ac:dyDescent="0.3">
      <c r="A1048" s="11"/>
      <c r="B1048" s="38">
        <f>IF($A1048="","",IFERROR(IF(INDEX(Pledges!$D$5:$D$2500,MATCH($G1048,Pledges!$K$5:$K$2500,0))="","⚠ no amount on Pledges",IF(INDEX(Pledges!$B$5:$B$2500,MATCH($G1048,Pledges!$K$5:$K$2500,0))="","",INDEX(Pledges!$B$5:$B$2500,MATCH($G1048,Pledges!$K$5:$K$2500,0)))),"⚠ phone not in Pledges"))</f>
      </c>
      <c r="C1048" s="12"/>
      <c r="D1048" s="13"/>
      <c r="E1048" s="22"/>
      <c r="F1048" s="23"/>
      <c r="G1048">
        <f>IF($A1048="","","#"&amp;TRIM(SUBSTITUTE(SUBSTITUTE(SUBSTITUTE(SUBSTITUTE(SUBSTITUTE(SUBSTITUTE($A1048,"-",""),"(",""),")",""),".",""),"+","")," ","")))</f>
      </c>
    </row>
    <row r="1049" spans="1:7" x14ac:dyDescent="0.3">
      <c r="A1049" s="11"/>
      <c r="B1049" s="38">
        <f>IF($A1049="","",IFERROR(IF(INDEX(Pledges!$D$5:$D$2500,MATCH($G1049,Pledges!$K$5:$K$2500,0))="","⚠ no amount on Pledges",IF(INDEX(Pledges!$B$5:$B$2500,MATCH($G1049,Pledges!$K$5:$K$2500,0))="","",INDEX(Pledges!$B$5:$B$2500,MATCH($G1049,Pledges!$K$5:$K$2500,0)))),"⚠ phone not in Pledges"))</f>
      </c>
      <c r="C1049" s="12"/>
      <c r="D1049" s="13"/>
      <c r="E1049" s="22"/>
      <c r="F1049" s="23"/>
      <c r="G1049">
        <f>IF($A1049="","","#"&amp;TRIM(SUBSTITUTE(SUBSTITUTE(SUBSTITUTE(SUBSTITUTE(SUBSTITUTE(SUBSTITUTE($A1049,"-",""),"(",""),")",""),".",""),"+","")," ","")))</f>
      </c>
    </row>
    <row r="1050" spans="1:7" x14ac:dyDescent="0.3">
      <c r="A1050" s="11"/>
      <c r="B1050" s="38">
        <f>IF($A1050="","",IFERROR(IF(INDEX(Pledges!$D$5:$D$2500,MATCH($G1050,Pledges!$K$5:$K$2500,0))="","⚠ no amount on Pledges",IF(INDEX(Pledges!$B$5:$B$2500,MATCH($G1050,Pledges!$K$5:$K$2500,0))="","",INDEX(Pledges!$B$5:$B$2500,MATCH($G1050,Pledges!$K$5:$K$2500,0)))),"⚠ phone not in Pledges"))</f>
      </c>
      <c r="C1050" s="12"/>
      <c r="D1050" s="13"/>
      <c r="E1050" s="22"/>
      <c r="F1050" s="23"/>
      <c r="G1050">
        <f>IF($A1050="","","#"&amp;TRIM(SUBSTITUTE(SUBSTITUTE(SUBSTITUTE(SUBSTITUTE(SUBSTITUTE(SUBSTITUTE($A1050,"-",""),"(",""),")",""),".",""),"+","")," ","")))</f>
      </c>
    </row>
    <row r="1051" spans="1:7" x14ac:dyDescent="0.3">
      <c r="A1051" s="11"/>
      <c r="B1051" s="38">
        <f>IF($A1051="","",IFERROR(IF(INDEX(Pledges!$D$5:$D$2500,MATCH($G1051,Pledges!$K$5:$K$2500,0))="","⚠ no amount on Pledges",IF(INDEX(Pledges!$B$5:$B$2500,MATCH($G1051,Pledges!$K$5:$K$2500,0))="","",INDEX(Pledges!$B$5:$B$2500,MATCH($G1051,Pledges!$K$5:$K$2500,0)))),"⚠ phone not in Pledges"))</f>
      </c>
      <c r="C1051" s="12"/>
      <c r="D1051" s="13"/>
      <c r="E1051" s="22"/>
      <c r="F1051" s="23"/>
      <c r="G1051">
        <f>IF($A1051="","","#"&amp;TRIM(SUBSTITUTE(SUBSTITUTE(SUBSTITUTE(SUBSTITUTE(SUBSTITUTE(SUBSTITUTE($A1051,"-",""),"(",""),")",""),".",""),"+","")," ","")))</f>
      </c>
    </row>
    <row r="1052" spans="1:7" x14ac:dyDescent="0.3">
      <c r="A1052" s="11"/>
      <c r="B1052" s="38">
        <f>IF($A1052="","",IFERROR(IF(INDEX(Pledges!$D$5:$D$2500,MATCH($G1052,Pledges!$K$5:$K$2500,0))="","⚠ no amount on Pledges",IF(INDEX(Pledges!$B$5:$B$2500,MATCH($G1052,Pledges!$K$5:$K$2500,0))="","",INDEX(Pledges!$B$5:$B$2500,MATCH($G1052,Pledges!$K$5:$K$2500,0)))),"⚠ phone not in Pledges"))</f>
      </c>
      <c r="C1052" s="12"/>
      <c r="D1052" s="13"/>
      <c r="E1052" s="22"/>
      <c r="F1052" s="23"/>
      <c r="G1052">
        <f>IF($A1052="","","#"&amp;TRIM(SUBSTITUTE(SUBSTITUTE(SUBSTITUTE(SUBSTITUTE(SUBSTITUTE(SUBSTITUTE($A1052,"-",""),"(",""),")",""),".",""),"+","")," ","")))</f>
      </c>
    </row>
    <row r="1053" spans="1:7" x14ac:dyDescent="0.3">
      <c r="A1053" s="11"/>
      <c r="B1053" s="38">
        <f>IF($A1053="","",IFERROR(IF(INDEX(Pledges!$D$5:$D$2500,MATCH($G1053,Pledges!$K$5:$K$2500,0))="","⚠ no amount on Pledges",IF(INDEX(Pledges!$B$5:$B$2500,MATCH($G1053,Pledges!$K$5:$K$2500,0))="","",INDEX(Pledges!$B$5:$B$2500,MATCH($G1053,Pledges!$K$5:$K$2500,0)))),"⚠ phone not in Pledges"))</f>
      </c>
      <c r="C1053" s="12"/>
      <c r="D1053" s="13"/>
      <c r="E1053" s="22"/>
      <c r="F1053" s="23"/>
      <c r="G1053">
        <f>IF($A1053="","","#"&amp;TRIM(SUBSTITUTE(SUBSTITUTE(SUBSTITUTE(SUBSTITUTE(SUBSTITUTE(SUBSTITUTE($A1053,"-",""),"(",""),")",""),".",""),"+","")," ","")))</f>
      </c>
    </row>
    <row r="1054" spans="1:7" x14ac:dyDescent="0.3">
      <c r="A1054" s="11"/>
      <c r="B1054" s="38">
        <f>IF($A1054="","",IFERROR(IF(INDEX(Pledges!$D$5:$D$2500,MATCH($G1054,Pledges!$K$5:$K$2500,0))="","⚠ no amount on Pledges",IF(INDEX(Pledges!$B$5:$B$2500,MATCH($G1054,Pledges!$K$5:$K$2500,0))="","",INDEX(Pledges!$B$5:$B$2500,MATCH($G1054,Pledges!$K$5:$K$2500,0)))),"⚠ phone not in Pledges"))</f>
      </c>
      <c r="C1054" s="12"/>
      <c r="D1054" s="13"/>
      <c r="E1054" s="22"/>
      <c r="F1054" s="23"/>
      <c r="G1054">
        <f>IF($A1054="","","#"&amp;TRIM(SUBSTITUTE(SUBSTITUTE(SUBSTITUTE(SUBSTITUTE(SUBSTITUTE(SUBSTITUTE($A1054,"-",""),"(",""),")",""),".",""),"+","")," ","")))</f>
      </c>
    </row>
    <row r="1055" spans="1:7" x14ac:dyDescent="0.3">
      <c r="A1055" s="11"/>
      <c r="B1055" s="38">
        <f>IF($A1055="","",IFERROR(IF(INDEX(Pledges!$D$5:$D$2500,MATCH($G1055,Pledges!$K$5:$K$2500,0))="","⚠ no amount on Pledges",IF(INDEX(Pledges!$B$5:$B$2500,MATCH($G1055,Pledges!$K$5:$K$2500,0))="","",INDEX(Pledges!$B$5:$B$2500,MATCH($G1055,Pledges!$K$5:$K$2500,0)))),"⚠ phone not in Pledges"))</f>
      </c>
      <c r="C1055" s="12"/>
      <c r="D1055" s="13"/>
      <c r="E1055" s="22"/>
      <c r="F1055" s="23"/>
      <c r="G1055">
        <f>IF($A1055="","","#"&amp;TRIM(SUBSTITUTE(SUBSTITUTE(SUBSTITUTE(SUBSTITUTE(SUBSTITUTE(SUBSTITUTE($A1055,"-",""),"(",""),")",""),".",""),"+","")," ","")))</f>
      </c>
    </row>
    <row r="1056" spans="1:7" x14ac:dyDescent="0.3">
      <c r="A1056" s="11"/>
      <c r="B1056" s="38">
        <f>IF($A1056="","",IFERROR(IF(INDEX(Pledges!$D$5:$D$2500,MATCH($G1056,Pledges!$K$5:$K$2500,0))="","⚠ no amount on Pledges",IF(INDEX(Pledges!$B$5:$B$2500,MATCH($G1056,Pledges!$K$5:$K$2500,0))="","",INDEX(Pledges!$B$5:$B$2500,MATCH($G1056,Pledges!$K$5:$K$2500,0)))),"⚠ phone not in Pledges"))</f>
      </c>
      <c r="C1056" s="12"/>
      <c r="D1056" s="13"/>
      <c r="E1056" s="22"/>
      <c r="F1056" s="23"/>
      <c r="G1056">
        <f>IF($A1056="","","#"&amp;TRIM(SUBSTITUTE(SUBSTITUTE(SUBSTITUTE(SUBSTITUTE(SUBSTITUTE(SUBSTITUTE($A1056,"-",""),"(",""),")",""),".",""),"+","")," ","")))</f>
      </c>
    </row>
    <row r="1057" spans="1:7" x14ac:dyDescent="0.3">
      <c r="A1057" s="11"/>
      <c r="B1057" s="38">
        <f>IF($A1057="","",IFERROR(IF(INDEX(Pledges!$D$5:$D$2500,MATCH($G1057,Pledges!$K$5:$K$2500,0))="","⚠ no amount on Pledges",IF(INDEX(Pledges!$B$5:$B$2500,MATCH($G1057,Pledges!$K$5:$K$2500,0))="","",INDEX(Pledges!$B$5:$B$2500,MATCH($G1057,Pledges!$K$5:$K$2500,0)))),"⚠ phone not in Pledges"))</f>
      </c>
      <c r="C1057" s="12"/>
      <c r="D1057" s="13"/>
      <c r="E1057" s="22"/>
      <c r="F1057" s="23"/>
      <c r="G1057">
        <f>IF($A1057="","","#"&amp;TRIM(SUBSTITUTE(SUBSTITUTE(SUBSTITUTE(SUBSTITUTE(SUBSTITUTE(SUBSTITUTE($A1057,"-",""),"(",""),")",""),".",""),"+","")," ","")))</f>
      </c>
    </row>
    <row r="1058" spans="1:7" x14ac:dyDescent="0.3">
      <c r="A1058" s="11"/>
      <c r="B1058" s="38">
        <f>IF($A1058="","",IFERROR(IF(INDEX(Pledges!$D$5:$D$2500,MATCH($G1058,Pledges!$K$5:$K$2500,0))="","⚠ no amount on Pledges",IF(INDEX(Pledges!$B$5:$B$2500,MATCH($G1058,Pledges!$K$5:$K$2500,0))="","",INDEX(Pledges!$B$5:$B$2500,MATCH($G1058,Pledges!$K$5:$K$2500,0)))),"⚠ phone not in Pledges"))</f>
      </c>
      <c r="C1058" s="12"/>
      <c r="D1058" s="13"/>
      <c r="E1058" s="22"/>
      <c r="F1058" s="23"/>
      <c r="G1058">
        <f>IF($A1058="","","#"&amp;TRIM(SUBSTITUTE(SUBSTITUTE(SUBSTITUTE(SUBSTITUTE(SUBSTITUTE(SUBSTITUTE($A1058,"-",""),"(",""),")",""),".",""),"+","")," ","")))</f>
      </c>
    </row>
    <row r="1059" spans="1:7" x14ac:dyDescent="0.3">
      <c r="A1059" s="11"/>
      <c r="B1059" s="38">
        <f>IF($A1059="","",IFERROR(IF(INDEX(Pledges!$D$5:$D$2500,MATCH($G1059,Pledges!$K$5:$K$2500,0))="","⚠ no amount on Pledges",IF(INDEX(Pledges!$B$5:$B$2500,MATCH($G1059,Pledges!$K$5:$K$2500,0))="","",INDEX(Pledges!$B$5:$B$2500,MATCH($G1059,Pledges!$K$5:$K$2500,0)))),"⚠ phone not in Pledges"))</f>
      </c>
      <c r="C1059" s="12"/>
      <c r="D1059" s="13"/>
      <c r="E1059" s="22"/>
      <c r="F1059" s="23"/>
      <c r="G1059">
        <f>IF($A1059="","","#"&amp;TRIM(SUBSTITUTE(SUBSTITUTE(SUBSTITUTE(SUBSTITUTE(SUBSTITUTE(SUBSTITUTE($A1059,"-",""),"(",""),")",""),".",""),"+","")," ","")))</f>
      </c>
    </row>
    <row r="1060" spans="1:7" x14ac:dyDescent="0.3">
      <c r="A1060" s="11"/>
      <c r="B1060" s="38">
        <f>IF($A1060="","",IFERROR(IF(INDEX(Pledges!$D$5:$D$2500,MATCH($G1060,Pledges!$K$5:$K$2500,0))="","⚠ no amount on Pledges",IF(INDEX(Pledges!$B$5:$B$2500,MATCH($G1060,Pledges!$K$5:$K$2500,0))="","",INDEX(Pledges!$B$5:$B$2500,MATCH($G1060,Pledges!$K$5:$K$2500,0)))),"⚠ phone not in Pledges"))</f>
      </c>
      <c r="C1060" s="12"/>
      <c r="D1060" s="13"/>
      <c r="E1060" s="22"/>
      <c r="F1060" s="23"/>
      <c r="G1060">
        <f>IF($A1060="","","#"&amp;TRIM(SUBSTITUTE(SUBSTITUTE(SUBSTITUTE(SUBSTITUTE(SUBSTITUTE(SUBSTITUTE($A1060,"-",""),"(",""),")",""),".",""),"+","")," ","")))</f>
      </c>
    </row>
    <row r="1061" spans="1:7" x14ac:dyDescent="0.3">
      <c r="A1061" s="11"/>
      <c r="B1061" s="38">
        <f>IF($A1061="","",IFERROR(IF(INDEX(Pledges!$D$5:$D$2500,MATCH($G1061,Pledges!$K$5:$K$2500,0))="","⚠ no amount on Pledges",IF(INDEX(Pledges!$B$5:$B$2500,MATCH($G1061,Pledges!$K$5:$K$2500,0))="","",INDEX(Pledges!$B$5:$B$2500,MATCH($G1061,Pledges!$K$5:$K$2500,0)))),"⚠ phone not in Pledges"))</f>
      </c>
      <c r="C1061" s="12"/>
      <c r="D1061" s="13"/>
      <c r="E1061" s="22"/>
      <c r="F1061" s="23"/>
      <c r="G1061">
        <f>IF($A1061="","","#"&amp;TRIM(SUBSTITUTE(SUBSTITUTE(SUBSTITUTE(SUBSTITUTE(SUBSTITUTE(SUBSTITUTE($A1061,"-",""),"(",""),")",""),".",""),"+","")," ","")))</f>
      </c>
    </row>
    <row r="1062" spans="1:7" x14ac:dyDescent="0.3">
      <c r="A1062" s="11"/>
      <c r="B1062" s="38">
        <f>IF($A1062="","",IFERROR(IF(INDEX(Pledges!$D$5:$D$2500,MATCH($G1062,Pledges!$K$5:$K$2500,0))="","⚠ no amount on Pledges",IF(INDEX(Pledges!$B$5:$B$2500,MATCH($G1062,Pledges!$K$5:$K$2500,0))="","",INDEX(Pledges!$B$5:$B$2500,MATCH($G1062,Pledges!$K$5:$K$2500,0)))),"⚠ phone not in Pledges"))</f>
      </c>
      <c r="C1062" s="12"/>
      <c r="D1062" s="13"/>
      <c r="E1062" s="22"/>
      <c r="F1062" s="23"/>
      <c r="G1062">
        <f>IF($A1062="","","#"&amp;TRIM(SUBSTITUTE(SUBSTITUTE(SUBSTITUTE(SUBSTITUTE(SUBSTITUTE(SUBSTITUTE($A1062,"-",""),"(",""),")",""),".",""),"+","")," ","")))</f>
      </c>
    </row>
    <row r="1063" spans="1:7" x14ac:dyDescent="0.3">
      <c r="A1063" s="11"/>
      <c r="B1063" s="38">
        <f>IF($A1063="","",IFERROR(IF(INDEX(Pledges!$D$5:$D$2500,MATCH($G1063,Pledges!$K$5:$K$2500,0))="","⚠ no amount on Pledges",IF(INDEX(Pledges!$B$5:$B$2500,MATCH($G1063,Pledges!$K$5:$K$2500,0))="","",INDEX(Pledges!$B$5:$B$2500,MATCH($G1063,Pledges!$K$5:$K$2500,0)))),"⚠ phone not in Pledges"))</f>
      </c>
      <c r="C1063" s="12"/>
      <c r="D1063" s="13"/>
      <c r="E1063" s="22"/>
      <c r="F1063" s="23"/>
      <c r="G1063">
        <f>IF($A1063="","","#"&amp;TRIM(SUBSTITUTE(SUBSTITUTE(SUBSTITUTE(SUBSTITUTE(SUBSTITUTE(SUBSTITUTE($A1063,"-",""),"(",""),")",""),".",""),"+","")," ","")))</f>
      </c>
    </row>
    <row r="1064" spans="1:7" x14ac:dyDescent="0.3">
      <c r="A1064" s="11"/>
      <c r="B1064" s="38">
        <f>IF($A1064="","",IFERROR(IF(INDEX(Pledges!$D$5:$D$2500,MATCH($G1064,Pledges!$K$5:$K$2500,0))="","⚠ no amount on Pledges",IF(INDEX(Pledges!$B$5:$B$2500,MATCH($G1064,Pledges!$K$5:$K$2500,0))="","",INDEX(Pledges!$B$5:$B$2500,MATCH($G1064,Pledges!$K$5:$K$2500,0)))),"⚠ phone not in Pledges"))</f>
      </c>
      <c r="C1064" s="12"/>
      <c r="D1064" s="13"/>
      <c r="E1064" s="22"/>
      <c r="F1064" s="23"/>
      <c r="G1064">
        <f>IF($A1064="","","#"&amp;TRIM(SUBSTITUTE(SUBSTITUTE(SUBSTITUTE(SUBSTITUTE(SUBSTITUTE(SUBSTITUTE($A1064,"-",""),"(",""),")",""),".",""),"+","")," ","")))</f>
      </c>
    </row>
    <row r="1065" spans="1:7" x14ac:dyDescent="0.3">
      <c r="A1065" s="11"/>
      <c r="B1065" s="38">
        <f>IF($A1065="","",IFERROR(IF(INDEX(Pledges!$D$5:$D$2500,MATCH($G1065,Pledges!$K$5:$K$2500,0))="","⚠ no amount on Pledges",IF(INDEX(Pledges!$B$5:$B$2500,MATCH($G1065,Pledges!$K$5:$K$2500,0))="","",INDEX(Pledges!$B$5:$B$2500,MATCH($G1065,Pledges!$K$5:$K$2500,0)))),"⚠ phone not in Pledges"))</f>
      </c>
      <c r="C1065" s="12"/>
      <c r="D1065" s="13"/>
      <c r="E1065" s="22"/>
      <c r="F1065" s="23"/>
      <c r="G1065">
        <f>IF($A1065="","","#"&amp;TRIM(SUBSTITUTE(SUBSTITUTE(SUBSTITUTE(SUBSTITUTE(SUBSTITUTE(SUBSTITUTE($A1065,"-",""),"(",""),")",""),".",""),"+","")," ","")))</f>
      </c>
    </row>
    <row r="1066" spans="1:7" x14ac:dyDescent="0.3">
      <c r="A1066" s="11"/>
      <c r="B1066" s="38">
        <f>IF($A1066="","",IFERROR(IF(INDEX(Pledges!$D$5:$D$2500,MATCH($G1066,Pledges!$K$5:$K$2500,0))="","⚠ no amount on Pledges",IF(INDEX(Pledges!$B$5:$B$2500,MATCH($G1066,Pledges!$K$5:$K$2500,0))="","",INDEX(Pledges!$B$5:$B$2500,MATCH($G1066,Pledges!$K$5:$K$2500,0)))),"⚠ phone not in Pledges"))</f>
      </c>
      <c r="C1066" s="12"/>
      <c r="D1066" s="13"/>
      <c r="E1066" s="22"/>
      <c r="F1066" s="23"/>
      <c r="G1066">
        <f>IF($A1066="","","#"&amp;TRIM(SUBSTITUTE(SUBSTITUTE(SUBSTITUTE(SUBSTITUTE(SUBSTITUTE(SUBSTITUTE($A1066,"-",""),"(",""),")",""),".",""),"+","")," ","")))</f>
      </c>
    </row>
    <row r="1067" spans="1:7" x14ac:dyDescent="0.3">
      <c r="A1067" s="11"/>
      <c r="B1067" s="38">
        <f>IF($A1067="","",IFERROR(IF(INDEX(Pledges!$D$5:$D$2500,MATCH($G1067,Pledges!$K$5:$K$2500,0))="","⚠ no amount on Pledges",IF(INDEX(Pledges!$B$5:$B$2500,MATCH($G1067,Pledges!$K$5:$K$2500,0))="","",INDEX(Pledges!$B$5:$B$2500,MATCH($G1067,Pledges!$K$5:$K$2500,0)))),"⚠ phone not in Pledges"))</f>
      </c>
      <c r="C1067" s="12"/>
      <c r="D1067" s="13"/>
      <c r="E1067" s="22"/>
      <c r="F1067" s="23"/>
      <c r="G1067">
        <f>IF($A1067="","","#"&amp;TRIM(SUBSTITUTE(SUBSTITUTE(SUBSTITUTE(SUBSTITUTE(SUBSTITUTE(SUBSTITUTE($A1067,"-",""),"(",""),")",""),".",""),"+","")," ","")))</f>
      </c>
    </row>
    <row r="1068" spans="1:7" x14ac:dyDescent="0.3">
      <c r="A1068" s="11"/>
      <c r="B1068" s="38">
        <f>IF($A1068="","",IFERROR(IF(INDEX(Pledges!$D$5:$D$2500,MATCH($G1068,Pledges!$K$5:$K$2500,0))="","⚠ no amount on Pledges",IF(INDEX(Pledges!$B$5:$B$2500,MATCH($G1068,Pledges!$K$5:$K$2500,0))="","",INDEX(Pledges!$B$5:$B$2500,MATCH($G1068,Pledges!$K$5:$K$2500,0)))),"⚠ phone not in Pledges"))</f>
      </c>
      <c r="C1068" s="12"/>
      <c r="D1068" s="13"/>
      <c r="E1068" s="22"/>
      <c r="F1068" s="23"/>
      <c r="G1068">
        <f>IF($A1068="","","#"&amp;TRIM(SUBSTITUTE(SUBSTITUTE(SUBSTITUTE(SUBSTITUTE(SUBSTITUTE(SUBSTITUTE($A1068,"-",""),"(",""),")",""),".",""),"+","")," ","")))</f>
      </c>
    </row>
    <row r="1069" spans="1:7" x14ac:dyDescent="0.3">
      <c r="A1069" s="11"/>
      <c r="B1069" s="38">
        <f>IF($A1069="","",IFERROR(IF(INDEX(Pledges!$D$5:$D$2500,MATCH($G1069,Pledges!$K$5:$K$2500,0))="","⚠ no amount on Pledges",IF(INDEX(Pledges!$B$5:$B$2500,MATCH($G1069,Pledges!$K$5:$K$2500,0))="","",INDEX(Pledges!$B$5:$B$2500,MATCH($G1069,Pledges!$K$5:$K$2500,0)))),"⚠ phone not in Pledges"))</f>
      </c>
      <c r="C1069" s="12"/>
      <c r="D1069" s="13"/>
      <c r="E1069" s="22"/>
      <c r="F1069" s="23"/>
      <c r="G1069">
        <f>IF($A1069="","","#"&amp;TRIM(SUBSTITUTE(SUBSTITUTE(SUBSTITUTE(SUBSTITUTE(SUBSTITUTE(SUBSTITUTE($A1069,"-",""),"(",""),")",""),".",""),"+","")," ","")))</f>
      </c>
    </row>
    <row r="1070" spans="1:7" x14ac:dyDescent="0.3">
      <c r="A1070" s="11"/>
      <c r="B1070" s="38">
        <f>IF($A1070="","",IFERROR(IF(INDEX(Pledges!$D$5:$D$2500,MATCH($G1070,Pledges!$K$5:$K$2500,0))="","⚠ no amount on Pledges",IF(INDEX(Pledges!$B$5:$B$2500,MATCH($G1070,Pledges!$K$5:$K$2500,0))="","",INDEX(Pledges!$B$5:$B$2500,MATCH($G1070,Pledges!$K$5:$K$2500,0)))),"⚠ phone not in Pledges"))</f>
      </c>
      <c r="C1070" s="12"/>
      <c r="D1070" s="13"/>
      <c r="E1070" s="22"/>
      <c r="F1070" s="23"/>
      <c r="G1070">
        <f>IF($A1070="","","#"&amp;TRIM(SUBSTITUTE(SUBSTITUTE(SUBSTITUTE(SUBSTITUTE(SUBSTITUTE(SUBSTITUTE($A1070,"-",""),"(",""),")",""),".",""),"+","")," ","")))</f>
      </c>
    </row>
    <row r="1071" spans="1:7" x14ac:dyDescent="0.3">
      <c r="A1071" s="11"/>
      <c r="B1071" s="38">
        <f>IF($A1071="","",IFERROR(IF(INDEX(Pledges!$D$5:$D$2500,MATCH($G1071,Pledges!$K$5:$K$2500,0))="","⚠ no amount on Pledges",IF(INDEX(Pledges!$B$5:$B$2500,MATCH($G1071,Pledges!$K$5:$K$2500,0))="","",INDEX(Pledges!$B$5:$B$2500,MATCH($G1071,Pledges!$K$5:$K$2500,0)))),"⚠ phone not in Pledges"))</f>
      </c>
      <c r="C1071" s="12"/>
      <c r="D1071" s="13"/>
      <c r="E1071" s="22"/>
      <c r="F1071" s="23"/>
      <c r="G1071">
        <f>IF($A1071="","","#"&amp;TRIM(SUBSTITUTE(SUBSTITUTE(SUBSTITUTE(SUBSTITUTE(SUBSTITUTE(SUBSTITUTE($A1071,"-",""),"(",""),")",""),".",""),"+","")," ","")))</f>
      </c>
    </row>
    <row r="1072" spans="1:7" x14ac:dyDescent="0.3">
      <c r="A1072" s="11"/>
      <c r="B1072" s="38">
        <f>IF($A1072="","",IFERROR(IF(INDEX(Pledges!$D$5:$D$2500,MATCH($G1072,Pledges!$K$5:$K$2500,0))="","⚠ no amount on Pledges",IF(INDEX(Pledges!$B$5:$B$2500,MATCH($G1072,Pledges!$K$5:$K$2500,0))="","",INDEX(Pledges!$B$5:$B$2500,MATCH($G1072,Pledges!$K$5:$K$2500,0)))),"⚠ phone not in Pledges"))</f>
      </c>
      <c r="C1072" s="12"/>
      <c r="D1072" s="13"/>
      <c r="E1072" s="22"/>
      <c r="F1072" s="23"/>
      <c r="G1072">
        <f>IF($A1072="","","#"&amp;TRIM(SUBSTITUTE(SUBSTITUTE(SUBSTITUTE(SUBSTITUTE(SUBSTITUTE(SUBSTITUTE($A1072,"-",""),"(",""),")",""),".",""),"+","")," ","")))</f>
      </c>
    </row>
    <row r="1073" spans="1:7" x14ac:dyDescent="0.3">
      <c r="A1073" s="11"/>
      <c r="B1073" s="38">
        <f>IF($A1073="","",IFERROR(IF(INDEX(Pledges!$D$5:$D$2500,MATCH($G1073,Pledges!$K$5:$K$2500,0))="","⚠ no amount on Pledges",IF(INDEX(Pledges!$B$5:$B$2500,MATCH($G1073,Pledges!$K$5:$K$2500,0))="","",INDEX(Pledges!$B$5:$B$2500,MATCH($G1073,Pledges!$K$5:$K$2500,0)))),"⚠ phone not in Pledges"))</f>
      </c>
      <c r="C1073" s="12"/>
      <c r="D1073" s="13"/>
      <c r="E1073" s="22"/>
      <c r="F1073" s="23"/>
      <c r="G1073">
        <f>IF($A1073="","","#"&amp;TRIM(SUBSTITUTE(SUBSTITUTE(SUBSTITUTE(SUBSTITUTE(SUBSTITUTE(SUBSTITUTE($A1073,"-",""),"(",""),")",""),".",""),"+","")," ","")))</f>
      </c>
    </row>
    <row r="1074" spans="1:7" x14ac:dyDescent="0.3">
      <c r="A1074" s="11"/>
      <c r="B1074" s="38">
        <f>IF($A1074="","",IFERROR(IF(INDEX(Pledges!$D$5:$D$2500,MATCH($G1074,Pledges!$K$5:$K$2500,0))="","⚠ no amount on Pledges",IF(INDEX(Pledges!$B$5:$B$2500,MATCH($G1074,Pledges!$K$5:$K$2500,0))="","",INDEX(Pledges!$B$5:$B$2500,MATCH($G1074,Pledges!$K$5:$K$2500,0)))),"⚠ phone not in Pledges"))</f>
      </c>
      <c r="C1074" s="12"/>
      <c r="D1074" s="13"/>
      <c r="E1074" s="22"/>
      <c r="F1074" s="23"/>
      <c r="G1074">
        <f>IF($A1074="","","#"&amp;TRIM(SUBSTITUTE(SUBSTITUTE(SUBSTITUTE(SUBSTITUTE(SUBSTITUTE(SUBSTITUTE($A1074,"-",""),"(",""),")",""),".",""),"+","")," ","")))</f>
      </c>
    </row>
    <row r="1075" spans="1:7" x14ac:dyDescent="0.3">
      <c r="A1075" s="11"/>
      <c r="B1075" s="38">
        <f>IF($A1075="","",IFERROR(IF(INDEX(Pledges!$D$5:$D$2500,MATCH($G1075,Pledges!$K$5:$K$2500,0))="","⚠ no amount on Pledges",IF(INDEX(Pledges!$B$5:$B$2500,MATCH($G1075,Pledges!$K$5:$K$2500,0))="","",INDEX(Pledges!$B$5:$B$2500,MATCH($G1075,Pledges!$K$5:$K$2500,0)))),"⚠ phone not in Pledges"))</f>
      </c>
      <c r="C1075" s="12"/>
      <c r="D1075" s="13"/>
      <c r="E1075" s="22"/>
      <c r="F1075" s="23"/>
      <c r="G1075">
        <f>IF($A1075="","","#"&amp;TRIM(SUBSTITUTE(SUBSTITUTE(SUBSTITUTE(SUBSTITUTE(SUBSTITUTE(SUBSTITUTE($A1075,"-",""),"(",""),")",""),".",""),"+","")," ","")))</f>
      </c>
    </row>
    <row r="1076" spans="1:7" x14ac:dyDescent="0.3">
      <c r="A1076" s="11"/>
      <c r="B1076" s="38">
        <f>IF($A1076="","",IFERROR(IF(INDEX(Pledges!$D$5:$D$2500,MATCH($G1076,Pledges!$K$5:$K$2500,0))="","⚠ no amount on Pledges",IF(INDEX(Pledges!$B$5:$B$2500,MATCH($G1076,Pledges!$K$5:$K$2500,0))="","",INDEX(Pledges!$B$5:$B$2500,MATCH($G1076,Pledges!$K$5:$K$2500,0)))),"⚠ phone not in Pledges"))</f>
      </c>
      <c r="C1076" s="12"/>
      <c r="D1076" s="13"/>
      <c r="E1076" s="22"/>
      <c r="F1076" s="23"/>
      <c r="G1076">
        <f>IF($A1076="","","#"&amp;TRIM(SUBSTITUTE(SUBSTITUTE(SUBSTITUTE(SUBSTITUTE(SUBSTITUTE(SUBSTITUTE($A1076,"-",""),"(",""),")",""),".",""),"+","")," ","")))</f>
      </c>
    </row>
    <row r="1077" spans="1:7" x14ac:dyDescent="0.3">
      <c r="A1077" s="11"/>
      <c r="B1077" s="38">
        <f>IF($A1077="","",IFERROR(IF(INDEX(Pledges!$D$5:$D$2500,MATCH($G1077,Pledges!$K$5:$K$2500,0))="","⚠ no amount on Pledges",IF(INDEX(Pledges!$B$5:$B$2500,MATCH($G1077,Pledges!$K$5:$K$2500,0))="","",INDEX(Pledges!$B$5:$B$2500,MATCH($G1077,Pledges!$K$5:$K$2500,0)))),"⚠ phone not in Pledges"))</f>
      </c>
      <c r="C1077" s="12"/>
      <c r="D1077" s="13"/>
      <c r="E1077" s="22"/>
      <c r="F1077" s="23"/>
      <c r="G1077">
        <f>IF($A1077="","","#"&amp;TRIM(SUBSTITUTE(SUBSTITUTE(SUBSTITUTE(SUBSTITUTE(SUBSTITUTE(SUBSTITUTE($A1077,"-",""),"(",""),")",""),".",""),"+","")," ","")))</f>
      </c>
    </row>
    <row r="1078" spans="1:7" x14ac:dyDescent="0.3">
      <c r="A1078" s="11"/>
      <c r="B1078" s="38">
        <f>IF($A1078="","",IFERROR(IF(INDEX(Pledges!$D$5:$D$2500,MATCH($G1078,Pledges!$K$5:$K$2500,0))="","⚠ no amount on Pledges",IF(INDEX(Pledges!$B$5:$B$2500,MATCH($G1078,Pledges!$K$5:$K$2500,0))="","",INDEX(Pledges!$B$5:$B$2500,MATCH($G1078,Pledges!$K$5:$K$2500,0)))),"⚠ phone not in Pledges"))</f>
      </c>
      <c r="C1078" s="12"/>
      <c r="D1078" s="13"/>
      <c r="E1078" s="22"/>
      <c r="F1078" s="23"/>
      <c r="G1078">
        <f>IF($A1078="","","#"&amp;TRIM(SUBSTITUTE(SUBSTITUTE(SUBSTITUTE(SUBSTITUTE(SUBSTITUTE(SUBSTITUTE($A1078,"-",""),"(",""),")",""),".",""),"+","")," ","")))</f>
      </c>
    </row>
    <row r="1079" spans="1:7" x14ac:dyDescent="0.3">
      <c r="A1079" s="11"/>
      <c r="B1079" s="38">
        <f>IF($A1079="","",IFERROR(IF(INDEX(Pledges!$D$5:$D$2500,MATCH($G1079,Pledges!$K$5:$K$2500,0))="","⚠ no amount on Pledges",IF(INDEX(Pledges!$B$5:$B$2500,MATCH($G1079,Pledges!$K$5:$K$2500,0))="","",INDEX(Pledges!$B$5:$B$2500,MATCH($G1079,Pledges!$K$5:$K$2500,0)))),"⚠ phone not in Pledges"))</f>
      </c>
      <c r="C1079" s="12"/>
      <c r="D1079" s="13"/>
      <c r="E1079" s="22"/>
      <c r="F1079" s="23"/>
      <c r="G1079">
        <f>IF($A1079="","","#"&amp;TRIM(SUBSTITUTE(SUBSTITUTE(SUBSTITUTE(SUBSTITUTE(SUBSTITUTE(SUBSTITUTE($A1079,"-",""),"(",""),")",""),".",""),"+","")," ","")))</f>
      </c>
    </row>
    <row r="1080" spans="1:7" x14ac:dyDescent="0.3">
      <c r="A1080" s="11"/>
      <c r="B1080" s="38">
        <f>IF($A1080="","",IFERROR(IF(INDEX(Pledges!$D$5:$D$2500,MATCH($G1080,Pledges!$K$5:$K$2500,0))="","⚠ no amount on Pledges",IF(INDEX(Pledges!$B$5:$B$2500,MATCH($G1080,Pledges!$K$5:$K$2500,0))="","",INDEX(Pledges!$B$5:$B$2500,MATCH($G1080,Pledges!$K$5:$K$2500,0)))),"⚠ phone not in Pledges"))</f>
      </c>
      <c r="C1080" s="12"/>
      <c r="D1080" s="13"/>
      <c r="E1080" s="22"/>
      <c r="F1080" s="23"/>
      <c r="G1080">
        <f>IF($A1080="","","#"&amp;TRIM(SUBSTITUTE(SUBSTITUTE(SUBSTITUTE(SUBSTITUTE(SUBSTITUTE(SUBSTITUTE($A1080,"-",""),"(",""),")",""),".",""),"+","")," ","")))</f>
      </c>
    </row>
    <row r="1081" spans="1:7" x14ac:dyDescent="0.3">
      <c r="A1081" s="11"/>
      <c r="B1081" s="38">
        <f>IF($A1081="","",IFERROR(IF(INDEX(Pledges!$D$5:$D$2500,MATCH($G1081,Pledges!$K$5:$K$2500,0))="","⚠ no amount on Pledges",IF(INDEX(Pledges!$B$5:$B$2500,MATCH($G1081,Pledges!$K$5:$K$2500,0))="","",INDEX(Pledges!$B$5:$B$2500,MATCH($G1081,Pledges!$K$5:$K$2500,0)))),"⚠ phone not in Pledges"))</f>
      </c>
      <c r="C1081" s="12"/>
      <c r="D1081" s="13"/>
      <c r="E1081" s="22"/>
      <c r="F1081" s="23"/>
      <c r="G1081">
        <f>IF($A1081="","","#"&amp;TRIM(SUBSTITUTE(SUBSTITUTE(SUBSTITUTE(SUBSTITUTE(SUBSTITUTE(SUBSTITUTE($A1081,"-",""),"(",""),")",""),".",""),"+","")," ","")))</f>
      </c>
    </row>
    <row r="1082" spans="1:7" x14ac:dyDescent="0.3">
      <c r="A1082" s="11"/>
      <c r="B1082" s="38">
        <f>IF($A1082="","",IFERROR(IF(INDEX(Pledges!$D$5:$D$2500,MATCH($G1082,Pledges!$K$5:$K$2500,0))="","⚠ no amount on Pledges",IF(INDEX(Pledges!$B$5:$B$2500,MATCH($G1082,Pledges!$K$5:$K$2500,0))="","",INDEX(Pledges!$B$5:$B$2500,MATCH($G1082,Pledges!$K$5:$K$2500,0)))),"⚠ phone not in Pledges"))</f>
      </c>
      <c r="C1082" s="12"/>
      <c r="D1082" s="13"/>
      <c r="E1082" s="22"/>
      <c r="F1082" s="23"/>
      <c r="G1082">
        <f>IF($A1082="","","#"&amp;TRIM(SUBSTITUTE(SUBSTITUTE(SUBSTITUTE(SUBSTITUTE(SUBSTITUTE(SUBSTITUTE($A1082,"-",""),"(",""),")",""),".",""),"+","")," ","")))</f>
      </c>
    </row>
    <row r="1083" spans="1:7" x14ac:dyDescent="0.3">
      <c r="A1083" s="11"/>
      <c r="B1083" s="38">
        <f>IF($A1083="","",IFERROR(IF(INDEX(Pledges!$D$5:$D$2500,MATCH($G1083,Pledges!$K$5:$K$2500,0))="","⚠ no amount on Pledges",IF(INDEX(Pledges!$B$5:$B$2500,MATCH($G1083,Pledges!$K$5:$K$2500,0))="","",INDEX(Pledges!$B$5:$B$2500,MATCH($G1083,Pledges!$K$5:$K$2500,0)))),"⚠ phone not in Pledges"))</f>
      </c>
      <c r="C1083" s="12"/>
      <c r="D1083" s="13"/>
      <c r="E1083" s="22"/>
      <c r="F1083" s="23"/>
      <c r="G1083">
        <f>IF($A1083="","","#"&amp;TRIM(SUBSTITUTE(SUBSTITUTE(SUBSTITUTE(SUBSTITUTE(SUBSTITUTE(SUBSTITUTE($A1083,"-",""),"(",""),")",""),".",""),"+","")," ","")))</f>
      </c>
    </row>
    <row r="1084" spans="1:7" x14ac:dyDescent="0.3">
      <c r="A1084" s="11"/>
      <c r="B1084" s="38">
        <f>IF($A1084="","",IFERROR(IF(INDEX(Pledges!$D$5:$D$2500,MATCH($G1084,Pledges!$K$5:$K$2500,0))="","⚠ no amount on Pledges",IF(INDEX(Pledges!$B$5:$B$2500,MATCH($G1084,Pledges!$K$5:$K$2500,0))="","",INDEX(Pledges!$B$5:$B$2500,MATCH($G1084,Pledges!$K$5:$K$2500,0)))),"⚠ phone not in Pledges"))</f>
      </c>
      <c r="C1084" s="12"/>
      <c r="D1084" s="13"/>
      <c r="E1084" s="22"/>
      <c r="F1084" s="23"/>
      <c r="G1084">
        <f>IF($A1084="","","#"&amp;TRIM(SUBSTITUTE(SUBSTITUTE(SUBSTITUTE(SUBSTITUTE(SUBSTITUTE(SUBSTITUTE($A1084,"-",""),"(",""),")",""),".",""),"+","")," ","")))</f>
      </c>
    </row>
    <row r="1085" spans="1:7" x14ac:dyDescent="0.3">
      <c r="A1085" s="11"/>
      <c r="B1085" s="38">
        <f>IF($A1085="","",IFERROR(IF(INDEX(Pledges!$D$5:$D$2500,MATCH($G1085,Pledges!$K$5:$K$2500,0))="","⚠ no amount on Pledges",IF(INDEX(Pledges!$B$5:$B$2500,MATCH($G1085,Pledges!$K$5:$K$2500,0))="","",INDEX(Pledges!$B$5:$B$2500,MATCH($G1085,Pledges!$K$5:$K$2500,0)))),"⚠ phone not in Pledges"))</f>
      </c>
      <c r="C1085" s="12"/>
      <c r="D1085" s="13"/>
      <c r="E1085" s="22"/>
      <c r="F1085" s="23"/>
      <c r="G1085">
        <f>IF($A1085="","","#"&amp;TRIM(SUBSTITUTE(SUBSTITUTE(SUBSTITUTE(SUBSTITUTE(SUBSTITUTE(SUBSTITUTE($A1085,"-",""),"(",""),")",""),".",""),"+","")," ","")))</f>
      </c>
    </row>
    <row r="1086" spans="1:7" x14ac:dyDescent="0.3">
      <c r="A1086" s="11"/>
      <c r="B1086" s="38">
        <f>IF($A1086="","",IFERROR(IF(INDEX(Pledges!$D$5:$D$2500,MATCH($G1086,Pledges!$K$5:$K$2500,0))="","⚠ no amount on Pledges",IF(INDEX(Pledges!$B$5:$B$2500,MATCH($G1086,Pledges!$K$5:$K$2500,0))="","",INDEX(Pledges!$B$5:$B$2500,MATCH($G1086,Pledges!$K$5:$K$2500,0)))),"⚠ phone not in Pledges"))</f>
      </c>
      <c r="C1086" s="12"/>
      <c r="D1086" s="13"/>
      <c r="E1086" s="22"/>
      <c r="F1086" s="23"/>
      <c r="G1086">
        <f>IF($A1086="","","#"&amp;TRIM(SUBSTITUTE(SUBSTITUTE(SUBSTITUTE(SUBSTITUTE(SUBSTITUTE(SUBSTITUTE($A1086,"-",""),"(",""),")",""),".",""),"+","")," ","")))</f>
      </c>
    </row>
    <row r="1087" spans="1:7" x14ac:dyDescent="0.3">
      <c r="A1087" s="11"/>
      <c r="B1087" s="38">
        <f>IF($A1087="","",IFERROR(IF(INDEX(Pledges!$D$5:$D$2500,MATCH($G1087,Pledges!$K$5:$K$2500,0))="","⚠ no amount on Pledges",IF(INDEX(Pledges!$B$5:$B$2500,MATCH($G1087,Pledges!$K$5:$K$2500,0))="","",INDEX(Pledges!$B$5:$B$2500,MATCH($G1087,Pledges!$K$5:$K$2500,0)))),"⚠ phone not in Pledges"))</f>
      </c>
      <c r="C1087" s="12"/>
      <c r="D1087" s="13"/>
      <c r="E1087" s="22"/>
      <c r="F1087" s="23"/>
      <c r="G1087">
        <f>IF($A1087="","","#"&amp;TRIM(SUBSTITUTE(SUBSTITUTE(SUBSTITUTE(SUBSTITUTE(SUBSTITUTE(SUBSTITUTE($A1087,"-",""),"(",""),")",""),".",""),"+","")," ","")))</f>
      </c>
    </row>
    <row r="1088" spans="1:7" x14ac:dyDescent="0.3">
      <c r="A1088" s="11"/>
      <c r="B1088" s="38">
        <f>IF($A1088="","",IFERROR(IF(INDEX(Pledges!$D$5:$D$2500,MATCH($G1088,Pledges!$K$5:$K$2500,0))="","⚠ no amount on Pledges",IF(INDEX(Pledges!$B$5:$B$2500,MATCH($G1088,Pledges!$K$5:$K$2500,0))="","",INDEX(Pledges!$B$5:$B$2500,MATCH($G1088,Pledges!$K$5:$K$2500,0)))),"⚠ phone not in Pledges"))</f>
      </c>
      <c r="C1088" s="12"/>
      <c r="D1088" s="13"/>
      <c r="E1088" s="22"/>
      <c r="F1088" s="23"/>
      <c r="G1088">
        <f>IF($A1088="","","#"&amp;TRIM(SUBSTITUTE(SUBSTITUTE(SUBSTITUTE(SUBSTITUTE(SUBSTITUTE(SUBSTITUTE($A1088,"-",""),"(",""),")",""),".",""),"+","")," ","")))</f>
      </c>
    </row>
    <row r="1089" spans="1:7" x14ac:dyDescent="0.3">
      <c r="A1089" s="11"/>
      <c r="B1089" s="38">
        <f>IF($A1089="","",IFERROR(IF(INDEX(Pledges!$D$5:$D$2500,MATCH($G1089,Pledges!$K$5:$K$2500,0))="","⚠ no amount on Pledges",IF(INDEX(Pledges!$B$5:$B$2500,MATCH($G1089,Pledges!$K$5:$K$2500,0))="","",INDEX(Pledges!$B$5:$B$2500,MATCH($G1089,Pledges!$K$5:$K$2500,0)))),"⚠ phone not in Pledges"))</f>
      </c>
      <c r="C1089" s="12"/>
      <c r="D1089" s="13"/>
      <c r="E1089" s="22"/>
      <c r="F1089" s="23"/>
      <c r="G1089">
        <f>IF($A1089="","","#"&amp;TRIM(SUBSTITUTE(SUBSTITUTE(SUBSTITUTE(SUBSTITUTE(SUBSTITUTE(SUBSTITUTE($A1089,"-",""),"(",""),")",""),".",""),"+","")," ","")))</f>
      </c>
    </row>
    <row r="1090" spans="1:7" x14ac:dyDescent="0.3">
      <c r="A1090" s="11"/>
      <c r="B1090" s="38">
        <f>IF($A1090="","",IFERROR(IF(INDEX(Pledges!$D$5:$D$2500,MATCH($G1090,Pledges!$K$5:$K$2500,0))="","⚠ no amount on Pledges",IF(INDEX(Pledges!$B$5:$B$2500,MATCH($G1090,Pledges!$K$5:$K$2500,0))="","",INDEX(Pledges!$B$5:$B$2500,MATCH($G1090,Pledges!$K$5:$K$2500,0)))),"⚠ phone not in Pledges"))</f>
      </c>
      <c r="C1090" s="12"/>
      <c r="D1090" s="13"/>
      <c r="E1090" s="22"/>
      <c r="F1090" s="23"/>
      <c r="G1090">
        <f>IF($A1090="","","#"&amp;TRIM(SUBSTITUTE(SUBSTITUTE(SUBSTITUTE(SUBSTITUTE(SUBSTITUTE(SUBSTITUTE($A1090,"-",""),"(",""),")",""),".",""),"+","")," ","")))</f>
      </c>
    </row>
    <row r="1091" spans="1:7" x14ac:dyDescent="0.3">
      <c r="A1091" s="11"/>
      <c r="B1091" s="38">
        <f>IF($A1091="","",IFERROR(IF(INDEX(Pledges!$D$5:$D$2500,MATCH($G1091,Pledges!$K$5:$K$2500,0))="","⚠ no amount on Pledges",IF(INDEX(Pledges!$B$5:$B$2500,MATCH($G1091,Pledges!$K$5:$K$2500,0))="","",INDEX(Pledges!$B$5:$B$2500,MATCH($G1091,Pledges!$K$5:$K$2500,0)))),"⚠ phone not in Pledges"))</f>
      </c>
      <c r="C1091" s="12"/>
      <c r="D1091" s="13"/>
      <c r="E1091" s="22"/>
      <c r="F1091" s="23"/>
      <c r="G1091">
        <f>IF($A1091="","","#"&amp;TRIM(SUBSTITUTE(SUBSTITUTE(SUBSTITUTE(SUBSTITUTE(SUBSTITUTE(SUBSTITUTE($A1091,"-",""),"(",""),")",""),".",""),"+","")," ","")))</f>
      </c>
    </row>
    <row r="1092" spans="1:7" x14ac:dyDescent="0.3">
      <c r="A1092" s="11"/>
      <c r="B1092" s="38">
        <f>IF($A1092="","",IFERROR(IF(INDEX(Pledges!$D$5:$D$2500,MATCH($G1092,Pledges!$K$5:$K$2500,0))="","⚠ no amount on Pledges",IF(INDEX(Pledges!$B$5:$B$2500,MATCH($G1092,Pledges!$K$5:$K$2500,0))="","",INDEX(Pledges!$B$5:$B$2500,MATCH($G1092,Pledges!$K$5:$K$2500,0)))),"⚠ phone not in Pledges"))</f>
      </c>
      <c r="C1092" s="12"/>
      <c r="D1092" s="13"/>
      <c r="E1092" s="22"/>
      <c r="F1092" s="23"/>
      <c r="G1092">
        <f>IF($A1092="","","#"&amp;TRIM(SUBSTITUTE(SUBSTITUTE(SUBSTITUTE(SUBSTITUTE(SUBSTITUTE(SUBSTITUTE($A1092,"-",""),"(",""),")",""),".",""),"+","")," ","")))</f>
      </c>
    </row>
    <row r="1093" spans="1:7" x14ac:dyDescent="0.3">
      <c r="A1093" s="11"/>
      <c r="B1093" s="38">
        <f>IF($A1093="","",IFERROR(IF(INDEX(Pledges!$D$5:$D$2500,MATCH($G1093,Pledges!$K$5:$K$2500,0))="","⚠ no amount on Pledges",IF(INDEX(Pledges!$B$5:$B$2500,MATCH($G1093,Pledges!$K$5:$K$2500,0))="","",INDEX(Pledges!$B$5:$B$2500,MATCH($G1093,Pledges!$K$5:$K$2500,0)))),"⚠ phone not in Pledges"))</f>
      </c>
      <c r="C1093" s="12"/>
      <c r="D1093" s="13"/>
      <c r="E1093" s="22"/>
      <c r="F1093" s="23"/>
      <c r="G1093">
        <f>IF($A1093="","","#"&amp;TRIM(SUBSTITUTE(SUBSTITUTE(SUBSTITUTE(SUBSTITUTE(SUBSTITUTE(SUBSTITUTE($A1093,"-",""),"(",""),")",""),".",""),"+","")," ","")))</f>
      </c>
    </row>
    <row r="1094" spans="1:7" x14ac:dyDescent="0.3">
      <c r="A1094" s="11"/>
      <c r="B1094" s="38">
        <f>IF($A1094="","",IFERROR(IF(INDEX(Pledges!$D$5:$D$2500,MATCH($G1094,Pledges!$K$5:$K$2500,0))="","⚠ no amount on Pledges",IF(INDEX(Pledges!$B$5:$B$2500,MATCH($G1094,Pledges!$K$5:$K$2500,0))="","",INDEX(Pledges!$B$5:$B$2500,MATCH($G1094,Pledges!$K$5:$K$2500,0)))),"⚠ phone not in Pledges"))</f>
      </c>
      <c r="C1094" s="12"/>
      <c r="D1094" s="13"/>
      <c r="E1094" s="22"/>
      <c r="F1094" s="23"/>
      <c r="G1094">
        <f>IF($A1094="","","#"&amp;TRIM(SUBSTITUTE(SUBSTITUTE(SUBSTITUTE(SUBSTITUTE(SUBSTITUTE(SUBSTITUTE($A1094,"-",""),"(",""),")",""),".",""),"+","")," ","")))</f>
      </c>
    </row>
    <row r="1095" spans="1:7" x14ac:dyDescent="0.3">
      <c r="A1095" s="11"/>
      <c r="B1095" s="38">
        <f>IF($A1095="","",IFERROR(IF(INDEX(Pledges!$D$5:$D$2500,MATCH($G1095,Pledges!$K$5:$K$2500,0))="","⚠ no amount on Pledges",IF(INDEX(Pledges!$B$5:$B$2500,MATCH($G1095,Pledges!$K$5:$K$2500,0))="","",INDEX(Pledges!$B$5:$B$2500,MATCH($G1095,Pledges!$K$5:$K$2500,0)))),"⚠ phone not in Pledges"))</f>
      </c>
      <c r="C1095" s="12"/>
      <c r="D1095" s="13"/>
      <c r="E1095" s="22"/>
      <c r="F1095" s="23"/>
      <c r="G1095">
        <f>IF($A1095="","","#"&amp;TRIM(SUBSTITUTE(SUBSTITUTE(SUBSTITUTE(SUBSTITUTE(SUBSTITUTE(SUBSTITUTE($A1095,"-",""),"(",""),")",""),".",""),"+","")," ","")))</f>
      </c>
    </row>
    <row r="1096" spans="1:7" x14ac:dyDescent="0.3">
      <c r="A1096" s="11"/>
      <c r="B1096" s="38">
        <f>IF($A1096="","",IFERROR(IF(INDEX(Pledges!$D$5:$D$2500,MATCH($G1096,Pledges!$K$5:$K$2500,0))="","⚠ no amount on Pledges",IF(INDEX(Pledges!$B$5:$B$2500,MATCH($G1096,Pledges!$K$5:$K$2500,0))="","",INDEX(Pledges!$B$5:$B$2500,MATCH($G1096,Pledges!$K$5:$K$2500,0)))),"⚠ phone not in Pledges"))</f>
      </c>
      <c r="C1096" s="12"/>
      <c r="D1096" s="13"/>
      <c r="E1096" s="22"/>
      <c r="F1096" s="23"/>
      <c r="G1096">
        <f>IF($A1096="","","#"&amp;TRIM(SUBSTITUTE(SUBSTITUTE(SUBSTITUTE(SUBSTITUTE(SUBSTITUTE(SUBSTITUTE($A1096,"-",""),"(",""),")",""),".",""),"+","")," ","")))</f>
      </c>
    </row>
    <row r="1097" spans="1:7" x14ac:dyDescent="0.3">
      <c r="A1097" s="11"/>
      <c r="B1097" s="38">
        <f>IF($A1097="","",IFERROR(IF(INDEX(Pledges!$D$5:$D$2500,MATCH($G1097,Pledges!$K$5:$K$2500,0))="","⚠ no amount on Pledges",IF(INDEX(Pledges!$B$5:$B$2500,MATCH($G1097,Pledges!$K$5:$K$2500,0))="","",INDEX(Pledges!$B$5:$B$2500,MATCH($G1097,Pledges!$K$5:$K$2500,0)))),"⚠ phone not in Pledges"))</f>
      </c>
      <c r="C1097" s="12"/>
      <c r="D1097" s="13"/>
      <c r="E1097" s="22"/>
      <c r="F1097" s="23"/>
      <c r="G1097">
        <f>IF($A1097="","","#"&amp;TRIM(SUBSTITUTE(SUBSTITUTE(SUBSTITUTE(SUBSTITUTE(SUBSTITUTE(SUBSTITUTE($A1097,"-",""),"(",""),")",""),".",""),"+","")," ","")))</f>
      </c>
    </row>
    <row r="1098" spans="1:7" x14ac:dyDescent="0.3">
      <c r="A1098" s="11"/>
      <c r="B1098" s="38">
        <f>IF($A1098="","",IFERROR(IF(INDEX(Pledges!$D$5:$D$2500,MATCH($G1098,Pledges!$K$5:$K$2500,0))="","⚠ no amount on Pledges",IF(INDEX(Pledges!$B$5:$B$2500,MATCH($G1098,Pledges!$K$5:$K$2500,0))="","",INDEX(Pledges!$B$5:$B$2500,MATCH($G1098,Pledges!$K$5:$K$2500,0)))),"⚠ phone not in Pledges"))</f>
      </c>
      <c r="C1098" s="12"/>
      <c r="D1098" s="13"/>
      <c r="E1098" s="22"/>
      <c r="F1098" s="23"/>
      <c r="G1098">
        <f>IF($A1098="","","#"&amp;TRIM(SUBSTITUTE(SUBSTITUTE(SUBSTITUTE(SUBSTITUTE(SUBSTITUTE(SUBSTITUTE($A1098,"-",""),"(",""),")",""),".",""),"+","")," ","")))</f>
      </c>
    </row>
    <row r="1099" spans="1:7" x14ac:dyDescent="0.3">
      <c r="A1099" s="11"/>
      <c r="B1099" s="38">
        <f>IF($A1099="","",IFERROR(IF(INDEX(Pledges!$D$5:$D$2500,MATCH($G1099,Pledges!$K$5:$K$2500,0))="","⚠ no amount on Pledges",IF(INDEX(Pledges!$B$5:$B$2500,MATCH($G1099,Pledges!$K$5:$K$2500,0))="","",INDEX(Pledges!$B$5:$B$2500,MATCH($G1099,Pledges!$K$5:$K$2500,0)))),"⚠ phone not in Pledges"))</f>
      </c>
      <c r="C1099" s="12"/>
      <c r="D1099" s="13"/>
      <c r="E1099" s="22"/>
      <c r="F1099" s="23"/>
      <c r="G1099">
        <f>IF($A1099="","","#"&amp;TRIM(SUBSTITUTE(SUBSTITUTE(SUBSTITUTE(SUBSTITUTE(SUBSTITUTE(SUBSTITUTE($A1099,"-",""),"(",""),")",""),".",""),"+","")," ","")))</f>
      </c>
    </row>
    <row r="1100" spans="1:7" x14ac:dyDescent="0.3">
      <c r="A1100" s="11"/>
      <c r="B1100" s="38">
        <f>IF($A1100="","",IFERROR(IF(INDEX(Pledges!$D$5:$D$2500,MATCH($G1100,Pledges!$K$5:$K$2500,0))="","⚠ no amount on Pledges",IF(INDEX(Pledges!$B$5:$B$2500,MATCH($G1100,Pledges!$K$5:$K$2500,0))="","",INDEX(Pledges!$B$5:$B$2500,MATCH($G1100,Pledges!$K$5:$K$2500,0)))),"⚠ phone not in Pledges"))</f>
      </c>
      <c r="C1100" s="12"/>
      <c r="D1100" s="13"/>
      <c r="E1100" s="22"/>
      <c r="F1100" s="23"/>
      <c r="G1100">
        <f>IF($A1100="","","#"&amp;TRIM(SUBSTITUTE(SUBSTITUTE(SUBSTITUTE(SUBSTITUTE(SUBSTITUTE(SUBSTITUTE($A1100,"-",""),"(",""),")",""),".",""),"+","")," ","")))</f>
      </c>
    </row>
    <row r="1101" spans="1:7" x14ac:dyDescent="0.3">
      <c r="A1101" s="11"/>
      <c r="B1101" s="38">
        <f>IF($A1101="","",IFERROR(IF(INDEX(Pledges!$D$5:$D$2500,MATCH($G1101,Pledges!$K$5:$K$2500,0))="","⚠ no amount on Pledges",IF(INDEX(Pledges!$B$5:$B$2500,MATCH($G1101,Pledges!$K$5:$K$2500,0))="","",INDEX(Pledges!$B$5:$B$2500,MATCH($G1101,Pledges!$K$5:$K$2500,0)))),"⚠ phone not in Pledges"))</f>
      </c>
      <c r="C1101" s="12"/>
      <c r="D1101" s="13"/>
      <c r="E1101" s="22"/>
      <c r="F1101" s="23"/>
      <c r="G1101">
        <f>IF($A1101="","","#"&amp;TRIM(SUBSTITUTE(SUBSTITUTE(SUBSTITUTE(SUBSTITUTE(SUBSTITUTE(SUBSTITUTE($A1101,"-",""),"(",""),")",""),".",""),"+","")," ","")))</f>
      </c>
    </row>
    <row r="1102" spans="1:7" x14ac:dyDescent="0.3">
      <c r="A1102" s="11"/>
      <c r="B1102" s="38">
        <f>IF($A1102="","",IFERROR(IF(INDEX(Pledges!$D$5:$D$2500,MATCH($G1102,Pledges!$K$5:$K$2500,0))="","⚠ no amount on Pledges",IF(INDEX(Pledges!$B$5:$B$2500,MATCH($G1102,Pledges!$K$5:$K$2500,0))="","",INDEX(Pledges!$B$5:$B$2500,MATCH($G1102,Pledges!$K$5:$K$2500,0)))),"⚠ phone not in Pledges"))</f>
      </c>
      <c r="C1102" s="12"/>
      <c r="D1102" s="13"/>
      <c r="E1102" s="22"/>
      <c r="F1102" s="23"/>
      <c r="G1102">
        <f>IF($A1102="","","#"&amp;TRIM(SUBSTITUTE(SUBSTITUTE(SUBSTITUTE(SUBSTITUTE(SUBSTITUTE(SUBSTITUTE($A1102,"-",""),"(",""),")",""),".",""),"+","")," ","")))</f>
      </c>
    </row>
    <row r="1103" spans="1:7" x14ac:dyDescent="0.3">
      <c r="A1103" s="11"/>
      <c r="B1103" s="38">
        <f>IF($A1103="","",IFERROR(IF(INDEX(Pledges!$D$5:$D$2500,MATCH($G1103,Pledges!$K$5:$K$2500,0))="","⚠ no amount on Pledges",IF(INDEX(Pledges!$B$5:$B$2500,MATCH($G1103,Pledges!$K$5:$K$2500,0))="","",INDEX(Pledges!$B$5:$B$2500,MATCH($G1103,Pledges!$K$5:$K$2500,0)))),"⚠ phone not in Pledges"))</f>
      </c>
      <c r="C1103" s="12"/>
      <c r="D1103" s="13"/>
      <c r="E1103" s="22"/>
      <c r="F1103" s="23"/>
      <c r="G1103">
        <f>IF($A1103="","","#"&amp;TRIM(SUBSTITUTE(SUBSTITUTE(SUBSTITUTE(SUBSTITUTE(SUBSTITUTE(SUBSTITUTE($A1103,"-",""),"(",""),")",""),".",""),"+","")," ","")))</f>
      </c>
    </row>
    <row r="1104" spans="1:7" x14ac:dyDescent="0.3">
      <c r="A1104" s="11"/>
      <c r="B1104" s="38">
        <f>IF($A1104="","",IFERROR(IF(INDEX(Pledges!$D$5:$D$2500,MATCH($G1104,Pledges!$K$5:$K$2500,0))="","⚠ no amount on Pledges",IF(INDEX(Pledges!$B$5:$B$2500,MATCH($G1104,Pledges!$K$5:$K$2500,0))="","",INDEX(Pledges!$B$5:$B$2500,MATCH($G1104,Pledges!$K$5:$K$2500,0)))),"⚠ phone not in Pledges"))</f>
      </c>
      <c r="C1104" s="12"/>
      <c r="D1104" s="13"/>
      <c r="E1104" s="22"/>
      <c r="F1104" s="23"/>
      <c r="G1104">
        <f>IF($A1104="","","#"&amp;TRIM(SUBSTITUTE(SUBSTITUTE(SUBSTITUTE(SUBSTITUTE(SUBSTITUTE(SUBSTITUTE($A1104,"-",""),"(",""),")",""),".",""),"+","")," ","")))</f>
      </c>
    </row>
    <row r="1105" spans="1:7" x14ac:dyDescent="0.3">
      <c r="A1105" s="11"/>
      <c r="B1105" s="38">
        <f>IF($A1105="","",IFERROR(IF(INDEX(Pledges!$D$5:$D$2500,MATCH($G1105,Pledges!$K$5:$K$2500,0))="","⚠ no amount on Pledges",IF(INDEX(Pledges!$B$5:$B$2500,MATCH($G1105,Pledges!$K$5:$K$2500,0))="","",INDEX(Pledges!$B$5:$B$2500,MATCH($G1105,Pledges!$K$5:$K$2500,0)))),"⚠ phone not in Pledges"))</f>
      </c>
      <c r="C1105" s="12"/>
      <c r="D1105" s="13"/>
      <c r="E1105" s="22"/>
      <c r="F1105" s="23"/>
      <c r="G1105">
        <f>IF($A1105="","","#"&amp;TRIM(SUBSTITUTE(SUBSTITUTE(SUBSTITUTE(SUBSTITUTE(SUBSTITUTE(SUBSTITUTE($A1105,"-",""),"(",""),")",""),".",""),"+","")," ","")))</f>
      </c>
    </row>
    <row r="1106" spans="1:7" x14ac:dyDescent="0.3">
      <c r="A1106" s="11"/>
      <c r="B1106" s="38">
        <f>IF($A1106="","",IFERROR(IF(INDEX(Pledges!$D$5:$D$2500,MATCH($G1106,Pledges!$K$5:$K$2500,0))="","⚠ no amount on Pledges",IF(INDEX(Pledges!$B$5:$B$2500,MATCH($G1106,Pledges!$K$5:$K$2500,0))="","",INDEX(Pledges!$B$5:$B$2500,MATCH($G1106,Pledges!$K$5:$K$2500,0)))),"⚠ phone not in Pledges"))</f>
      </c>
      <c r="C1106" s="12"/>
      <c r="D1106" s="13"/>
      <c r="E1106" s="22"/>
      <c r="F1106" s="23"/>
      <c r="G1106">
        <f>IF($A1106="","","#"&amp;TRIM(SUBSTITUTE(SUBSTITUTE(SUBSTITUTE(SUBSTITUTE(SUBSTITUTE(SUBSTITUTE($A1106,"-",""),"(",""),")",""),".",""),"+","")," ","")))</f>
      </c>
    </row>
    <row r="1107" spans="1:7" x14ac:dyDescent="0.3">
      <c r="A1107" s="11"/>
      <c r="B1107" s="38">
        <f>IF($A1107="","",IFERROR(IF(INDEX(Pledges!$D$5:$D$2500,MATCH($G1107,Pledges!$K$5:$K$2500,0))="","⚠ no amount on Pledges",IF(INDEX(Pledges!$B$5:$B$2500,MATCH($G1107,Pledges!$K$5:$K$2500,0))="","",INDEX(Pledges!$B$5:$B$2500,MATCH($G1107,Pledges!$K$5:$K$2500,0)))),"⚠ phone not in Pledges"))</f>
      </c>
      <c r="C1107" s="12"/>
      <c r="D1107" s="13"/>
      <c r="E1107" s="22"/>
      <c r="F1107" s="23"/>
      <c r="G1107">
        <f>IF($A1107="","","#"&amp;TRIM(SUBSTITUTE(SUBSTITUTE(SUBSTITUTE(SUBSTITUTE(SUBSTITUTE(SUBSTITUTE($A1107,"-",""),"(",""),")",""),".",""),"+","")," ","")))</f>
      </c>
    </row>
    <row r="1108" spans="1:7" x14ac:dyDescent="0.3">
      <c r="A1108" s="11"/>
      <c r="B1108" s="38">
        <f>IF($A1108="","",IFERROR(IF(INDEX(Pledges!$D$5:$D$2500,MATCH($G1108,Pledges!$K$5:$K$2500,0))="","⚠ no amount on Pledges",IF(INDEX(Pledges!$B$5:$B$2500,MATCH($G1108,Pledges!$K$5:$K$2500,0))="","",INDEX(Pledges!$B$5:$B$2500,MATCH($G1108,Pledges!$K$5:$K$2500,0)))),"⚠ phone not in Pledges"))</f>
      </c>
      <c r="C1108" s="12"/>
      <c r="D1108" s="13"/>
      <c r="E1108" s="22"/>
      <c r="F1108" s="23"/>
      <c r="G1108">
        <f>IF($A1108="","","#"&amp;TRIM(SUBSTITUTE(SUBSTITUTE(SUBSTITUTE(SUBSTITUTE(SUBSTITUTE(SUBSTITUTE($A1108,"-",""),"(",""),")",""),".",""),"+","")," ","")))</f>
      </c>
    </row>
    <row r="1109" spans="1:7" x14ac:dyDescent="0.3">
      <c r="A1109" s="11"/>
      <c r="B1109" s="38">
        <f>IF($A1109="","",IFERROR(IF(INDEX(Pledges!$D$5:$D$2500,MATCH($G1109,Pledges!$K$5:$K$2500,0))="","⚠ no amount on Pledges",IF(INDEX(Pledges!$B$5:$B$2500,MATCH($G1109,Pledges!$K$5:$K$2500,0))="","",INDEX(Pledges!$B$5:$B$2500,MATCH($G1109,Pledges!$K$5:$K$2500,0)))),"⚠ phone not in Pledges"))</f>
      </c>
      <c r="C1109" s="12"/>
      <c r="D1109" s="13"/>
      <c r="E1109" s="22"/>
      <c r="F1109" s="23"/>
      <c r="G1109">
        <f>IF($A1109="","","#"&amp;TRIM(SUBSTITUTE(SUBSTITUTE(SUBSTITUTE(SUBSTITUTE(SUBSTITUTE(SUBSTITUTE($A1109,"-",""),"(",""),")",""),".",""),"+","")," ","")))</f>
      </c>
    </row>
    <row r="1110" spans="1:7" x14ac:dyDescent="0.3">
      <c r="A1110" s="11"/>
      <c r="B1110" s="38">
        <f>IF($A1110="","",IFERROR(IF(INDEX(Pledges!$D$5:$D$2500,MATCH($G1110,Pledges!$K$5:$K$2500,0))="","⚠ no amount on Pledges",IF(INDEX(Pledges!$B$5:$B$2500,MATCH($G1110,Pledges!$K$5:$K$2500,0))="","",INDEX(Pledges!$B$5:$B$2500,MATCH($G1110,Pledges!$K$5:$K$2500,0)))),"⚠ phone not in Pledges"))</f>
      </c>
      <c r="C1110" s="12"/>
      <c r="D1110" s="13"/>
      <c r="E1110" s="22"/>
      <c r="F1110" s="23"/>
      <c r="G1110">
        <f>IF($A1110="","","#"&amp;TRIM(SUBSTITUTE(SUBSTITUTE(SUBSTITUTE(SUBSTITUTE(SUBSTITUTE(SUBSTITUTE($A1110,"-",""),"(",""),")",""),".",""),"+","")," ","")))</f>
      </c>
    </row>
    <row r="1111" spans="1:7" x14ac:dyDescent="0.3">
      <c r="A1111" s="11"/>
      <c r="B1111" s="38">
        <f>IF($A1111="","",IFERROR(IF(INDEX(Pledges!$D$5:$D$2500,MATCH($G1111,Pledges!$K$5:$K$2500,0))="","⚠ no amount on Pledges",IF(INDEX(Pledges!$B$5:$B$2500,MATCH($G1111,Pledges!$K$5:$K$2500,0))="","",INDEX(Pledges!$B$5:$B$2500,MATCH($G1111,Pledges!$K$5:$K$2500,0)))),"⚠ phone not in Pledges"))</f>
      </c>
      <c r="C1111" s="12"/>
      <c r="D1111" s="13"/>
      <c r="E1111" s="22"/>
      <c r="F1111" s="23"/>
      <c r="G1111">
        <f>IF($A1111="","","#"&amp;TRIM(SUBSTITUTE(SUBSTITUTE(SUBSTITUTE(SUBSTITUTE(SUBSTITUTE(SUBSTITUTE($A1111,"-",""),"(",""),")",""),".",""),"+","")," ","")))</f>
      </c>
    </row>
    <row r="1112" spans="1:7" x14ac:dyDescent="0.3">
      <c r="A1112" s="11"/>
      <c r="B1112" s="38">
        <f>IF($A1112="","",IFERROR(IF(INDEX(Pledges!$D$5:$D$2500,MATCH($G1112,Pledges!$K$5:$K$2500,0))="","⚠ no amount on Pledges",IF(INDEX(Pledges!$B$5:$B$2500,MATCH($G1112,Pledges!$K$5:$K$2500,0))="","",INDEX(Pledges!$B$5:$B$2500,MATCH($G1112,Pledges!$K$5:$K$2500,0)))),"⚠ phone not in Pledges"))</f>
      </c>
      <c r="C1112" s="12"/>
      <c r="D1112" s="13"/>
      <c r="E1112" s="22"/>
      <c r="F1112" s="23"/>
      <c r="G1112">
        <f>IF($A1112="","","#"&amp;TRIM(SUBSTITUTE(SUBSTITUTE(SUBSTITUTE(SUBSTITUTE(SUBSTITUTE(SUBSTITUTE($A1112,"-",""),"(",""),")",""),".",""),"+","")," ","")))</f>
      </c>
    </row>
    <row r="1113" spans="1:7" x14ac:dyDescent="0.3">
      <c r="A1113" s="11"/>
      <c r="B1113" s="38">
        <f>IF($A1113="","",IFERROR(IF(INDEX(Pledges!$D$5:$D$2500,MATCH($G1113,Pledges!$K$5:$K$2500,0))="","⚠ no amount on Pledges",IF(INDEX(Pledges!$B$5:$B$2500,MATCH($G1113,Pledges!$K$5:$K$2500,0))="","",INDEX(Pledges!$B$5:$B$2500,MATCH($G1113,Pledges!$K$5:$K$2500,0)))),"⚠ phone not in Pledges"))</f>
      </c>
      <c r="C1113" s="12"/>
      <c r="D1113" s="13"/>
      <c r="E1113" s="22"/>
      <c r="F1113" s="23"/>
      <c r="G1113">
        <f>IF($A1113="","","#"&amp;TRIM(SUBSTITUTE(SUBSTITUTE(SUBSTITUTE(SUBSTITUTE(SUBSTITUTE(SUBSTITUTE($A1113,"-",""),"(",""),")",""),".",""),"+","")," ","")))</f>
      </c>
    </row>
    <row r="1114" spans="1:7" x14ac:dyDescent="0.3">
      <c r="A1114" s="11"/>
      <c r="B1114" s="38">
        <f>IF($A1114="","",IFERROR(IF(INDEX(Pledges!$D$5:$D$2500,MATCH($G1114,Pledges!$K$5:$K$2500,0))="","⚠ no amount on Pledges",IF(INDEX(Pledges!$B$5:$B$2500,MATCH($G1114,Pledges!$K$5:$K$2500,0))="","",INDEX(Pledges!$B$5:$B$2500,MATCH($G1114,Pledges!$K$5:$K$2500,0)))),"⚠ phone not in Pledges"))</f>
      </c>
      <c r="C1114" s="12"/>
      <c r="D1114" s="13"/>
      <c r="E1114" s="22"/>
      <c r="F1114" s="23"/>
      <c r="G1114">
        <f>IF($A1114="","","#"&amp;TRIM(SUBSTITUTE(SUBSTITUTE(SUBSTITUTE(SUBSTITUTE(SUBSTITUTE(SUBSTITUTE($A1114,"-",""),"(",""),")",""),".",""),"+","")," ","")))</f>
      </c>
    </row>
    <row r="1115" spans="1:7" x14ac:dyDescent="0.3">
      <c r="A1115" s="11"/>
      <c r="B1115" s="38">
        <f>IF($A1115="","",IFERROR(IF(INDEX(Pledges!$D$5:$D$2500,MATCH($G1115,Pledges!$K$5:$K$2500,0))="","⚠ no amount on Pledges",IF(INDEX(Pledges!$B$5:$B$2500,MATCH($G1115,Pledges!$K$5:$K$2500,0))="","",INDEX(Pledges!$B$5:$B$2500,MATCH($G1115,Pledges!$K$5:$K$2500,0)))),"⚠ phone not in Pledges"))</f>
      </c>
      <c r="C1115" s="12"/>
      <c r="D1115" s="13"/>
      <c r="E1115" s="22"/>
      <c r="F1115" s="23"/>
      <c r="G1115">
        <f>IF($A1115="","","#"&amp;TRIM(SUBSTITUTE(SUBSTITUTE(SUBSTITUTE(SUBSTITUTE(SUBSTITUTE(SUBSTITUTE($A1115,"-",""),"(",""),")",""),".",""),"+","")," ","")))</f>
      </c>
    </row>
    <row r="1116" spans="1:7" x14ac:dyDescent="0.3">
      <c r="A1116" s="11"/>
      <c r="B1116" s="38">
        <f>IF($A1116="","",IFERROR(IF(INDEX(Pledges!$D$5:$D$2500,MATCH($G1116,Pledges!$K$5:$K$2500,0))="","⚠ no amount on Pledges",IF(INDEX(Pledges!$B$5:$B$2500,MATCH($G1116,Pledges!$K$5:$K$2500,0))="","",INDEX(Pledges!$B$5:$B$2500,MATCH($G1116,Pledges!$K$5:$K$2500,0)))),"⚠ phone not in Pledges"))</f>
      </c>
      <c r="C1116" s="12"/>
      <c r="D1116" s="13"/>
      <c r="E1116" s="22"/>
      <c r="F1116" s="23"/>
      <c r="G1116">
        <f>IF($A1116="","","#"&amp;TRIM(SUBSTITUTE(SUBSTITUTE(SUBSTITUTE(SUBSTITUTE(SUBSTITUTE(SUBSTITUTE($A1116,"-",""),"(",""),")",""),".",""),"+","")," ","")))</f>
      </c>
    </row>
    <row r="1117" spans="1:7" x14ac:dyDescent="0.3">
      <c r="A1117" s="11"/>
      <c r="B1117" s="38">
        <f>IF($A1117="","",IFERROR(IF(INDEX(Pledges!$D$5:$D$2500,MATCH($G1117,Pledges!$K$5:$K$2500,0))="","⚠ no amount on Pledges",IF(INDEX(Pledges!$B$5:$B$2500,MATCH($G1117,Pledges!$K$5:$K$2500,0))="","",INDEX(Pledges!$B$5:$B$2500,MATCH($G1117,Pledges!$K$5:$K$2500,0)))),"⚠ phone not in Pledges"))</f>
      </c>
      <c r="C1117" s="12"/>
      <c r="D1117" s="13"/>
      <c r="E1117" s="22"/>
      <c r="F1117" s="23"/>
      <c r="G1117">
        <f>IF($A1117="","","#"&amp;TRIM(SUBSTITUTE(SUBSTITUTE(SUBSTITUTE(SUBSTITUTE(SUBSTITUTE(SUBSTITUTE($A1117,"-",""),"(",""),")",""),".",""),"+","")," ","")))</f>
      </c>
    </row>
    <row r="1118" spans="1:7" x14ac:dyDescent="0.3">
      <c r="A1118" s="11"/>
      <c r="B1118" s="38">
        <f>IF($A1118="","",IFERROR(IF(INDEX(Pledges!$D$5:$D$2500,MATCH($G1118,Pledges!$K$5:$K$2500,0))="","⚠ no amount on Pledges",IF(INDEX(Pledges!$B$5:$B$2500,MATCH($G1118,Pledges!$K$5:$K$2500,0))="","",INDEX(Pledges!$B$5:$B$2500,MATCH($G1118,Pledges!$K$5:$K$2500,0)))),"⚠ phone not in Pledges"))</f>
      </c>
      <c r="C1118" s="12"/>
      <c r="D1118" s="13"/>
      <c r="E1118" s="22"/>
      <c r="F1118" s="23"/>
      <c r="G1118">
        <f>IF($A1118="","","#"&amp;TRIM(SUBSTITUTE(SUBSTITUTE(SUBSTITUTE(SUBSTITUTE(SUBSTITUTE(SUBSTITUTE($A1118,"-",""),"(",""),")",""),".",""),"+","")," ","")))</f>
      </c>
    </row>
    <row r="1119" spans="1:7" x14ac:dyDescent="0.3">
      <c r="A1119" s="11"/>
      <c r="B1119" s="38">
        <f>IF($A1119="","",IFERROR(IF(INDEX(Pledges!$D$5:$D$2500,MATCH($G1119,Pledges!$K$5:$K$2500,0))="","⚠ no amount on Pledges",IF(INDEX(Pledges!$B$5:$B$2500,MATCH($G1119,Pledges!$K$5:$K$2500,0))="","",INDEX(Pledges!$B$5:$B$2500,MATCH($G1119,Pledges!$K$5:$K$2500,0)))),"⚠ phone not in Pledges"))</f>
      </c>
      <c r="C1119" s="12"/>
      <c r="D1119" s="13"/>
      <c r="E1119" s="22"/>
      <c r="F1119" s="23"/>
      <c r="G1119">
        <f>IF($A1119="","","#"&amp;TRIM(SUBSTITUTE(SUBSTITUTE(SUBSTITUTE(SUBSTITUTE(SUBSTITUTE(SUBSTITUTE($A1119,"-",""),"(",""),")",""),".",""),"+","")," ","")))</f>
      </c>
    </row>
    <row r="1120" spans="1:7" x14ac:dyDescent="0.3">
      <c r="A1120" s="11"/>
      <c r="B1120" s="38">
        <f>IF($A1120="","",IFERROR(IF(INDEX(Pledges!$D$5:$D$2500,MATCH($G1120,Pledges!$K$5:$K$2500,0))="","⚠ no amount on Pledges",IF(INDEX(Pledges!$B$5:$B$2500,MATCH($G1120,Pledges!$K$5:$K$2500,0))="","",INDEX(Pledges!$B$5:$B$2500,MATCH($G1120,Pledges!$K$5:$K$2500,0)))),"⚠ phone not in Pledges"))</f>
      </c>
      <c r="C1120" s="12"/>
      <c r="D1120" s="13"/>
      <c r="E1120" s="22"/>
      <c r="F1120" s="23"/>
      <c r="G1120">
        <f>IF($A1120="","","#"&amp;TRIM(SUBSTITUTE(SUBSTITUTE(SUBSTITUTE(SUBSTITUTE(SUBSTITUTE(SUBSTITUTE($A1120,"-",""),"(",""),")",""),".",""),"+","")," ","")))</f>
      </c>
    </row>
    <row r="1121" spans="1:7" x14ac:dyDescent="0.3">
      <c r="A1121" s="11"/>
      <c r="B1121" s="38">
        <f>IF($A1121="","",IFERROR(IF(INDEX(Pledges!$D$5:$D$2500,MATCH($G1121,Pledges!$K$5:$K$2500,0))="","⚠ no amount on Pledges",IF(INDEX(Pledges!$B$5:$B$2500,MATCH($G1121,Pledges!$K$5:$K$2500,0))="","",INDEX(Pledges!$B$5:$B$2500,MATCH($G1121,Pledges!$K$5:$K$2500,0)))),"⚠ phone not in Pledges"))</f>
      </c>
      <c r="C1121" s="12"/>
      <c r="D1121" s="13"/>
      <c r="E1121" s="22"/>
      <c r="F1121" s="23"/>
      <c r="G1121">
        <f>IF($A1121="","","#"&amp;TRIM(SUBSTITUTE(SUBSTITUTE(SUBSTITUTE(SUBSTITUTE(SUBSTITUTE(SUBSTITUTE($A1121,"-",""),"(",""),")",""),".",""),"+","")," ","")))</f>
      </c>
    </row>
    <row r="1122" spans="1:7" x14ac:dyDescent="0.3">
      <c r="A1122" s="11"/>
      <c r="B1122" s="38">
        <f>IF($A1122="","",IFERROR(IF(INDEX(Pledges!$D$5:$D$2500,MATCH($G1122,Pledges!$K$5:$K$2500,0))="","⚠ no amount on Pledges",IF(INDEX(Pledges!$B$5:$B$2500,MATCH($G1122,Pledges!$K$5:$K$2500,0))="","",INDEX(Pledges!$B$5:$B$2500,MATCH($G1122,Pledges!$K$5:$K$2500,0)))),"⚠ phone not in Pledges"))</f>
      </c>
      <c r="C1122" s="12"/>
      <c r="D1122" s="13"/>
      <c r="E1122" s="22"/>
      <c r="F1122" s="23"/>
      <c r="G1122">
        <f>IF($A1122="","","#"&amp;TRIM(SUBSTITUTE(SUBSTITUTE(SUBSTITUTE(SUBSTITUTE(SUBSTITUTE(SUBSTITUTE($A1122,"-",""),"(",""),")",""),".",""),"+","")," ","")))</f>
      </c>
    </row>
    <row r="1123" spans="1:7" x14ac:dyDescent="0.3">
      <c r="A1123" s="11"/>
      <c r="B1123" s="38">
        <f>IF($A1123="","",IFERROR(IF(INDEX(Pledges!$D$5:$D$2500,MATCH($G1123,Pledges!$K$5:$K$2500,0))="","⚠ no amount on Pledges",IF(INDEX(Pledges!$B$5:$B$2500,MATCH($G1123,Pledges!$K$5:$K$2500,0))="","",INDEX(Pledges!$B$5:$B$2500,MATCH($G1123,Pledges!$K$5:$K$2500,0)))),"⚠ phone not in Pledges"))</f>
      </c>
      <c r="C1123" s="12"/>
      <c r="D1123" s="13"/>
      <c r="E1123" s="22"/>
      <c r="F1123" s="23"/>
      <c r="G1123">
        <f>IF($A1123="","","#"&amp;TRIM(SUBSTITUTE(SUBSTITUTE(SUBSTITUTE(SUBSTITUTE(SUBSTITUTE(SUBSTITUTE($A1123,"-",""),"(",""),")",""),".",""),"+","")," ","")))</f>
      </c>
    </row>
    <row r="1124" spans="1:7" x14ac:dyDescent="0.3">
      <c r="A1124" s="11"/>
      <c r="B1124" s="38">
        <f>IF($A1124="","",IFERROR(IF(INDEX(Pledges!$D$5:$D$2500,MATCH($G1124,Pledges!$K$5:$K$2500,0))="","⚠ no amount on Pledges",IF(INDEX(Pledges!$B$5:$B$2500,MATCH($G1124,Pledges!$K$5:$K$2500,0))="","",INDEX(Pledges!$B$5:$B$2500,MATCH($G1124,Pledges!$K$5:$K$2500,0)))),"⚠ phone not in Pledges"))</f>
      </c>
      <c r="C1124" s="12"/>
      <c r="D1124" s="13"/>
      <c r="E1124" s="22"/>
      <c r="F1124" s="23"/>
      <c r="G1124">
        <f>IF($A1124="","","#"&amp;TRIM(SUBSTITUTE(SUBSTITUTE(SUBSTITUTE(SUBSTITUTE(SUBSTITUTE(SUBSTITUTE($A1124,"-",""),"(",""),")",""),".",""),"+","")," ","")))</f>
      </c>
    </row>
    <row r="1125" spans="1:7" x14ac:dyDescent="0.3">
      <c r="A1125" s="11"/>
      <c r="B1125" s="38">
        <f>IF($A1125="","",IFERROR(IF(INDEX(Pledges!$D$5:$D$2500,MATCH($G1125,Pledges!$K$5:$K$2500,0))="","⚠ no amount on Pledges",IF(INDEX(Pledges!$B$5:$B$2500,MATCH($G1125,Pledges!$K$5:$K$2500,0))="","",INDEX(Pledges!$B$5:$B$2500,MATCH($G1125,Pledges!$K$5:$K$2500,0)))),"⚠ phone not in Pledges"))</f>
      </c>
      <c r="C1125" s="12"/>
      <c r="D1125" s="13"/>
      <c r="E1125" s="22"/>
      <c r="F1125" s="23"/>
      <c r="G1125">
        <f>IF($A1125="","","#"&amp;TRIM(SUBSTITUTE(SUBSTITUTE(SUBSTITUTE(SUBSTITUTE(SUBSTITUTE(SUBSTITUTE($A1125,"-",""),"(",""),")",""),".",""),"+","")," ","")))</f>
      </c>
    </row>
    <row r="1126" spans="1:7" x14ac:dyDescent="0.3">
      <c r="A1126" s="11"/>
      <c r="B1126" s="38">
        <f>IF($A1126="","",IFERROR(IF(INDEX(Pledges!$D$5:$D$2500,MATCH($G1126,Pledges!$K$5:$K$2500,0))="","⚠ no amount on Pledges",IF(INDEX(Pledges!$B$5:$B$2500,MATCH($G1126,Pledges!$K$5:$K$2500,0))="","",INDEX(Pledges!$B$5:$B$2500,MATCH($G1126,Pledges!$K$5:$K$2500,0)))),"⚠ phone not in Pledges"))</f>
      </c>
      <c r="C1126" s="12"/>
      <c r="D1126" s="13"/>
      <c r="E1126" s="22"/>
      <c r="F1126" s="23"/>
      <c r="G1126">
        <f>IF($A1126="","","#"&amp;TRIM(SUBSTITUTE(SUBSTITUTE(SUBSTITUTE(SUBSTITUTE(SUBSTITUTE(SUBSTITUTE($A1126,"-",""),"(",""),")",""),".",""),"+","")," ","")))</f>
      </c>
    </row>
    <row r="1127" spans="1:7" x14ac:dyDescent="0.3">
      <c r="A1127" s="11"/>
      <c r="B1127" s="38">
        <f>IF($A1127="","",IFERROR(IF(INDEX(Pledges!$D$5:$D$2500,MATCH($G1127,Pledges!$K$5:$K$2500,0))="","⚠ no amount on Pledges",IF(INDEX(Pledges!$B$5:$B$2500,MATCH($G1127,Pledges!$K$5:$K$2500,0))="","",INDEX(Pledges!$B$5:$B$2500,MATCH($G1127,Pledges!$K$5:$K$2500,0)))),"⚠ phone not in Pledges"))</f>
      </c>
      <c r="C1127" s="12"/>
      <c r="D1127" s="13"/>
      <c r="E1127" s="22"/>
      <c r="F1127" s="23"/>
      <c r="G1127">
        <f>IF($A1127="","","#"&amp;TRIM(SUBSTITUTE(SUBSTITUTE(SUBSTITUTE(SUBSTITUTE(SUBSTITUTE(SUBSTITUTE($A1127,"-",""),"(",""),")",""),".",""),"+","")," ","")))</f>
      </c>
    </row>
    <row r="1128" spans="1:7" x14ac:dyDescent="0.3">
      <c r="A1128" s="11"/>
      <c r="B1128" s="38">
        <f>IF($A1128="","",IFERROR(IF(INDEX(Pledges!$D$5:$D$2500,MATCH($G1128,Pledges!$K$5:$K$2500,0))="","⚠ no amount on Pledges",IF(INDEX(Pledges!$B$5:$B$2500,MATCH($G1128,Pledges!$K$5:$K$2500,0))="","",INDEX(Pledges!$B$5:$B$2500,MATCH($G1128,Pledges!$K$5:$K$2500,0)))),"⚠ phone not in Pledges"))</f>
      </c>
      <c r="C1128" s="12"/>
      <c r="D1128" s="13"/>
      <c r="E1128" s="22"/>
      <c r="F1128" s="23"/>
      <c r="G1128">
        <f>IF($A1128="","","#"&amp;TRIM(SUBSTITUTE(SUBSTITUTE(SUBSTITUTE(SUBSTITUTE(SUBSTITUTE(SUBSTITUTE($A1128,"-",""),"(",""),")",""),".",""),"+","")," ","")))</f>
      </c>
    </row>
    <row r="1129" spans="1:7" x14ac:dyDescent="0.3">
      <c r="A1129" s="11"/>
      <c r="B1129" s="38">
        <f>IF($A1129="","",IFERROR(IF(INDEX(Pledges!$D$5:$D$2500,MATCH($G1129,Pledges!$K$5:$K$2500,0))="","⚠ no amount on Pledges",IF(INDEX(Pledges!$B$5:$B$2500,MATCH($G1129,Pledges!$K$5:$K$2500,0))="","",INDEX(Pledges!$B$5:$B$2500,MATCH($G1129,Pledges!$K$5:$K$2500,0)))),"⚠ phone not in Pledges"))</f>
      </c>
      <c r="C1129" s="12"/>
      <c r="D1129" s="13"/>
      <c r="E1129" s="22"/>
      <c r="F1129" s="23"/>
      <c r="G1129">
        <f>IF($A1129="","","#"&amp;TRIM(SUBSTITUTE(SUBSTITUTE(SUBSTITUTE(SUBSTITUTE(SUBSTITUTE(SUBSTITUTE($A1129,"-",""),"(",""),")",""),".",""),"+","")," ","")))</f>
      </c>
    </row>
    <row r="1130" spans="1:7" x14ac:dyDescent="0.3">
      <c r="A1130" s="11"/>
      <c r="B1130" s="38">
        <f>IF($A1130="","",IFERROR(IF(INDEX(Pledges!$D$5:$D$2500,MATCH($G1130,Pledges!$K$5:$K$2500,0))="","⚠ no amount on Pledges",IF(INDEX(Pledges!$B$5:$B$2500,MATCH($G1130,Pledges!$K$5:$K$2500,0))="","",INDEX(Pledges!$B$5:$B$2500,MATCH($G1130,Pledges!$K$5:$K$2500,0)))),"⚠ phone not in Pledges"))</f>
      </c>
      <c r="C1130" s="12"/>
      <c r="D1130" s="13"/>
      <c r="E1130" s="22"/>
      <c r="F1130" s="23"/>
      <c r="G1130">
        <f>IF($A1130="","","#"&amp;TRIM(SUBSTITUTE(SUBSTITUTE(SUBSTITUTE(SUBSTITUTE(SUBSTITUTE(SUBSTITUTE($A1130,"-",""),"(",""),")",""),".",""),"+","")," ","")))</f>
      </c>
    </row>
    <row r="1131" spans="1:7" x14ac:dyDescent="0.3">
      <c r="A1131" s="11"/>
      <c r="B1131" s="38">
        <f>IF($A1131="","",IFERROR(IF(INDEX(Pledges!$D$5:$D$2500,MATCH($G1131,Pledges!$K$5:$K$2500,0))="","⚠ no amount on Pledges",IF(INDEX(Pledges!$B$5:$B$2500,MATCH($G1131,Pledges!$K$5:$K$2500,0))="","",INDEX(Pledges!$B$5:$B$2500,MATCH($G1131,Pledges!$K$5:$K$2500,0)))),"⚠ phone not in Pledges"))</f>
      </c>
      <c r="C1131" s="12"/>
      <c r="D1131" s="13"/>
      <c r="E1131" s="22"/>
      <c r="F1131" s="23"/>
      <c r="G1131">
        <f>IF($A1131="","","#"&amp;TRIM(SUBSTITUTE(SUBSTITUTE(SUBSTITUTE(SUBSTITUTE(SUBSTITUTE(SUBSTITUTE($A1131,"-",""),"(",""),")",""),".",""),"+","")," ","")))</f>
      </c>
    </row>
    <row r="1132" spans="1:7" x14ac:dyDescent="0.3">
      <c r="A1132" s="11"/>
      <c r="B1132" s="38">
        <f>IF($A1132="","",IFERROR(IF(INDEX(Pledges!$D$5:$D$2500,MATCH($G1132,Pledges!$K$5:$K$2500,0))="","⚠ no amount on Pledges",IF(INDEX(Pledges!$B$5:$B$2500,MATCH($G1132,Pledges!$K$5:$K$2500,0))="","",INDEX(Pledges!$B$5:$B$2500,MATCH($G1132,Pledges!$K$5:$K$2500,0)))),"⚠ phone not in Pledges"))</f>
      </c>
      <c r="C1132" s="12"/>
      <c r="D1132" s="13"/>
      <c r="E1132" s="22"/>
      <c r="F1132" s="23"/>
      <c r="G1132">
        <f>IF($A1132="","","#"&amp;TRIM(SUBSTITUTE(SUBSTITUTE(SUBSTITUTE(SUBSTITUTE(SUBSTITUTE(SUBSTITUTE($A1132,"-",""),"(",""),")",""),".",""),"+","")," ","")))</f>
      </c>
    </row>
    <row r="1133" spans="1:7" x14ac:dyDescent="0.3">
      <c r="A1133" s="11"/>
      <c r="B1133" s="38">
        <f>IF($A1133="","",IFERROR(IF(INDEX(Pledges!$D$5:$D$2500,MATCH($G1133,Pledges!$K$5:$K$2500,0))="","⚠ no amount on Pledges",IF(INDEX(Pledges!$B$5:$B$2500,MATCH($G1133,Pledges!$K$5:$K$2500,0))="","",INDEX(Pledges!$B$5:$B$2500,MATCH($G1133,Pledges!$K$5:$K$2500,0)))),"⚠ phone not in Pledges"))</f>
      </c>
      <c r="C1133" s="12"/>
      <c r="D1133" s="13"/>
      <c r="E1133" s="22"/>
      <c r="F1133" s="23"/>
      <c r="G1133">
        <f>IF($A1133="","","#"&amp;TRIM(SUBSTITUTE(SUBSTITUTE(SUBSTITUTE(SUBSTITUTE(SUBSTITUTE(SUBSTITUTE($A1133,"-",""),"(",""),")",""),".",""),"+","")," ","")))</f>
      </c>
    </row>
    <row r="1134" spans="1:7" x14ac:dyDescent="0.3">
      <c r="A1134" s="11"/>
      <c r="B1134" s="38">
        <f>IF($A1134="","",IFERROR(IF(INDEX(Pledges!$D$5:$D$2500,MATCH($G1134,Pledges!$K$5:$K$2500,0))="","⚠ no amount on Pledges",IF(INDEX(Pledges!$B$5:$B$2500,MATCH($G1134,Pledges!$K$5:$K$2500,0))="","",INDEX(Pledges!$B$5:$B$2500,MATCH($G1134,Pledges!$K$5:$K$2500,0)))),"⚠ phone not in Pledges"))</f>
      </c>
      <c r="C1134" s="12"/>
      <c r="D1134" s="13"/>
      <c r="E1134" s="22"/>
      <c r="F1134" s="23"/>
      <c r="G1134">
        <f>IF($A1134="","","#"&amp;TRIM(SUBSTITUTE(SUBSTITUTE(SUBSTITUTE(SUBSTITUTE(SUBSTITUTE(SUBSTITUTE($A1134,"-",""),"(",""),")",""),".",""),"+","")," ","")))</f>
      </c>
    </row>
    <row r="1135" spans="1:7" x14ac:dyDescent="0.3">
      <c r="A1135" s="11"/>
      <c r="B1135" s="38">
        <f>IF($A1135="","",IFERROR(IF(INDEX(Pledges!$D$5:$D$2500,MATCH($G1135,Pledges!$K$5:$K$2500,0))="","⚠ no amount on Pledges",IF(INDEX(Pledges!$B$5:$B$2500,MATCH($G1135,Pledges!$K$5:$K$2500,0))="","",INDEX(Pledges!$B$5:$B$2500,MATCH($G1135,Pledges!$K$5:$K$2500,0)))),"⚠ phone not in Pledges"))</f>
      </c>
      <c r="C1135" s="12"/>
      <c r="D1135" s="13"/>
      <c r="E1135" s="22"/>
      <c r="F1135" s="23"/>
      <c r="G1135">
        <f>IF($A1135="","","#"&amp;TRIM(SUBSTITUTE(SUBSTITUTE(SUBSTITUTE(SUBSTITUTE(SUBSTITUTE(SUBSTITUTE($A1135,"-",""),"(",""),")",""),".",""),"+","")," ","")))</f>
      </c>
    </row>
    <row r="1136" spans="1:7" x14ac:dyDescent="0.3">
      <c r="A1136" s="11"/>
      <c r="B1136" s="38">
        <f>IF($A1136="","",IFERROR(IF(INDEX(Pledges!$D$5:$D$2500,MATCH($G1136,Pledges!$K$5:$K$2500,0))="","⚠ no amount on Pledges",IF(INDEX(Pledges!$B$5:$B$2500,MATCH($G1136,Pledges!$K$5:$K$2500,0))="","",INDEX(Pledges!$B$5:$B$2500,MATCH($G1136,Pledges!$K$5:$K$2500,0)))),"⚠ phone not in Pledges"))</f>
      </c>
      <c r="C1136" s="12"/>
      <c r="D1136" s="13"/>
      <c r="E1136" s="22"/>
      <c r="F1136" s="23"/>
      <c r="G1136">
        <f>IF($A1136="","","#"&amp;TRIM(SUBSTITUTE(SUBSTITUTE(SUBSTITUTE(SUBSTITUTE(SUBSTITUTE(SUBSTITUTE($A1136,"-",""),"(",""),")",""),".",""),"+","")," ","")))</f>
      </c>
    </row>
    <row r="1137" spans="1:7" x14ac:dyDescent="0.3">
      <c r="A1137" s="11"/>
      <c r="B1137" s="38">
        <f>IF($A1137="","",IFERROR(IF(INDEX(Pledges!$D$5:$D$2500,MATCH($G1137,Pledges!$K$5:$K$2500,0))="","⚠ no amount on Pledges",IF(INDEX(Pledges!$B$5:$B$2500,MATCH($G1137,Pledges!$K$5:$K$2500,0))="","",INDEX(Pledges!$B$5:$B$2500,MATCH($G1137,Pledges!$K$5:$K$2500,0)))),"⚠ phone not in Pledges"))</f>
      </c>
      <c r="C1137" s="12"/>
      <c r="D1137" s="13"/>
      <c r="E1137" s="22"/>
      <c r="F1137" s="23"/>
      <c r="G1137">
        <f>IF($A1137="","","#"&amp;TRIM(SUBSTITUTE(SUBSTITUTE(SUBSTITUTE(SUBSTITUTE(SUBSTITUTE(SUBSTITUTE($A1137,"-",""),"(",""),")",""),".",""),"+","")," ","")))</f>
      </c>
    </row>
    <row r="1138" spans="1:7" x14ac:dyDescent="0.3">
      <c r="A1138" s="11"/>
      <c r="B1138" s="38">
        <f>IF($A1138="","",IFERROR(IF(INDEX(Pledges!$D$5:$D$2500,MATCH($G1138,Pledges!$K$5:$K$2500,0))="","⚠ no amount on Pledges",IF(INDEX(Pledges!$B$5:$B$2500,MATCH($G1138,Pledges!$K$5:$K$2500,0))="","",INDEX(Pledges!$B$5:$B$2500,MATCH($G1138,Pledges!$K$5:$K$2500,0)))),"⚠ phone not in Pledges"))</f>
      </c>
      <c r="C1138" s="12"/>
      <c r="D1138" s="13"/>
      <c r="E1138" s="22"/>
      <c r="F1138" s="23"/>
      <c r="G1138">
        <f>IF($A1138="","","#"&amp;TRIM(SUBSTITUTE(SUBSTITUTE(SUBSTITUTE(SUBSTITUTE(SUBSTITUTE(SUBSTITUTE($A1138,"-",""),"(",""),")",""),".",""),"+","")," ","")))</f>
      </c>
    </row>
    <row r="1139" spans="1:7" x14ac:dyDescent="0.3">
      <c r="A1139" s="11"/>
      <c r="B1139" s="38">
        <f>IF($A1139="","",IFERROR(IF(INDEX(Pledges!$D$5:$D$2500,MATCH($G1139,Pledges!$K$5:$K$2500,0))="","⚠ no amount on Pledges",IF(INDEX(Pledges!$B$5:$B$2500,MATCH($G1139,Pledges!$K$5:$K$2500,0))="","",INDEX(Pledges!$B$5:$B$2500,MATCH($G1139,Pledges!$K$5:$K$2500,0)))),"⚠ phone not in Pledges"))</f>
      </c>
      <c r="C1139" s="12"/>
      <c r="D1139" s="13"/>
      <c r="E1139" s="22"/>
      <c r="F1139" s="23"/>
      <c r="G1139">
        <f>IF($A1139="","","#"&amp;TRIM(SUBSTITUTE(SUBSTITUTE(SUBSTITUTE(SUBSTITUTE(SUBSTITUTE(SUBSTITUTE($A1139,"-",""),"(",""),")",""),".",""),"+","")," ","")))</f>
      </c>
    </row>
    <row r="1140" spans="1:7" x14ac:dyDescent="0.3">
      <c r="A1140" s="11"/>
      <c r="B1140" s="38">
        <f>IF($A1140="","",IFERROR(IF(INDEX(Pledges!$D$5:$D$2500,MATCH($G1140,Pledges!$K$5:$K$2500,0))="","⚠ no amount on Pledges",IF(INDEX(Pledges!$B$5:$B$2500,MATCH($G1140,Pledges!$K$5:$K$2500,0))="","",INDEX(Pledges!$B$5:$B$2500,MATCH($G1140,Pledges!$K$5:$K$2500,0)))),"⚠ phone not in Pledges"))</f>
      </c>
      <c r="C1140" s="12"/>
      <c r="D1140" s="13"/>
      <c r="E1140" s="22"/>
      <c r="F1140" s="23"/>
      <c r="G1140">
        <f>IF($A1140="","","#"&amp;TRIM(SUBSTITUTE(SUBSTITUTE(SUBSTITUTE(SUBSTITUTE(SUBSTITUTE(SUBSTITUTE($A1140,"-",""),"(",""),")",""),".",""),"+","")," ","")))</f>
      </c>
    </row>
    <row r="1141" spans="1:7" x14ac:dyDescent="0.3">
      <c r="A1141" s="11"/>
      <c r="B1141" s="38">
        <f>IF($A1141="","",IFERROR(IF(INDEX(Pledges!$D$5:$D$2500,MATCH($G1141,Pledges!$K$5:$K$2500,0))="","⚠ no amount on Pledges",IF(INDEX(Pledges!$B$5:$B$2500,MATCH($G1141,Pledges!$K$5:$K$2500,0))="","",INDEX(Pledges!$B$5:$B$2500,MATCH($G1141,Pledges!$K$5:$K$2500,0)))),"⚠ phone not in Pledges"))</f>
      </c>
      <c r="C1141" s="12"/>
      <c r="D1141" s="13"/>
      <c r="E1141" s="22"/>
      <c r="F1141" s="23"/>
      <c r="G1141">
        <f>IF($A1141="","","#"&amp;TRIM(SUBSTITUTE(SUBSTITUTE(SUBSTITUTE(SUBSTITUTE(SUBSTITUTE(SUBSTITUTE($A1141,"-",""),"(",""),")",""),".",""),"+","")," ","")))</f>
      </c>
    </row>
    <row r="1142" spans="1:7" x14ac:dyDescent="0.3">
      <c r="A1142" s="11"/>
      <c r="B1142" s="38">
        <f>IF($A1142="","",IFERROR(IF(INDEX(Pledges!$D$5:$D$2500,MATCH($G1142,Pledges!$K$5:$K$2500,0))="","⚠ no amount on Pledges",IF(INDEX(Pledges!$B$5:$B$2500,MATCH($G1142,Pledges!$K$5:$K$2500,0))="","",INDEX(Pledges!$B$5:$B$2500,MATCH($G1142,Pledges!$K$5:$K$2500,0)))),"⚠ phone not in Pledges"))</f>
      </c>
      <c r="C1142" s="12"/>
      <c r="D1142" s="13"/>
      <c r="E1142" s="22"/>
      <c r="F1142" s="23"/>
      <c r="G1142">
        <f>IF($A1142="","","#"&amp;TRIM(SUBSTITUTE(SUBSTITUTE(SUBSTITUTE(SUBSTITUTE(SUBSTITUTE(SUBSTITUTE($A1142,"-",""),"(",""),")",""),".",""),"+","")," ","")))</f>
      </c>
    </row>
    <row r="1143" spans="1:7" x14ac:dyDescent="0.3">
      <c r="A1143" s="11"/>
      <c r="B1143" s="38">
        <f>IF($A1143="","",IFERROR(IF(INDEX(Pledges!$D$5:$D$2500,MATCH($G1143,Pledges!$K$5:$K$2500,0))="","⚠ no amount on Pledges",IF(INDEX(Pledges!$B$5:$B$2500,MATCH($G1143,Pledges!$K$5:$K$2500,0))="","",INDEX(Pledges!$B$5:$B$2500,MATCH($G1143,Pledges!$K$5:$K$2500,0)))),"⚠ phone not in Pledges"))</f>
      </c>
      <c r="C1143" s="12"/>
      <c r="D1143" s="13"/>
      <c r="E1143" s="22"/>
      <c r="F1143" s="23"/>
      <c r="G1143">
        <f>IF($A1143="","","#"&amp;TRIM(SUBSTITUTE(SUBSTITUTE(SUBSTITUTE(SUBSTITUTE(SUBSTITUTE(SUBSTITUTE($A1143,"-",""),"(",""),")",""),".",""),"+","")," ","")))</f>
      </c>
    </row>
    <row r="1144" spans="1:7" x14ac:dyDescent="0.3">
      <c r="A1144" s="11"/>
      <c r="B1144" s="38">
        <f>IF($A1144="","",IFERROR(IF(INDEX(Pledges!$D$5:$D$2500,MATCH($G1144,Pledges!$K$5:$K$2500,0))="","⚠ no amount on Pledges",IF(INDEX(Pledges!$B$5:$B$2500,MATCH($G1144,Pledges!$K$5:$K$2500,0))="","",INDEX(Pledges!$B$5:$B$2500,MATCH($G1144,Pledges!$K$5:$K$2500,0)))),"⚠ phone not in Pledges"))</f>
      </c>
      <c r="C1144" s="12"/>
      <c r="D1144" s="13"/>
      <c r="E1144" s="22"/>
      <c r="F1144" s="23"/>
      <c r="G1144">
        <f>IF($A1144="","","#"&amp;TRIM(SUBSTITUTE(SUBSTITUTE(SUBSTITUTE(SUBSTITUTE(SUBSTITUTE(SUBSTITUTE($A1144,"-",""),"(",""),")",""),".",""),"+","")," ","")))</f>
      </c>
    </row>
    <row r="1145" spans="1:7" x14ac:dyDescent="0.3">
      <c r="A1145" s="11"/>
      <c r="B1145" s="38">
        <f>IF($A1145="","",IFERROR(IF(INDEX(Pledges!$D$5:$D$2500,MATCH($G1145,Pledges!$K$5:$K$2500,0))="","⚠ no amount on Pledges",IF(INDEX(Pledges!$B$5:$B$2500,MATCH($G1145,Pledges!$K$5:$K$2500,0))="","",INDEX(Pledges!$B$5:$B$2500,MATCH($G1145,Pledges!$K$5:$K$2500,0)))),"⚠ phone not in Pledges"))</f>
      </c>
      <c r="C1145" s="12"/>
      <c r="D1145" s="13"/>
      <c r="E1145" s="22"/>
      <c r="F1145" s="23"/>
      <c r="G1145">
        <f>IF($A1145="","","#"&amp;TRIM(SUBSTITUTE(SUBSTITUTE(SUBSTITUTE(SUBSTITUTE(SUBSTITUTE(SUBSTITUTE($A1145,"-",""),"(",""),")",""),".",""),"+","")," ","")))</f>
      </c>
    </row>
    <row r="1146" spans="1:7" x14ac:dyDescent="0.3">
      <c r="A1146" s="11"/>
      <c r="B1146" s="38">
        <f>IF($A1146="","",IFERROR(IF(INDEX(Pledges!$D$5:$D$2500,MATCH($G1146,Pledges!$K$5:$K$2500,0))="","⚠ no amount on Pledges",IF(INDEX(Pledges!$B$5:$B$2500,MATCH($G1146,Pledges!$K$5:$K$2500,0))="","",INDEX(Pledges!$B$5:$B$2500,MATCH($G1146,Pledges!$K$5:$K$2500,0)))),"⚠ phone not in Pledges"))</f>
      </c>
      <c r="C1146" s="12"/>
      <c r="D1146" s="13"/>
      <c r="E1146" s="22"/>
      <c r="F1146" s="23"/>
      <c r="G1146">
        <f>IF($A1146="","","#"&amp;TRIM(SUBSTITUTE(SUBSTITUTE(SUBSTITUTE(SUBSTITUTE(SUBSTITUTE(SUBSTITUTE($A1146,"-",""),"(",""),")",""),".",""),"+","")," ","")))</f>
      </c>
    </row>
    <row r="1147" spans="1:7" x14ac:dyDescent="0.3">
      <c r="A1147" s="11"/>
      <c r="B1147" s="38">
        <f>IF($A1147="","",IFERROR(IF(INDEX(Pledges!$D$5:$D$2500,MATCH($G1147,Pledges!$K$5:$K$2500,0))="","⚠ no amount on Pledges",IF(INDEX(Pledges!$B$5:$B$2500,MATCH($G1147,Pledges!$K$5:$K$2500,0))="","",INDEX(Pledges!$B$5:$B$2500,MATCH($G1147,Pledges!$K$5:$K$2500,0)))),"⚠ phone not in Pledges"))</f>
      </c>
      <c r="C1147" s="12"/>
      <c r="D1147" s="13"/>
      <c r="E1147" s="22"/>
      <c r="F1147" s="23"/>
      <c r="G1147">
        <f>IF($A1147="","","#"&amp;TRIM(SUBSTITUTE(SUBSTITUTE(SUBSTITUTE(SUBSTITUTE(SUBSTITUTE(SUBSTITUTE($A1147,"-",""),"(",""),")",""),".",""),"+","")," ","")))</f>
      </c>
    </row>
    <row r="1148" spans="1:7" x14ac:dyDescent="0.3">
      <c r="A1148" s="11"/>
      <c r="B1148" s="38">
        <f>IF($A1148="","",IFERROR(IF(INDEX(Pledges!$D$5:$D$2500,MATCH($G1148,Pledges!$K$5:$K$2500,0))="","⚠ no amount on Pledges",IF(INDEX(Pledges!$B$5:$B$2500,MATCH($G1148,Pledges!$K$5:$K$2500,0))="","",INDEX(Pledges!$B$5:$B$2500,MATCH($G1148,Pledges!$K$5:$K$2500,0)))),"⚠ phone not in Pledges"))</f>
      </c>
      <c r="C1148" s="12"/>
      <c r="D1148" s="13"/>
      <c r="E1148" s="22"/>
      <c r="F1148" s="23"/>
      <c r="G1148">
        <f>IF($A1148="","","#"&amp;TRIM(SUBSTITUTE(SUBSTITUTE(SUBSTITUTE(SUBSTITUTE(SUBSTITUTE(SUBSTITUTE($A1148,"-",""),"(",""),")",""),".",""),"+","")," ","")))</f>
      </c>
    </row>
    <row r="1149" spans="1:7" x14ac:dyDescent="0.3">
      <c r="A1149" s="11"/>
      <c r="B1149" s="38">
        <f>IF($A1149="","",IFERROR(IF(INDEX(Pledges!$D$5:$D$2500,MATCH($G1149,Pledges!$K$5:$K$2500,0))="","⚠ no amount on Pledges",IF(INDEX(Pledges!$B$5:$B$2500,MATCH($G1149,Pledges!$K$5:$K$2500,0))="","",INDEX(Pledges!$B$5:$B$2500,MATCH($G1149,Pledges!$K$5:$K$2500,0)))),"⚠ phone not in Pledges"))</f>
      </c>
      <c r="C1149" s="12"/>
      <c r="D1149" s="13"/>
      <c r="E1149" s="22"/>
      <c r="F1149" s="23"/>
      <c r="G1149">
        <f>IF($A1149="","","#"&amp;TRIM(SUBSTITUTE(SUBSTITUTE(SUBSTITUTE(SUBSTITUTE(SUBSTITUTE(SUBSTITUTE($A1149,"-",""),"(",""),")",""),".",""),"+","")," ","")))</f>
      </c>
    </row>
    <row r="1150" spans="1:7" x14ac:dyDescent="0.3">
      <c r="A1150" s="11"/>
      <c r="B1150" s="38">
        <f>IF($A1150="","",IFERROR(IF(INDEX(Pledges!$D$5:$D$2500,MATCH($G1150,Pledges!$K$5:$K$2500,0))="","⚠ no amount on Pledges",IF(INDEX(Pledges!$B$5:$B$2500,MATCH($G1150,Pledges!$K$5:$K$2500,0))="","",INDEX(Pledges!$B$5:$B$2500,MATCH($G1150,Pledges!$K$5:$K$2500,0)))),"⚠ phone not in Pledges"))</f>
      </c>
      <c r="C1150" s="12"/>
      <c r="D1150" s="13"/>
      <c r="E1150" s="22"/>
      <c r="F1150" s="23"/>
      <c r="G1150">
        <f>IF($A1150="","","#"&amp;TRIM(SUBSTITUTE(SUBSTITUTE(SUBSTITUTE(SUBSTITUTE(SUBSTITUTE(SUBSTITUTE($A1150,"-",""),"(",""),")",""),".",""),"+","")," ","")))</f>
      </c>
    </row>
    <row r="1151" spans="1:7" x14ac:dyDescent="0.3">
      <c r="A1151" s="11"/>
      <c r="B1151" s="38">
        <f>IF($A1151="","",IFERROR(IF(INDEX(Pledges!$D$5:$D$2500,MATCH($G1151,Pledges!$K$5:$K$2500,0))="","⚠ no amount on Pledges",IF(INDEX(Pledges!$B$5:$B$2500,MATCH($G1151,Pledges!$K$5:$K$2500,0))="","",INDEX(Pledges!$B$5:$B$2500,MATCH($G1151,Pledges!$K$5:$K$2500,0)))),"⚠ phone not in Pledges"))</f>
      </c>
      <c r="C1151" s="12"/>
      <c r="D1151" s="13"/>
      <c r="E1151" s="22"/>
      <c r="F1151" s="23"/>
      <c r="G1151">
        <f>IF($A1151="","","#"&amp;TRIM(SUBSTITUTE(SUBSTITUTE(SUBSTITUTE(SUBSTITUTE(SUBSTITUTE(SUBSTITUTE($A1151,"-",""),"(",""),")",""),".",""),"+","")," ","")))</f>
      </c>
    </row>
    <row r="1152" spans="1:7" x14ac:dyDescent="0.3">
      <c r="A1152" s="11"/>
      <c r="B1152" s="38">
        <f>IF($A1152="","",IFERROR(IF(INDEX(Pledges!$D$5:$D$2500,MATCH($G1152,Pledges!$K$5:$K$2500,0))="","⚠ no amount on Pledges",IF(INDEX(Pledges!$B$5:$B$2500,MATCH($G1152,Pledges!$K$5:$K$2500,0))="","",INDEX(Pledges!$B$5:$B$2500,MATCH($G1152,Pledges!$K$5:$K$2500,0)))),"⚠ phone not in Pledges"))</f>
      </c>
      <c r="C1152" s="12"/>
      <c r="D1152" s="13"/>
      <c r="E1152" s="22"/>
      <c r="F1152" s="23"/>
      <c r="G1152">
        <f>IF($A1152="","","#"&amp;TRIM(SUBSTITUTE(SUBSTITUTE(SUBSTITUTE(SUBSTITUTE(SUBSTITUTE(SUBSTITUTE($A1152,"-",""),"(",""),")",""),".",""),"+","")," ","")))</f>
      </c>
    </row>
    <row r="1153" spans="1:7" x14ac:dyDescent="0.3">
      <c r="A1153" s="11"/>
      <c r="B1153" s="38">
        <f>IF($A1153="","",IFERROR(IF(INDEX(Pledges!$D$5:$D$2500,MATCH($G1153,Pledges!$K$5:$K$2500,0))="","⚠ no amount on Pledges",IF(INDEX(Pledges!$B$5:$B$2500,MATCH($G1153,Pledges!$K$5:$K$2500,0))="","",INDEX(Pledges!$B$5:$B$2500,MATCH($G1153,Pledges!$K$5:$K$2500,0)))),"⚠ phone not in Pledges"))</f>
      </c>
      <c r="C1153" s="12"/>
      <c r="D1153" s="13"/>
      <c r="E1153" s="22"/>
      <c r="F1153" s="23"/>
      <c r="G1153">
        <f>IF($A1153="","","#"&amp;TRIM(SUBSTITUTE(SUBSTITUTE(SUBSTITUTE(SUBSTITUTE(SUBSTITUTE(SUBSTITUTE($A1153,"-",""),"(",""),")",""),".",""),"+","")," ","")))</f>
      </c>
    </row>
    <row r="1154" spans="1:7" x14ac:dyDescent="0.3">
      <c r="A1154" s="11"/>
      <c r="B1154" s="38">
        <f>IF($A1154="","",IFERROR(IF(INDEX(Pledges!$D$5:$D$2500,MATCH($G1154,Pledges!$K$5:$K$2500,0))="","⚠ no amount on Pledges",IF(INDEX(Pledges!$B$5:$B$2500,MATCH($G1154,Pledges!$K$5:$K$2500,0))="","",INDEX(Pledges!$B$5:$B$2500,MATCH($G1154,Pledges!$K$5:$K$2500,0)))),"⚠ phone not in Pledges"))</f>
      </c>
      <c r="C1154" s="12"/>
      <c r="D1154" s="13"/>
      <c r="E1154" s="22"/>
      <c r="F1154" s="23"/>
      <c r="G1154">
        <f>IF($A1154="","","#"&amp;TRIM(SUBSTITUTE(SUBSTITUTE(SUBSTITUTE(SUBSTITUTE(SUBSTITUTE(SUBSTITUTE($A1154,"-",""),"(",""),")",""),".",""),"+","")," ","")))</f>
      </c>
    </row>
    <row r="1155" spans="1:7" x14ac:dyDescent="0.3">
      <c r="A1155" s="11"/>
      <c r="B1155" s="38">
        <f>IF($A1155="","",IFERROR(IF(INDEX(Pledges!$D$5:$D$2500,MATCH($G1155,Pledges!$K$5:$K$2500,0))="","⚠ no amount on Pledges",IF(INDEX(Pledges!$B$5:$B$2500,MATCH($G1155,Pledges!$K$5:$K$2500,0))="","",INDEX(Pledges!$B$5:$B$2500,MATCH($G1155,Pledges!$K$5:$K$2500,0)))),"⚠ phone not in Pledges"))</f>
      </c>
      <c r="C1155" s="12"/>
      <c r="D1155" s="13"/>
      <c r="E1155" s="22"/>
      <c r="F1155" s="23"/>
      <c r="G1155">
        <f>IF($A1155="","","#"&amp;TRIM(SUBSTITUTE(SUBSTITUTE(SUBSTITUTE(SUBSTITUTE(SUBSTITUTE(SUBSTITUTE($A1155,"-",""),"(",""),")",""),".",""),"+","")," ","")))</f>
      </c>
    </row>
    <row r="1156" spans="1:7" x14ac:dyDescent="0.3">
      <c r="A1156" s="11"/>
      <c r="B1156" s="38">
        <f>IF($A1156="","",IFERROR(IF(INDEX(Pledges!$D$5:$D$2500,MATCH($G1156,Pledges!$K$5:$K$2500,0))="","⚠ no amount on Pledges",IF(INDEX(Pledges!$B$5:$B$2500,MATCH($G1156,Pledges!$K$5:$K$2500,0))="","",INDEX(Pledges!$B$5:$B$2500,MATCH($G1156,Pledges!$K$5:$K$2500,0)))),"⚠ phone not in Pledges"))</f>
      </c>
      <c r="C1156" s="12"/>
      <c r="D1156" s="13"/>
      <c r="E1156" s="22"/>
      <c r="F1156" s="23"/>
      <c r="G1156">
        <f>IF($A1156="","","#"&amp;TRIM(SUBSTITUTE(SUBSTITUTE(SUBSTITUTE(SUBSTITUTE(SUBSTITUTE(SUBSTITUTE($A1156,"-",""),"(",""),")",""),".",""),"+","")," ","")))</f>
      </c>
    </row>
    <row r="1157" spans="1:7" x14ac:dyDescent="0.3">
      <c r="A1157" s="11"/>
      <c r="B1157" s="38">
        <f>IF($A1157="","",IFERROR(IF(INDEX(Pledges!$D$5:$D$2500,MATCH($G1157,Pledges!$K$5:$K$2500,0))="","⚠ no amount on Pledges",IF(INDEX(Pledges!$B$5:$B$2500,MATCH($G1157,Pledges!$K$5:$K$2500,0))="","",INDEX(Pledges!$B$5:$B$2500,MATCH($G1157,Pledges!$K$5:$K$2500,0)))),"⚠ phone not in Pledges"))</f>
      </c>
      <c r="C1157" s="12"/>
      <c r="D1157" s="13"/>
      <c r="E1157" s="22"/>
      <c r="F1157" s="23"/>
      <c r="G1157">
        <f>IF($A1157="","","#"&amp;TRIM(SUBSTITUTE(SUBSTITUTE(SUBSTITUTE(SUBSTITUTE(SUBSTITUTE(SUBSTITUTE($A1157,"-",""),"(",""),")",""),".",""),"+","")," ","")))</f>
      </c>
    </row>
    <row r="1158" spans="1:7" x14ac:dyDescent="0.3">
      <c r="A1158" s="11"/>
      <c r="B1158" s="38">
        <f>IF($A1158="","",IFERROR(IF(INDEX(Pledges!$D$5:$D$2500,MATCH($G1158,Pledges!$K$5:$K$2500,0))="","⚠ no amount on Pledges",IF(INDEX(Pledges!$B$5:$B$2500,MATCH($G1158,Pledges!$K$5:$K$2500,0))="","",INDEX(Pledges!$B$5:$B$2500,MATCH($G1158,Pledges!$K$5:$K$2500,0)))),"⚠ phone not in Pledges"))</f>
      </c>
      <c r="C1158" s="12"/>
      <c r="D1158" s="13"/>
      <c r="E1158" s="22"/>
      <c r="F1158" s="23"/>
      <c r="G1158">
        <f>IF($A1158="","","#"&amp;TRIM(SUBSTITUTE(SUBSTITUTE(SUBSTITUTE(SUBSTITUTE(SUBSTITUTE(SUBSTITUTE($A1158,"-",""),"(",""),")",""),".",""),"+","")," ","")))</f>
      </c>
    </row>
    <row r="1159" spans="1:7" x14ac:dyDescent="0.3">
      <c r="A1159" s="11"/>
      <c r="B1159" s="38">
        <f>IF($A1159="","",IFERROR(IF(INDEX(Pledges!$D$5:$D$2500,MATCH($G1159,Pledges!$K$5:$K$2500,0))="","⚠ no amount on Pledges",IF(INDEX(Pledges!$B$5:$B$2500,MATCH($G1159,Pledges!$K$5:$K$2500,0))="","",INDEX(Pledges!$B$5:$B$2500,MATCH($G1159,Pledges!$K$5:$K$2500,0)))),"⚠ phone not in Pledges"))</f>
      </c>
      <c r="C1159" s="12"/>
      <c r="D1159" s="13"/>
      <c r="E1159" s="22"/>
      <c r="F1159" s="23"/>
      <c r="G1159">
        <f>IF($A1159="","","#"&amp;TRIM(SUBSTITUTE(SUBSTITUTE(SUBSTITUTE(SUBSTITUTE(SUBSTITUTE(SUBSTITUTE($A1159,"-",""),"(",""),")",""),".",""),"+","")," ","")))</f>
      </c>
    </row>
    <row r="1160" spans="1:7" x14ac:dyDescent="0.3">
      <c r="A1160" s="11"/>
      <c r="B1160" s="38">
        <f>IF($A1160="","",IFERROR(IF(INDEX(Pledges!$D$5:$D$2500,MATCH($G1160,Pledges!$K$5:$K$2500,0))="","⚠ no amount on Pledges",IF(INDEX(Pledges!$B$5:$B$2500,MATCH($G1160,Pledges!$K$5:$K$2500,0))="","",INDEX(Pledges!$B$5:$B$2500,MATCH($G1160,Pledges!$K$5:$K$2500,0)))),"⚠ phone not in Pledges"))</f>
      </c>
      <c r="C1160" s="12"/>
      <c r="D1160" s="13"/>
      <c r="E1160" s="22"/>
      <c r="F1160" s="23"/>
      <c r="G1160">
        <f>IF($A1160="","","#"&amp;TRIM(SUBSTITUTE(SUBSTITUTE(SUBSTITUTE(SUBSTITUTE(SUBSTITUTE(SUBSTITUTE($A1160,"-",""),"(",""),")",""),".",""),"+","")," ","")))</f>
      </c>
    </row>
    <row r="1161" spans="1:7" x14ac:dyDescent="0.3">
      <c r="A1161" s="11"/>
      <c r="B1161" s="38">
        <f>IF($A1161="","",IFERROR(IF(INDEX(Pledges!$D$5:$D$2500,MATCH($G1161,Pledges!$K$5:$K$2500,0))="","⚠ no amount on Pledges",IF(INDEX(Pledges!$B$5:$B$2500,MATCH($G1161,Pledges!$K$5:$K$2500,0))="","",INDEX(Pledges!$B$5:$B$2500,MATCH($G1161,Pledges!$K$5:$K$2500,0)))),"⚠ phone not in Pledges"))</f>
      </c>
      <c r="C1161" s="12"/>
      <c r="D1161" s="13"/>
      <c r="E1161" s="22"/>
      <c r="F1161" s="23"/>
      <c r="G1161">
        <f>IF($A1161="","","#"&amp;TRIM(SUBSTITUTE(SUBSTITUTE(SUBSTITUTE(SUBSTITUTE(SUBSTITUTE(SUBSTITUTE($A1161,"-",""),"(",""),")",""),".",""),"+","")," ","")))</f>
      </c>
    </row>
    <row r="1162" spans="1:7" x14ac:dyDescent="0.3">
      <c r="A1162" s="11"/>
      <c r="B1162" s="38">
        <f>IF($A1162="","",IFERROR(IF(INDEX(Pledges!$D$5:$D$2500,MATCH($G1162,Pledges!$K$5:$K$2500,0))="","⚠ no amount on Pledges",IF(INDEX(Pledges!$B$5:$B$2500,MATCH($G1162,Pledges!$K$5:$K$2500,0))="","",INDEX(Pledges!$B$5:$B$2500,MATCH($G1162,Pledges!$K$5:$K$2500,0)))),"⚠ phone not in Pledges"))</f>
      </c>
      <c r="C1162" s="12"/>
      <c r="D1162" s="13"/>
      <c r="E1162" s="22"/>
      <c r="F1162" s="23"/>
      <c r="G1162">
        <f>IF($A1162="","","#"&amp;TRIM(SUBSTITUTE(SUBSTITUTE(SUBSTITUTE(SUBSTITUTE(SUBSTITUTE(SUBSTITUTE($A1162,"-",""),"(",""),")",""),".",""),"+","")," ","")))</f>
      </c>
    </row>
    <row r="1163" spans="1:7" x14ac:dyDescent="0.3">
      <c r="A1163" s="11"/>
      <c r="B1163" s="38">
        <f>IF($A1163="","",IFERROR(IF(INDEX(Pledges!$D$5:$D$2500,MATCH($G1163,Pledges!$K$5:$K$2500,0))="","⚠ no amount on Pledges",IF(INDEX(Pledges!$B$5:$B$2500,MATCH($G1163,Pledges!$K$5:$K$2500,0))="","",INDEX(Pledges!$B$5:$B$2500,MATCH($G1163,Pledges!$K$5:$K$2500,0)))),"⚠ phone not in Pledges"))</f>
      </c>
      <c r="C1163" s="12"/>
      <c r="D1163" s="13"/>
      <c r="E1163" s="22"/>
      <c r="F1163" s="23"/>
      <c r="G1163">
        <f>IF($A1163="","","#"&amp;TRIM(SUBSTITUTE(SUBSTITUTE(SUBSTITUTE(SUBSTITUTE(SUBSTITUTE(SUBSTITUTE($A1163,"-",""),"(",""),")",""),".",""),"+","")," ","")))</f>
      </c>
    </row>
    <row r="1164" spans="1:7" x14ac:dyDescent="0.3">
      <c r="A1164" s="11"/>
      <c r="B1164" s="38">
        <f>IF($A1164="","",IFERROR(IF(INDEX(Pledges!$D$5:$D$2500,MATCH($G1164,Pledges!$K$5:$K$2500,0))="","⚠ no amount on Pledges",IF(INDEX(Pledges!$B$5:$B$2500,MATCH($G1164,Pledges!$K$5:$K$2500,0))="","",INDEX(Pledges!$B$5:$B$2500,MATCH($G1164,Pledges!$K$5:$K$2500,0)))),"⚠ phone not in Pledges"))</f>
      </c>
      <c r="C1164" s="12"/>
      <c r="D1164" s="13"/>
      <c r="E1164" s="22"/>
      <c r="F1164" s="23"/>
      <c r="G1164">
        <f>IF($A1164="","","#"&amp;TRIM(SUBSTITUTE(SUBSTITUTE(SUBSTITUTE(SUBSTITUTE(SUBSTITUTE(SUBSTITUTE($A1164,"-",""),"(",""),")",""),".",""),"+","")," ","")))</f>
      </c>
    </row>
    <row r="1165" spans="1:7" x14ac:dyDescent="0.3">
      <c r="A1165" s="11"/>
      <c r="B1165" s="38">
        <f>IF($A1165="","",IFERROR(IF(INDEX(Pledges!$D$5:$D$2500,MATCH($G1165,Pledges!$K$5:$K$2500,0))="","⚠ no amount on Pledges",IF(INDEX(Pledges!$B$5:$B$2500,MATCH($G1165,Pledges!$K$5:$K$2500,0))="","",INDEX(Pledges!$B$5:$B$2500,MATCH($G1165,Pledges!$K$5:$K$2500,0)))),"⚠ phone not in Pledges"))</f>
      </c>
      <c r="C1165" s="12"/>
      <c r="D1165" s="13"/>
      <c r="E1165" s="22"/>
      <c r="F1165" s="23"/>
      <c r="G1165">
        <f>IF($A1165="","","#"&amp;TRIM(SUBSTITUTE(SUBSTITUTE(SUBSTITUTE(SUBSTITUTE(SUBSTITUTE(SUBSTITUTE($A1165,"-",""),"(",""),")",""),".",""),"+","")," ","")))</f>
      </c>
    </row>
    <row r="1166" spans="1:7" x14ac:dyDescent="0.3">
      <c r="A1166" s="11"/>
      <c r="B1166" s="38">
        <f>IF($A1166="","",IFERROR(IF(INDEX(Pledges!$D$5:$D$2500,MATCH($G1166,Pledges!$K$5:$K$2500,0))="","⚠ no amount on Pledges",IF(INDEX(Pledges!$B$5:$B$2500,MATCH($G1166,Pledges!$K$5:$K$2500,0))="","",INDEX(Pledges!$B$5:$B$2500,MATCH($G1166,Pledges!$K$5:$K$2500,0)))),"⚠ phone not in Pledges"))</f>
      </c>
      <c r="C1166" s="12"/>
      <c r="D1166" s="13"/>
      <c r="E1166" s="22"/>
      <c r="F1166" s="23"/>
      <c r="G1166">
        <f>IF($A1166="","","#"&amp;TRIM(SUBSTITUTE(SUBSTITUTE(SUBSTITUTE(SUBSTITUTE(SUBSTITUTE(SUBSTITUTE($A1166,"-",""),"(",""),")",""),".",""),"+","")," ","")))</f>
      </c>
    </row>
    <row r="1167" spans="1:7" x14ac:dyDescent="0.3">
      <c r="A1167" s="11"/>
      <c r="B1167" s="38">
        <f>IF($A1167="","",IFERROR(IF(INDEX(Pledges!$D$5:$D$2500,MATCH($G1167,Pledges!$K$5:$K$2500,0))="","⚠ no amount on Pledges",IF(INDEX(Pledges!$B$5:$B$2500,MATCH($G1167,Pledges!$K$5:$K$2500,0))="","",INDEX(Pledges!$B$5:$B$2500,MATCH($G1167,Pledges!$K$5:$K$2500,0)))),"⚠ phone not in Pledges"))</f>
      </c>
      <c r="C1167" s="12"/>
      <c r="D1167" s="13"/>
      <c r="E1167" s="22"/>
      <c r="F1167" s="23"/>
      <c r="G1167">
        <f>IF($A1167="","","#"&amp;TRIM(SUBSTITUTE(SUBSTITUTE(SUBSTITUTE(SUBSTITUTE(SUBSTITUTE(SUBSTITUTE($A1167,"-",""),"(",""),")",""),".",""),"+","")," ","")))</f>
      </c>
    </row>
    <row r="1168" spans="1:7" x14ac:dyDescent="0.3">
      <c r="A1168" s="11"/>
      <c r="B1168" s="38">
        <f>IF($A1168="","",IFERROR(IF(INDEX(Pledges!$D$5:$D$2500,MATCH($G1168,Pledges!$K$5:$K$2500,0))="","⚠ no amount on Pledges",IF(INDEX(Pledges!$B$5:$B$2500,MATCH($G1168,Pledges!$K$5:$K$2500,0))="","",INDEX(Pledges!$B$5:$B$2500,MATCH($G1168,Pledges!$K$5:$K$2500,0)))),"⚠ phone not in Pledges"))</f>
      </c>
      <c r="C1168" s="12"/>
      <c r="D1168" s="13"/>
      <c r="E1168" s="22"/>
      <c r="F1168" s="23"/>
      <c r="G1168">
        <f>IF($A1168="","","#"&amp;TRIM(SUBSTITUTE(SUBSTITUTE(SUBSTITUTE(SUBSTITUTE(SUBSTITUTE(SUBSTITUTE($A1168,"-",""),"(",""),")",""),".",""),"+","")," ","")))</f>
      </c>
    </row>
    <row r="1169" spans="1:7" x14ac:dyDescent="0.3">
      <c r="A1169" s="11"/>
      <c r="B1169" s="38">
        <f>IF($A1169="","",IFERROR(IF(INDEX(Pledges!$D$5:$D$2500,MATCH($G1169,Pledges!$K$5:$K$2500,0))="","⚠ no amount on Pledges",IF(INDEX(Pledges!$B$5:$B$2500,MATCH($G1169,Pledges!$K$5:$K$2500,0))="","",INDEX(Pledges!$B$5:$B$2500,MATCH($G1169,Pledges!$K$5:$K$2500,0)))),"⚠ phone not in Pledges"))</f>
      </c>
      <c r="C1169" s="12"/>
      <c r="D1169" s="13"/>
      <c r="E1169" s="22"/>
      <c r="F1169" s="23"/>
      <c r="G1169">
        <f>IF($A1169="","","#"&amp;TRIM(SUBSTITUTE(SUBSTITUTE(SUBSTITUTE(SUBSTITUTE(SUBSTITUTE(SUBSTITUTE($A1169,"-",""),"(",""),")",""),".",""),"+","")," ","")))</f>
      </c>
    </row>
    <row r="1170" spans="1:7" x14ac:dyDescent="0.3">
      <c r="A1170" s="11"/>
      <c r="B1170" s="38">
        <f>IF($A1170="","",IFERROR(IF(INDEX(Pledges!$D$5:$D$2500,MATCH($G1170,Pledges!$K$5:$K$2500,0))="","⚠ no amount on Pledges",IF(INDEX(Pledges!$B$5:$B$2500,MATCH($G1170,Pledges!$K$5:$K$2500,0))="","",INDEX(Pledges!$B$5:$B$2500,MATCH($G1170,Pledges!$K$5:$K$2500,0)))),"⚠ phone not in Pledges"))</f>
      </c>
      <c r="C1170" s="12"/>
      <c r="D1170" s="13"/>
      <c r="E1170" s="22"/>
      <c r="F1170" s="23"/>
      <c r="G1170">
        <f>IF($A1170="","","#"&amp;TRIM(SUBSTITUTE(SUBSTITUTE(SUBSTITUTE(SUBSTITUTE(SUBSTITUTE(SUBSTITUTE($A1170,"-",""),"(",""),")",""),".",""),"+","")," ","")))</f>
      </c>
    </row>
    <row r="1171" spans="1:7" x14ac:dyDescent="0.3">
      <c r="A1171" s="11"/>
      <c r="B1171" s="38">
        <f>IF($A1171="","",IFERROR(IF(INDEX(Pledges!$D$5:$D$2500,MATCH($G1171,Pledges!$K$5:$K$2500,0))="","⚠ no amount on Pledges",IF(INDEX(Pledges!$B$5:$B$2500,MATCH($G1171,Pledges!$K$5:$K$2500,0))="","",INDEX(Pledges!$B$5:$B$2500,MATCH($G1171,Pledges!$K$5:$K$2500,0)))),"⚠ phone not in Pledges"))</f>
      </c>
      <c r="C1171" s="12"/>
      <c r="D1171" s="13"/>
      <c r="E1171" s="22"/>
      <c r="F1171" s="23"/>
      <c r="G1171">
        <f>IF($A1171="","","#"&amp;TRIM(SUBSTITUTE(SUBSTITUTE(SUBSTITUTE(SUBSTITUTE(SUBSTITUTE(SUBSTITUTE($A1171,"-",""),"(",""),")",""),".",""),"+","")," ","")))</f>
      </c>
    </row>
    <row r="1172" spans="1:7" x14ac:dyDescent="0.3">
      <c r="A1172" s="11"/>
      <c r="B1172" s="38">
        <f>IF($A1172="","",IFERROR(IF(INDEX(Pledges!$D$5:$D$2500,MATCH($G1172,Pledges!$K$5:$K$2500,0))="","⚠ no amount on Pledges",IF(INDEX(Pledges!$B$5:$B$2500,MATCH($G1172,Pledges!$K$5:$K$2500,0))="","",INDEX(Pledges!$B$5:$B$2500,MATCH($G1172,Pledges!$K$5:$K$2500,0)))),"⚠ phone not in Pledges"))</f>
      </c>
      <c r="C1172" s="12"/>
      <c r="D1172" s="13"/>
      <c r="E1172" s="22"/>
      <c r="F1172" s="23"/>
      <c r="G1172">
        <f>IF($A1172="","","#"&amp;TRIM(SUBSTITUTE(SUBSTITUTE(SUBSTITUTE(SUBSTITUTE(SUBSTITUTE(SUBSTITUTE($A1172,"-",""),"(",""),")",""),".",""),"+","")," ","")))</f>
      </c>
    </row>
    <row r="1173" spans="1:7" x14ac:dyDescent="0.3">
      <c r="A1173" s="11"/>
      <c r="B1173" s="38">
        <f>IF($A1173="","",IFERROR(IF(INDEX(Pledges!$D$5:$D$2500,MATCH($G1173,Pledges!$K$5:$K$2500,0))="","⚠ no amount on Pledges",IF(INDEX(Pledges!$B$5:$B$2500,MATCH($G1173,Pledges!$K$5:$K$2500,0))="","",INDEX(Pledges!$B$5:$B$2500,MATCH($G1173,Pledges!$K$5:$K$2500,0)))),"⚠ phone not in Pledges"))</f>
      </c>
      <c r="C1173" s="12"/>
      <c r="D1173" s="13"/>
      <c r="E1173" s="22"/>
      <c r="F1173" s="23"/>
      <c r="G1173">
        <f>IF($A1173="","","#"&amp;TRIM(SUBSTITUTE(SUBSTITUTE(SUBSTITUTE(SUBSTITUTE(SUBSTITUTE(SUBSTITUTE($A1173,"-",""),"(",""),")",""),".",""),"+","")," ","")))</f>
      </c>
    </row>
    <row r="1174" spans="1:7" x14ac:dyDescent="0.3">
      <c r="A1174" s="11"/>
      <c r="B1174" s="38">
        <f>IF($A1174="","",IFERROR(IF(INDEX(Pledges!$D$5:$D$2500,MATCH($G1174,Pledges!$K$5:$K$2500,0))="","⚠ no amount on Pledges",IF(INDEX(Pledges!$B$5:$B$2500,MATCH($G1174,Pledges!$K$5:$K$2500,0))="","",INDEX(Pledges!$B$5:$B$2500,MATCH($G1174,Pledges!$K$5:$K$2500,0)))),"⚠ phone not in Pledges"))</f>
      </c>
      <c r="C1174" s="12"/>
      <c r="D1174" s="13"/>
      <c r="E1174" s="22"/>
      <c r="F1174" s="23"/>
      <c r="G1174">
        <f>IF($A1174="","","#"&amp;TRIM(SUBSTITUTE(SUBSTITUTE(SUBSTITUTE(SUBSTITUTE(SUBSTITUTE(SUBSTITUTE($A1174,"-",""),"(",""),")",""),".",""),"+","")," ","")))</f>
      </c>
    </row>
    <row r="1175" spans="1:7" x14ac:dyDescent="0.3">
      <c r="A1175" s="11"/>
      <c r="B1175" s="38">
        <f>IF($A1175="","",IFERROR(IF(INDEX(Pledges!$D$5:$D$2500,MATCH($G1175,Pledges!$K$5:$K$2500,0))="","⚠ no amount on Pledges",IF(INDEX(Pledges!$B$5:$B$2500,MATCH($G1175,Pledges!$K$5:$K$2500,0))="","",INDEX(Pledges!$B$5:$B$2500,MATCH($G1175,Pledges!$K$5:$K$2500,0)))),"⚠ phone not in Pledges"))</f>
      </c>
      <c r="C1175" s="12"/>
      <c r="D1175" s="13"/>
      <c r="E1175" s="22"/>
      <c r="F1175" s="23"/>
      <c r="G1175">
        <f>IF($A1175="","","#"&amp;TRIM(SUBSTITUTE(SUBSTITUTE(SUBSTITUTE(SUBSTITUTE(SUBSTITUTE(SUBSTITUTE($A1175,"-",""),"(",""),")",""),".",""),"+","")," ","")))</f>
      </c>
    </row>
    <row r="1176" spans="1:7" x14ac:dyDescent="0.3">
      <c r="A1176" s="11"/>
      <c r="B1176" s="38">
        <f>IF($A1176="","",IFERROR(IF(INDEX(Pledges!$D$5:$D$2500,MATCH($G1176,Pledges!$K$5:$K$2500,0))="","⚠ no amount on Pledges",IF(INDEX(Pledges!$B$5:$B$2500,MATCH($G1176,Pledges!$K$5:$K$2500,0))="","",INDEX(Pledges!$B$5:$B$2500,MATCH($G1176,Pledges!$K$5:$K$2500,0)))),"⚠ phone not in Pledges"))</f>
      </c>
      <c r="C1176" s="12"/>
      <c r="D1176" s="13"/>
      <c r="E1176" s="22"/>
      <c r="F1176" s="23"/>
      <c r="G1176">
        <f>IF($A1176="","","#"&amp;TRIM(SUBSTITUTE(SUBSTITUTE(SUBSTITUTE(SUBSTITUTE(SUBSTITUTE(SUBSTITUTE($A1176,"-",""),"(",""),")",""),".",""),"+","")," ","")))</f>
      </c>
    </row>
    <row r="1177" spans="1:7" x14ac:dyDescent="0.3">
      <c r="A1177" s="11"/>
      <c r="B1177" s="38">
        <f>IF($A1177="","",IFERROR(IF(INDEX(Pledges!$D$5:$D$2500,MATCH($G1177,Pledges!$K$5:$K$2500,0))="","⚠ no amount on Pledges",IF(INDEX(Pledges!$B$5:$B$2500,MATCH($G1177,Pledges!$K$5:$K$2500,0))="","",INDEX(Pledges!$B$5:$B$2500,MATCH($G1177,Pledges!$K$5:$K$2500,0)))),"⚠ phone not in Pledges"))</f>
      </c>
      <c r="C1177" s="12"/>
      <c r="D1177" s="13"/>
      <c r="E1177" s="22"/>
      <c r="F1177" s="23"/>
      <c r="G1177">
        <f>IF($A1177="","","#"&amp;TRIM(SUBSTITUTE(SUBSTITUTE(SUBSTITUTE(SUBSTITUTE(SUBSTITUTE(SUBSTITUTE($A1177,"-",""),"(",""),")",""),".",""),"+","")," ","")))</f>
      </c>
    </row>
    <row r="1178" spans="1:7" x14ac:dyDescent="0.3">
      <c r="A1178" s="11"/>
      <c r="B1178" s="38">
        <f>IF($A1178="","",IFERROR(IF(INDEX(Pledges!$D$5:$D$2500,MATCH($G1178,Pledges!$K$5:$K$2500,0))="","⚠ no amount on Pledges",IF(INDEX(Pledges!$B$5:$B$2500,MATCH($G1178,Pledges!$K$5:$K$2500,0))="","",INDEX(Pledges!$B$5:$B$2500,MATCH($G1178,Pledges!$K$5:$K$2500,0)))),"⚠ phone not in Pledges"))</f>
      </c>
      <c r="C1178" s="12"/>
      <c r="D1178" s="13"/>
      <c r="E1178" s="22"/>
      <c r="F1178" s="23"/>
      <c r="G1178">
        <f>IF($A1178="","","#"&amp;TRIM(SUBSTITUTE(SUBSTITUTE(SUBSTITUTE(SUBSTITUTE(SUBSTITUTE(SUBSTITUTE($A1178,"-",""),"(",""),")",""),".",""),"+","")," ","")))</f>
      </c>
    </row>
    <row r="1179" spans="1:7" x14ac:dyDescent="0.3">
      <c r="A1179" s="11"/>
      <c r="B1179" s="38">
        <f>IF($A1179="","",IFERROR(IF(INDEX(Pledges!$D$5:$D$2500,MATCH($G1179,Pledges!$K$5:$K$2500,0))="","⚠ no amount on Pledges",IF(INDEX(Pledges!$B$5:$B$2500,MATCH($G1179,Pledges!$K$5:$K$2500,0))="","",INDEX(Pledges!$B$5:$B$2500,MATCH($G1179,Pledges!$K$5:$K$2500,0)))),"⚠ phone not in Pledges"))</f>
      </c>
      <c r="C1179" s="12"/>
      <c r="D1179" s="13"/>
      <c r="E1179" s="22"/>
      <c r="F1179" s="23"/>
      <c r="G1179">
        <f>IF($A1179="","","#"&amp;TRIM(SUBSTITUTE(SUBSTITUTE(SUBSTITUTE(SUBSTITUTE(SUBSTITUTE(SUBSTITUTE($A1179,"-",""),"(",""),")",""),".",""),"+","")," ","")))</f>
      </c>
    </row>
    <row r="1180" spans="1:7" x14ac:dyDescent="0.3">
      <c r="A1180" s="11"/>
      <c r="B1180" s="38">
        <f>IF($A1180="","",IFERROR(IF(INDEX(Pledges!$D$5:$D$2500,MATCH($G1180,Pledges!$K$5:$K$2500,0))="","⚠ no amount on Pledges",IF(INDEX(Pledges!$B$5:$B$2500,MATCH($G1180,Pledges!$K$5:$K$2500,0))="","",INDEX(Pledges!$B$5:$B$2500,MATCH($G1180,Pledges!$K$5:$K$2500,0)))),"⚠ phone not in Pledges"))</f>
      </c>
      <c r="C1180" s="12"/>
      <c r="D1180" s="13"/>
      <c r="E1180" s="22"/>
      <c r="F1180" s="23"/>
      <c r="G1180">
        <f>IF($A1180="","","#"&amp;TRIM(SUBSTITUTE(SUBSTITUTE(SUBSTITUTE(SUBSTITUTE(SUBSTITUTE(SUBSTITUTE($A1180,"-",""),"(",""),")",""),".",""),"+","")," ","")))</f>
      </c>
    </row>
    <row r="1181" spans="1:7" x14ac:dyDescent="0.3">
      <c r="A1181" s="11"/>
      <c r="B1181" s="38">
        <f>IF($A1181="","",IFERROR(IF(INDEX(Pledges!$D$5:$D$2500,MATCH($G1181,Pledges!$K$5:$K$2500,0))="","⚠ no amount on Pledges",IF(INDEX(Pledges!$B$5:$B$2500,MATCH($G1181,Pledges!$K$5:$K$2500,0))="","",INDEX(Pledges!$B$5:$B$2500,MATCH($G1181,Pledges!$K$5:$K$2500,0)))),"⚠ phone not in Pledges"))</f>
      </c>
      <c r="C1181" s="12"/>
      <c r="D1181" s="13"/>
      <c r="E1181" s="22"/>
      <c r="F1181" s="23"/>
      <c r="G1181">
        <f>IF($A1181="","","#"&amp;TRIM(SUBSTITUTE(SUBSTITUTE(SUBSTITUTE(SUBSTITUTE(SUBSTITUTE(SUBSTITUTE($A1181,"-",""),"(",""),")",""),".",""),"+","")," ","")))</f>
      </c>
    </row>
    <row r="1182" spans="1:7" x14ac:dyDescent="0.3">
      <c r="A1182" s="11"/>
      <c r="B1182" s="38">
        <f>IF($A1182="","",IFERROR(IF(INDEX(Pledges!$D$5:$D$2500,MATCH($G1182,Pledges!$K$5:$K$2500,0))="","⚠ no amount on Pledges",IF(INDEX(Pledges!$B$5:$B$2500,MATCH($G1182,Pledges!$K$5:$K$2500,0))="","",INDEX(Pledges!$B$5:$B$2500,MATCH($G1182,Pledges!$K$5:$K$2500,0)))),"⚠ phone not in Pledges"))</f>
      </c>
      <c r="C1182" s="12"/>
      <c r="D1182" s="13"/>
      <c r="E1182" s="22"/>
      <c r="F1182" s="23"/>
      <c r="G1182">
        <f>IF($A1182="","","#"&amp;TRIM(SUBSTITUTE(SUBSTITUTE(SUBSTITUTE(SUBSTITUTE(SUBSTITUTE(SUBSTITUTE($A1182,"-",""),"(",""),")",""),".",""),"+","")," ","")))</f>
      </c>
    </row>
    <row r="1183" spans="1:7" x14ac:dyDescent="0.3">
      <c r="A1183" s="11"/>
      <c r="B1183" s="38">
        <f>IF($A1183="","",IFERROR(IF(INDEX(Pledges!$D$5:$D$2500,MATCH($G1183,Pledges!$K$5:$K$2500,0))="","⚠ no amount on Pledges",IF(INDEX(Pledges!$B$5:$B$2500,MATCH($G1183,Pledges!$K$5:$K$2500,0))="","",INDEX(Pledges!$B$5:$B$2500,MATCH($G1183,Pledges!$K$5:$K$2500,0)))),"⚠ phone not in Pledges"))</f>
      </c>
      <c r="C1183" s="12"/>
      <c r="D1183" s="13"/>
      <c r="E1183" s="22"/>
      <c r="F1183" s="23"/>
      <c r="G1183">
        <f>IF($A1183="","","#"&amp;TRIM(SUBSTITUTE(SUBSTITUTE(SUBSTITUTE(SUBSTITUTE(SUBSTITUTE(SUBSTITUTE($A1183,"-",""),"(",""),")",""),".",""),"+","")," ","")))</f>
      </c>
    </row>
    <row r="1184" spans="1:7" x14ac:dyDescent="0.3">
      <c r="A1184" s="11"/>
      <c r="B1184" s="38">
        <f>IF($A1184="","",IFERROR(IF(INDEX(Pledges!$D$5:$D$2500,MATCH($G1184,Pledges!$K$5:$K$2500,0))="","⚠ no amount on Pledges",IF(INDEX(Pledges!$B$5:$B$2500,MATCH($G1184,Pledges!$K$5:$K$2500,0))="","",INDEX(Pledges!$B$5:$B$2500,MATCH($G1184,Pledges!$K$5:$K$2500,0)))),"⚠ phone not in Pledges"))</f>
      </c>
      <c r="C1184" s="12"/>
      <c r="D1184" s="13"/>
      <c r="E1184" s="22"/>
      <c r="F1184" s="23"/>
      <c r="G1184">
        <f>IF($A1184="","","#"&amp;TRIM(SUBSTITUTE(SUBSTITUTE(SUBSTITUTE(SUBSTITUTE(SUBSTITUTE(SUBSTITUTE($A1184,"-",""),"(",""),")",""),".",""),"+","")," ","")))</f>
      </c>
    </row>
    <row r="1185" spans="1:7" x14ac:dyDescent="0.3">
      <c r="A1185" s="11"/>
      <c r="B1185" s="38">
        <f>IF($A1185="","",IFERROR(IF(INDEX(Pledges!$D$5:$D$2500,MATCH($G1185,Pledges!$K$5:$K$2500,0))="","⚠ no amount on Pledges",IF(INDEX(Pledges!$B$5:$B$2500,MATCH($G1185,Pledges!$K$5:$K$2500,0))="","",INDEX(Pledges!$B$5:$B$2500,MATCH($G1185,Pledges!$K$5:$K$2500,0)))),"⚠ phone not in Pledges"))</f>
      </c>
      <c r="C1185" s="12"/>
      <c r="D1185" s="13"/>
      <c r="E1185" s="22"/>
      <c r="F1185" s="23"/>
      <c r="G1185">
        <f>IF($A1185="","","#"&amp;TRIM(SUBSTITUTE(SUBSTITUTE(SUBSTITUTE(SUBSTITUTE(SUBSTITUTE(SUBSTITUTE($A1185,"-",""),"(",""),")",""),".",""),"+","")," ","")))</f>
      </c>
    </row>
    <row r="1186" spans="1:7" x14ac:dyDescent="0.3">
      <c r="A1186" s="11"/>
      <c r="B1186" s="38">
        <f>IF($A1186="","",IFERROR(IF(INDEX(Pledges!$D$5:$D$2500,MATCH($G1186,Pledges!$K$5:$K$2500,0))="","⚠ no amount on Pledges",IF(INDEX(Pledges!$B$5:$B$2500,MATCH($G1186,Pledges!$K$5:$K$2500,0))="","",INDEX(Pledges!$B$5:$B$2500,MATCH($G1186,Pledges!$K$5:$K$2500,0)))),"⚠ phone not in Pledges"))</f>
      </c>
      <c r="C1186" s="12"/>
      <c r="D1186" s="13"/>
      <c r="E1186" s="22"/>
      <c r="F1186" s="23"/>
      <c r="G1186">
        <f>IF($A1186="","","#"&amp;TRIM(SUBSTITUTE(SUBSTITUTE(SUBSTITUTE(SUBSTITUTE(SUBSTITUTE(SUBSTITUTE($A1186,"-",""),"(",""),")",""),".",""),"+","")," ","")))</f>
      </c>
    </row>
    <row r="1187" spans="1:7" x14ac:dyDescent="0.3">
      <c r="A1187" s="11"/>
      <c r="B1187" s="38">
        <f>IF($A1187="","",IFERROR(IF(INDEX(Pledges!$D$5:$D$2500,MATCH($G1187,Pledges!$K$5:$K$2500,0))="","⚠ no amount on Pledges",IF(INDEX(Pledges!$B$5:$B$2500,MATCH($G1187,Pledges!$K$5:$K$2500,0))="","",INDEX(Pledges!$B$5:$B$2500,MATCH($G1187,Pledges!$K$5:$K$2500,0)))),"⚠ phone not in Pledges"))</f>
      </c>
      <c r="C1187" s="12"/>
      <c r="D1187" s="13"/>
      <c r="E1187" s="22"/>
      <c r="F1187" s="23"/>
      <c r="G1187">
        <f>IF($A1187="","","#"&amp;TRIM(SUBSTITUTE(SUBSTITUTE(SUBSTITUTE(SUBSTITUTE(SUBSTITUTE(SUBSTITUTE($A1187,"-",""),"(",""),")",""),".",""),"+","")," ","")))</f>
      </c>
    </row>
    <row r="1188" spans="1:7" x14ac:dyDescent="0.3">
      <c r="A1188" s="11"/>
      <c r="B1188" s="38">
        <f>IF($A1188="","",IFERROR(IF(INDEX(Pledges!$D$5:$D$2500,MATCH($G1188,Pledges!$K$5:$K$2500,0))="","⚠ no amount on Pledges",IF(INDEX(Pledges!$B$5:$B$2500,MATCH($G1188,Pledges!$K$5:$K$2500,0))="","",INDEX(Pledges!$B$5:$B$2500,MATCH($G1188,Pledges!$K$5:$K$2500,0)))),"⚠ phone not in Pledges"))</f>
      </c>
      <c r="C1188" s="12"/>
      <c r="D1188" s="13"/>
      <c r="E1188" s="22"/>
      <c r="F1188" s="23"/>
      <c r="G1188">
        <f>IF($A1188="","","#"&amp;TRIM(SUBSTITUTE(SUBSTITUTE(SUBSTITUTE(SUBSTITUTE(SUBSTITUTE(SUBSTITUTE($A1188,"-",""),"(",""),")",""),".",""),"+","")," ","")))</f>
      </c>
    </row>
    <row r="1189" spans="1:7" x14ac:dyDescent="0.3">
      <c r="A1189" s="11"/>
      <c r="B1189" s="38">
        <f>IF($A1189="","",IFERROR(IF(INDEX(Pledges!$D$5:$D$2500,MATCH($G1189,Pledges!$K$5:$K$2500,0))="","⚠ no amount on Pledges",IF(INDEX(Pledges!$B$5:$B$2500,MATCH($G1189,Pledges!$K$5:$K$2500,0))="","",INDEX(Pledges!$B$5:$B$2500,MATCH($G1189,Pledges!$K$5:$K$2500,0)))),"⚠ phone not in Pledges"))</f>
      </c>
      <c r="C1189" s="12"/>
      <c r="D1189" s="13"/>
      <c r="E1189" s="22"/>
      <c r="F1189" s="23"/>
      <c r="G1189">
        <f>IF($A1189="","","#"&amp;TRIM(SUBSTITUTE(SUBSTITUTE(SUBSTITUTE(SUBSTITUTE(SUBSTITUTE(SUBSTITUTE($A1189,"-",""),"(",""),")",""),".",""),"+","")," ","")))</f>
      </c>
    </row>
    <row r="1190" spans="1:7" x14ac:dyDescent="0.3">
      <c r="A1190" s="11"/>
      <c r="B1190" s="38">
        <f>IF($A1190="","",IFERROR(IF(INDEX(Pledges!$D$5:$D$2500,MATCH($G1190,Pledges!$K$5:$K$2500,0))="","⚠ no amount on Pledges",IF(INDEX(Pledges!$B$5:$B$2500,MATCH($G1190,Pledges!$K$5:$K$2500,0))="","",INDEX(Pledges!$B$5:$B$2500,MATCH($G1190,Pledges!$K$5:$K$2500,0)))),"⚠ phone not in Pledges"))</f>
      </c>
      <c r="C1190" s="12"/>
      <c r="D1190" s="13"/>
      <c r="E1190" s="22"/>
      <c r="F1190" s="23"/>
      <c r="G1190">
        <f>IF($A1190="","","#"&amp;TRIM(SUBSTITUTE(SUBSTITUTE(SUBSTITUTE(SUBSTITUTE(SUBSTITUTE(SUBSTITUTE($A1190,"-",""),"(",""),")",""),".",""),"+","")," ","")))</f>
      </c>
    </row>
    <row r="1191" spans="1:7" x14ac:dyDescent="0.3">
      <c r="A1191" s="11"/>
      <c r="B1191" s="38">
        <f>IF($A1191="","",IFERROR(IF(INDEX(Pledges!$D$5:$D$2500,MATCH($G1191,Pledges!$K$5:$K$2500,0))="","⚠ no amount on Pledges",IF(INDEX(Pledges!$B$5:$B$2500,MATCH($G1191,Pledges!$K$5:$K$2500,0))="","",INDEX(Pledges!$B$5:$B$2500,MATCH($G1191,Pledges!$K$5:$K$2500,0)))),"⚠ phone not in Pledges"))</f>
      </c>
      <c r="C1191" s="12"/>
      <c r="D1191" s="13"/>
      <c r="E1191" s="22"/>
      <c r="F1191" s="23"/>
      <c r="G1191">
        <f>IF($A1191="","","#"&amp;TRIM(SUBSTITUTE(SUBSTITUTE(SUBSTITUTE(SUBSTITUTE(SUBSTITUTE(SUBSTITUTE($A1191,"-",""),"(",""),")",""),".",""),"+","")," ","")))</f>
      </c>
    </row>
    <row r="1192" spans="1:7" x14ac:dyDescent="0.3">
      <c r="A1192" s="11"/>
      <c r="B1192" s="38">
        <f>IF($A1192="","",IFERROR(IF(INDEX(Pledges!$D$5:$D$2500,MATCH($G1192,Pledges!$K$5:$K$2500,0))="","⚠ no amount on Pledges",IF(INDEX(Pledges!$B$5:$B$2500,MATCH($G1192,Pledges!$K$5:$K$2500,0))="","",INDEX(Pledges!$B$5:$B$2500,MATCH($G1192,Pledges!$K$5:$K$2500,0)))),"⚠ phone not in Pledges"))</f>
      </c>
      <c r="C1192" s="12"/>
      <c r="D1192" s="13"/>
      <c r="E1192" s="22"/>
      <c r="F1192" s="23"/>
      <c r="G1192">
        <f>IF($A1192="","","#"&amp;TRIM(SUBSTITUTE(SUBSTITUTE(SUBSTITUTE(SUBSTITUTE(SUBSTITUTE(SUBSTITUTE($A1192,"-",""),"(",""),")",""),".",""),"+","")," ","")))</f>
      </c>
    </row>
    <row r="1193" spans="1:7" x14ac:dyDescent="0.3">
      <c r="A1193" s="11"/>
      <c r="B1193" s="38">
        <f>IF($A1193="","",IFERROR(IF(INDEX(Pledges!$D$5:$D$2500,MATCH($G1193,Pledges!$K$5:$K$2500,0))="","⚠ no amount on Pledges",IF(INDEX(Pledges!$B$5:$B$2500,MATCH($G1193,Pledges!$K$5:$K$2500,0))="","",INDEX(Pledges!$B$5:$B$2500,MATCH($G1193,Pledges!$K$5:$K$2500,0)))),"⚠ phone not in Pledges"))</f>
      </c>
      <c r="C1193" s="12"/>
      <c r="D1193" s="13"/>
      <c r="E1193" s="22"/>
      <c r="F1193" s="23"/>
      <c r="G1193">
        <f>IF($A1193="","","#"&amp;TRIM(SUBSTITUTE(SUBSTITUTE(SUBSTITUTE(SUBSTITUTE(SUBSTITUTE(SUBSTITUTE($A1193,"-",""),"(",""),")",""),".",""),"+","")," ","")))</f>
      </c>
    </row>
    <row r="1194" spans="1:7" x14ac:dyDescent="0.3">
      <c r="A1194" s="11"/>
      <c r="B1194" s="38">
        <f>IF($A1194="","",IFERROR(IF(INDEX(Pledges!$D$5:$D$2500,MATCH($G1194,Pledges!$K$5:$K$2500,0))="","⚠ no amount on Pledges",IF(INDEX(Pledges!$B$5:$B$2500,MATCH($G1194,Pledges!$K$5:$K$2500,0))="","",INDEX(Pledges!$B$5:$B$2500,MATCH($G1194,Pledges!$K$5:$K$2500,0)))),"⚠ phone not in Pledges"))</f>
      </c>
      <c r="C1194" s="12"/>
      <c r="D1194" s="13"/>
      <c r="E1194" s="22"/>
      <c r="F1194" s="23"/>
      <c r="G1194">
        <f>IF($A1194="","","#"&amp;TRIM(SUBSTITUTE(SUBSTITUTE(SUBSTITUTE(SUBSTITUTE(SUBSTITUTE(SUBSTITUTE($A1194,"-",""),"(",""),")",""),".",""),"+","")," ","")))</f>
      </c>
    </row>
    <row r="1195" spans="1:7" x14ac:dyDescent="0.3">
      <c r="A1195" s="11"/>
      <c r="B1195" s="38">
        <f>IF($A1195="","",IFERROR(IF(INDEX(Pledges!$D$5:$D$2500,MATCH($G1195,Pledges!$K$5:$K$2500,0))="","⚠ no amount on Pledges",IF(INDEX(Pledges!$B$5:$B$2500,MATCH($G1195,Pledges!$K$5:$K$2500,0))="","",INDEX(Pledges!$B$5:$B$2500,MATCH($G1195,Pledges!$K$5:$K$2500,0)))),"⚠ phone not in Pledges"))</f>
      </c>
      <c r="C1195" s="12"/>
      <c r="D1195" s="13"/>
      <c r="E1195" s="22"/>
      <c r="F1195" s="23"/>
      <c r="G1195">
        <f>IF($A1195="","","#"&amp;TRIM(SUBSTITUTE(SUBSTITUTE(SUBSTITUTE(SUBSTITUTE(SUBSTITUTE(SUBSTITUTE($A1195,"-",""),"(",""),")",""),".",""),"+","")," ","")))</f>
      </c>
    </row>
    <row r="1196" spans="1:7" x14ac:dyDescent="0.3">
      <c r="A1196" s="11"/>
      <c r="B1196" s="38">
        <f>IF($A1196="","",IFERROR(IF(INDEX(Pledges!$D$5:$D$2500,MATCH($G1196,Pledges!$K$5:$K$2500,0))="","⚠ no amount on Pledges",IF(INDEX(Pledges!$B$5:$B$2500,MATCH($G1196,Pledges!$K$5:$K$2500,0))="","",INDEX(Pledges!$B$5:$B$2500,MATCH($G1196,Pledges!$K$5:$K$2500,0)))),"⚠ phone not in Pledges"))</f>
      </c>
      <c r="C1196" s="12"/>
      <c r="D1196" s="13"/>
      <c r="E1196" s="22"/>
      <c r="F1196" s="23"/>
      <c r="G1196">
        <f>IF($A1196="","","#"&amp;TRIM(SUBSTITUTE(SUBSTITUTE(SUBSTITUTE(SUBSTITUTE(SUBSTITUTE(SUBSTITUTE($A1196,"-",""),"(",""),")",""),".",""),"+","")," ","")))</f>
      </c>
    </row>
    <row r="1197" spans="1:7" x14ac:dyDescent="0.3">
      <c r="A1197" s="11"/>
      <c r="B1197" s="38">
        <f>IF($A1197="","",IFERROR(IF(INDEX(Pledges!$D$5:$D$2500,MATCH($G1197,Pledges!$K$5:$K$2500,0))="","⚠ no amount on Pledges",IF(INDEX(Pledges!$B$5:$B$2500,MATCH($G1197,Pledges!$K$5:$K$2500,0))="","",INDEX(Pledges!$B$5:$B$2500,MATCH($G1197,Pledges!$K$5:$K$2500,0)))),"⚠ phone not in Pledges"))</f>
      </c>
      <c r="C1197" s="12"/>
      <c r="D1197" s="13"/>
      <c r="E1197" s="22"/>
      <c r="F1197" s="23"/>
      <c r="G1197">
        <f>IF($A1197="","","#"&amp;TRIM(SUBSTITUTE(SUBSTITUTE(SUBSTITUTE(SUBSTITUTE(SUBSTITUTE(SUBSTITUTE($A1197,"-",""),"(",""),")",""),".",""),"+","")," ","")))</f>
      </c>
    </row>
    <row r="1198" spans="1:7" x14ac:dyDescent="0.3">
      <c r="A1198" s="11"/>
      <c r="B1198" s="38">
        <f>IF($A1198="","",IFERROR(IF(INDEX(Pledges!$D$5:$D$2500,MATCH($G1198,Pledges!$K$5:$K$2500,0))="","⚠ no amount on Pledges",IF(INDEX(Pledges!$B$5:$B$2500,MATCH($G1198,Pledges!$K$5:$K$2500,0))="","",INDEX(Pledges!$B$5:$B$2500,MATCH($G1198,Pledges!$K$5:$K$2500,0)))),"⚠ phone not in Pledges"))</f>
      </c>
      <c r="C1198" s="12"/>
      <c r="D1198" s="13"/>
      <c r="E1198" s="22"/>
      <c r="F1198" s="23"/>
      <c r="G1198">
        <f>IF($A1198="","","#"&amp;TRIM(SUBSTITUTE(SUBSTITUTE(SUBSTITUTE(SUBSTITUTE(SUBSTITUTE(SUBSTITUTE($A1198,"-",""),"(",""),")",""),".",""),"+","")," ","")))</f>
      </c>
    </row>
    <row r="1199" spans="1:7" x14ac:dyDescent="0.3">
      <c r="A1199" s="11"/>
      <c r="B1199" s="38">
        <f>IF($A1199="","",IFERROR(IF(INDEX(Pledges!$D$5:$D$2500,MATCH($G1199,Pledges!$K$5:$K$2500,0))="","⚠ no amount on Pledges",IF(INDEX(Pledges!$B$5:$B$2500,MATCH($G1199,Pledges!$K$5:$K$2500,0))="","",INDEX(Pledges!$B$5:$B$2500,MATCH($G1199,Pledges!$K$5:$K$2500,0)))),"⚠ phone not in Pledges"))</f>
      </c>
      <c r="C1199" s="12"/>
      <c r="D1199" s="13"/>
      <c r="E1199" s="22"/>
      <c r="F1199" s="23"/>
      <c r="G1199">
        <f>IF($A1199="","","#"&amp;TRIM(SUBSTITUTE(SUBSTITUTE(SUBSTITUTE(SUBSTITUTE(SUBSTITUTE(SUBSTITUTE($A1199,"-",""),"(",""),")",""),".",""),"+","")," ","")))</f>
      </c>
    </row>
    <row r="1200" spans="1:7" x14ac:dyDescent="0.3">
      <c r="A1200" s="11"/>
      <c r="B1200" s="38">
        <f>IF($A1200="","",IFERROR(IF(INDEX(Pledges!$D$5:$D$2500,MATCH($G1200,Pledges!$K$5:$K$2500,0))="","⚠ no amount on Pledges",IF(INDEX(Pledges!$B$5:$B$2500,MATCH($G1200,Pledges!$K$5:$K$2500,0))="","",INDEX(Pledges!$B$5:$B$2500,MATCH($G1200,Pledges!$K$5:$K$2500,0)))),"⚠ phone not in Pledges"))</f>
      </c>
      <c r="C1200" s="12"/>
      <c r="D1200" s="13"/>
      <c r="E1200" s="22"/>
      <c r="F1200" s="23"/>
      <c r="G1200">
        <f>IF($A1200="","","#"&amp;TRIM(SUBSTITUTE(SUBSTITUTE(SUBSTITUTE(SUBSTITUTE(SUBSTITUTE(SUBSTITUTE($A1200,"-",""),"(",""),")",""),".",""),"+","")," ","")))</f>
      </c>
    </row>
    <row r="1201" spans="1:7" x14ac:dyDescent="0.3">
      <c r="A1201" s="11"/>
      <c r="B1201" s="38">
        <f>IF($A1201="","",IFERROR(IF(INDEX(Pledges!$D$5:$D$2500,MATCH($G1201,Pledges!$K$5:$K$2500,0))="","⚠ no amount on Pledges",IF(INDEX(Pledges!$B$5:$B$2500,MATCH($G1201,Pledges!$K$5:$K$2500,0))="","",INDEX(Pledges!$B$5:$B$2500,MATCH($G1201,Pledges!$K$5:$K$2500,0)))),"⚠ phone not in Pledges"))</f>
      </c>
      <c r="C1201" s="12"/>
      <c r="D1201" s="13"/>
      <c r="E1201" s="22"/>
      <c r="F1201" s="23"/>
      <c r="G1201">
        <f>IF($A1201="","","#"&amp;TRIM(SUBSTITUTE(SUBSTITUTE(SUBSTITUTE(SUBSTITUTE(SUBSTITUTE(SUBSTITUTE($A1201,"-",""),"(",""),")",""),".",""),"+","")," ","")))</f>
      </c>
    </row>
    <row r="1202" spans="1:7" x14ac:dyDescent="0.3">
      <c r="A1202" s="11"/>
      <c r="B1202" s="38">
        <f>IF($A1202="","",IFERROR(IF(INDEX(Pledges!$D$5:$D$2500,MATCH($G1202,Pledges!$K$5:$K$2500,0))="","⚠ no amount on Pledges",IF(INDEX(Pledges!$B$5:$B$2500,MATCH($G1202,Pledges!$K$5:$K$2500,0))="","",INDEX(Pledges!$B$5:$B$2500,MATCH($G1202,Pledges!$K$5:$K$2500,0)))),"⚠ phone not in Pledges"))</f>
      </c>
      <c r="C1202" s="12"/>
      <c r="D1202" s="13"/>
      <c r="E1202" s="22"/>
      <c r="F1202" s="23"/>
      <c r="G1202">
        <f>IF($A1202="","","#"&amp;TRIM(SUBSTITUTE(SUBSTITUTE(SUBSTITUTE(SUBSTITUTE(SUBSTITUTE(SUBSTITUTE($A1202,"-",""),"(",""),")",""),".",""),"+","")," ","")))</f>
      </c>
    </row>
    <row r="1203" spans="1:7" x14ac:dyDescent="0.3">
      <c r="A1203" s="11"/>
      <c r="B1203" s="38">
        <f>IF($A1203="","",IFERROR(IF(INDEX(Pledges!$D$5:$D$2500,MATCH($G1203,Pledges!$K$5:$K$2500,0))="","⚠ no amount on Pledges",IF(INDEX(Pledges!$B$5:$B$2500,MATCH($G1203,Pledges!$K$5:$K$2500,0))="","",INDEX(Pledges!$B$5:$B$2500,MATCH($G1203,Pledges!$K$5:$K$2500,0)))),"⚠ phone not in Pledges"))</f>
      </c>
      <c r="C1203" s="12"/>
      <c r="D1203" s="13"/>
      <c r="E1203" s="22"/>
      <c r="F1203" s="23"/>
      <c r="G1203">
        <f>IF($A1203="","","#"&amp;TRIM(SUBSTITUTE(SUBSTITUTE(SUBSTITUTE(SUBSTITUTE(SUBSTITUTE(SUBSTITUTE($A1203,"-",""),"(",""),")",""),".",""),"+","")," ","")))</f>
      </c>
    </row>
    <row r="1204" spans="1:7" x14ac:dyDescent="0.3">
      <c r="A1204" s="11"/>
      <c r="B1204" s="38">
        <f>IF($A1204="","",IFERROR(IF(INDEX(Pledges!$D$5:$D$2500,MATCH($G1204,Pledges!$K$5:$K$2500,0))="","⚠ no amount on Pledges",IF(INDEX(Pledges!$B$5:$B$2500,MATCH($G1204,Pledges!$K$5:$K$2500,0))="","",INDEX(Pledges!$B$5:$B$2500,MATCH($G1204,Pledges!$K$5:$K$2500,0)))),"⚠ phone not in Pledges"))</f>
      </c>
      <c r="C1204" s="12"/>
      <c r="D1204" s="13"/>
      <c r="E1204" s="22"/>
      <c r="F1204" s="23"/>
      <c r="G1204">
        <f>IF($A1204="","","#"&amp;TRIM(SUBSTITUTE(SUBSTITUTE(SUBSTITUTE(SUBSTITUTE(SUBSTITUTE(SUBSTITUTE($A1204,"-",""),"(",""),")",""),".",""),"+","")," ","")))</f>
      </c>
    </row>
    <row r="1205" spans="1:7" x14ac:dyDescent="0.3">
      <c r="A1205" s="11"/>
      <c r="B1205" s="38">
        <f>IF($A1205="","",IFERROR(IF(INDEX(Pledges!$D$5:$D$2500,MATCH($G1205,Pledges!$K$5:$K$2500,0))="","⚠ no amount on Pledges",IF(INDEX(Pledges!$B$5:$B$2500,MATCH($G1205,Pledges!$K$5:$K$2500,0))="","",INDEX(Pledges!$B$5:$B$2500,MATCH($G1205,Pledges!$K$5:$K$2500,0)))),"⚠ phone not in Pledges"))</f>
      </c>
      <c r="C1205" s="12"/>
      <c r="D1205" s="13"/>
      <c r="E1205" s="22"/>
      <c r="F1205" s="23"/>
      <c r="G1205">
        <f>IF($A1205="","","#"&amp;TRIM(SUBSTITUTE(SUBSTITUTE(SUBSTITUTE(SUBSTITUTE(SUBSTITUTE(SUBSTITUTE($A1205,"-",""),"(",""),")",""),".",""),"+","")," ","")))</f>
      </c>
    </row>
    <row r="1206" spans="1:7" x14ac:dyDescent="0.3">
      <c r="A1206" s="11"/>
      <c r="B1206" s="38">
        <f>IF($A1206="","",IFERROR(IF(INDEX(Pledges!$D$5:$D$2500,MATCH($G1206,Pledges!$K$5:$K$2500,0))="","⚠ no amount on Pledges",IF(INDEX(Pledges!$B$5:$B$2500,MATCH($G1206,Pledges!$K$5:$K$2500,0))="","",INDEX(Pledges!$B$5:$B$2500,MATCH($G1206,Pledges!$K$5:$K$2500,0)))),"⚠ phone not in Pledges"))</f>
      </c>
      <c r="C1206" s="12"/>
      <c r="D1206" s="13"/>
      <c r="E1206" s="22"/>
      <c r="F1206" s="23"/>
      <c r="G1206">
        <f>IF($A1206="","","#"&amp;TRIM(SUBSTITUTE(SUBSTITUTE(SUBSTITUTE(SUBSTITUTE(SUBSTITUTE(SUBSTITUTE($A1206,"-",""),"(",""),")",""),".",""),"+","")," ","")))</f>
      </c>
    </row>
    <row r="1207" spans="1:7" x14ac:dyDescent="0.3">
      <c r="A1207" s="11"/>
      <c r="B1207" s="38">
        <f>IF($A1207="","",IFERROR(IF(INDEX(Pledges!$D$5:$D$2500,MATCH($G1207,Pledges!$K$5:$K$2500,0))="","⚠ no amount on Pledges",IF(INDEX(Pledges!$B$5:$B$2500,MATCH($G1207,Pledges!$K$5:$K$2500,0))="","",INDEX(Pledges!$B$5:$B$2500,MATCH($G1207,Pledges!$K$5:$K$2500,0)))),"⚠ phone not in Pledges"))</f>
      </c>
      <c r="C1207" s="12"/>
      <c r="D1207" s="13"/>
      <c r="E1207" s="22"/>
      <c r="F1207" s="23"/>
      <c r="G1207">
        <f>IF($A1207="","","#"&amp;TRIM(SUBSTITUTE(SUBSTITUTE(SUBSTITUTE(SUBSTITUTE(SUBSTITUTE(SUBSTITUTE($A1207,"-",""),"(",""),")",""),".",""),"+","")," ","")))</f>
      </c>
    </row>
    <row r="1208" spans="1:7" x14ac:dyDescent="0.3">
      <c r="A1208" s="11"/>
      <c r="B1208" s="38">
        <f>IF($A1208="","",IFERROR(IF(INDEX(Pledges!$D$5:$D$2500,MATCH($G1208,Pledges!$K$5:$K$2500,0))="","⚠ no amount on Pledges",IF(INDEX(Pledges!$B$5:$B$2500,MATCH($G1208,Pledges!$K$5:$K$2500,0))="","",INDEX(Pledges!$B$5:$B$2500,MATCH($G1208,Pledges!$K$5:$K$2500,0)))),"⚠ phone not in Pledges"))</f>
      </c>
      <c r="C1208" s="12"/>
      <c r="D1208" s="13"/>
      <c r="E1208" s="22"/>
      <c r="F1208" s="23"/>
      <c r="G1208">
        <f>IF($A1208="","","#"&amp;TRIM(SUBSTITUTE(SUBSTITUTE(SUBSTITUTE(SUBSTITUTE(SUBSTITUTE(SUBSTITUTE($A1208,"-",""),"(",""),")",""),".",""),"+","")," ","")))</f>
      </c>
    </row>
    <row r="1209" spans="1:7" x14ac:dyDescent="0.3">
      <c r="A1209" s="11"/>
      <c r="B1209" s="38">
        <f>IF($A1209="","",IFERROR(IF(INDEX(Pledges!$D$5:$D$2500,MATCH($G1209,Pledges!$K$5:$K$2500,0))="","⚠ no amount on Pledges",IF(INDEX(Pledges!$B$5:$B$2500,MATCH($G1209,Pledges!$K$5:$K$2500,0))="","",INDEX(Pledges!$B$5:$B$2500,MATCH($G1209,Pledges!$K$5:$K$2500,0)))),"⚠ phone not in Pledges"))</f>
      </c>
      <c r="C1209" s="12"/>
      <c r="D1209" s="13"/>
      <c r="E1209" s="22"/>
      <c r="F1209" s="23"/>
      <c r="G1209">
        <f>IF($A1209="","","#"&amp;TRIM(SUBSTITUTE(SUBSTITUTE(SUBSTITUTE(SUBSTITUTE(SUBSTITUTE(SUBSTITUTE($A1209,"-",""),"(",""),")",""),".",""),"+","")," ","")))</f>
      </c>
    </row>
    <row r="1210" spans="1:7" x14ac:dyDescent="0.3">
      <c r="A1210" s="11"/>
      <c r="B1210" s="38">
        <f>IF($A1210="","",IFERROR(IF(INDEX(Pledges!$D$5:$D$2500,MATCH($G1210,Pledges!$K$5:$K$2500,0))="","⚠ no amount on Pledges",IF(INDEX(Pledges!$B$5:$B$2500,MATCH($G1210,Pledges!$K$5:$K$2500,0))="","",INDEX(Pledges!$B$5:$B$2500,MATCH($G1210,Pledges!$K$5:$K$2500,0)))),"⚠ phone not in Pledges"))</f>
      </c>
      <c r="C1210" s="12"/>
      <c r="D1210" s="13"/>
      <c r="E1210" s="22"/>
      <c r="F1210" s="23"/>
      <c r="G1210">
        <f>IF($A1210="","","#"&amp;TRIM(SUBSTITUTE(SUBSTITUTE(SUBSTITUTE(SUBSTITUTE(SUBSTITUTE(SUBSTITUTE($A1210,"-",""),"(",""),")",""),".",""),"+","")," ","")))</f>
      </c>
    </row>
    <row r="1211" spans="1:7" x14ac:dyDescent="0.3">
      <c r="A1211" s="11"/>
      <c r="B1211" s="38">
        <f>IF($A1211="","",IFERROR(IF(INDEX(Pledges!$D$5:$D$2500,MATCH($G1211,Pledges!$K$5:$K$2500,0))="","⚠ no amount on Pledges",IF(INDEX(Pledges!$B$5:$B$2500,MATCH($G1211,Pledges!$K$5:$K$2500,0))="","",INDEX(Pledges!$B$5:$B$2500,MATCH($G1211,Pledges!$K$5:$K$2500,0)))),"⚠ phone not in Pledges"))</f>
      </c>
      <c r="C1211" s="12"/>
      <c r="D1211" s="13"/>
      <c r="E1211" s="22"/>
      <c r="F1211" s="23"/>
      <c r="G1211">
        <f>IF($A1211="","","#"&amp;TRIM(SUBSTITUTE(SUBSTITUTE(SUBSTITUTE(SUBSTITUTE(SUBSTITUTE(SUBSTITUTE($A1211,"-",""),"(",""),")",""),".",""),"+","")," ","")))</f>
      </c>
    </row>
    <row r="1212" spans="1:7" x14ac:dyDescent="0.3">
      <c r="A1212" s="11"/>
      <c r="B1212" s="38">
        <f>IF($A1212="","",IFERROR(IF(INDEX(Pledges!$D$5:$D$2500,MATCH($G1212,Pledges!$K$5:$K$2500,0))="","⚠ no amount on Pledges",IF(INDEX(Pledges!$B$5:$B$2500,MATCH($G1212,Pledges!$K$5:$K$2500,0))="","",INDEX(Pledges!$B$5:$B$2500,MATCH($G1212,Pledges!$K$5:$K$2500,0)))),"⚠ phone not in Pledges"))</f>
      </c>
      <c r="C1212" s="12"/>
      <c r="D1212" s="13"/>
      <c r="E1212" s="22"/>
      <c r="F1212" s="23"/>
      <c r="G1212">
        <f>IF($A1212="","","#"&amp;TRIM(SUBSTITUTE(SUBSTITUTE(SUBSTITUTE(SUBSTITUTE(SUBSTITUTE(SUBSTITUTE($A1212,"-",""),"(",""),")",""),".",""),"+","")," ","")))</f>
      </c>
    </row>
    <row r="1213" spans="1:7" x14ac:dyDescent="0.3">
      <c r="A1213" s="11"/>
      <c r="B1213" s="38">
        <f>IF($A1213="","",IFERROR(IF(INDEX(Pledges!$D$5:$D$2500,MATCH($G1213,Pledges!$K$5:$K$2500,0))="","⚠ no amount on Pledges",IF(INDEX(Pledges!$B$5:$B$2500,MATCH($G1213,Pledges!$K$5:$K$2500,0))="","",INDEX(Pledges!$B$5:$B$2500,MATCH($G1213,Pledges!$K$5:$K$2500,0)))),"⚠ phone not in Pledges"))</f>
      </c>
      <c r="C1213" s="12"/>
      <c r="D1213" s="13"/>
      <c r="E1213" s="22"/>
      <c r="F1213" s="23"/>
      <c r="G1213">
        <f>IF($A1213="","","#"&amp;TRIM(SUBSTITUTE(SUBSTITUTE(SUBSTITUTE(SUBSTITUTE(SUBSTITUTE(SUBSTITUTE($A1213,"-",""),"(",""),")",""),".",""),"+","")," ","")))</f>
      </c>
    </row>
    <row r="1214" spans="1:7" x14ac:dyDescent="0.3">
      <c r="A1214" s="11"/>
      <c r="B1214" s="38">
        <f>IF($A1214="","",IFERROR(IF(INDEX(Pledges!$D$5:$D$2500,MATCH($G1214,Pledges!$K$5:$K$2500,0))="","⚠ no amount on Pledges",IF(INDEX(Pledges!$B$5:$B$2500,MATCH($G1214,Pledges!$K$5:$K$2500,0))="","",INDEX(Pledges!$B$5:$B$2500,MATCH($G1214,Pledges!$K$5:$K$2500,0)))),"⚠ phone not in Pledges"))</f>
      </c>
      <c r="C1214" s="12"/>
      <c r="D1214" s="13"/>
      <c r="E1214" s="22"/>
      <c r="F1214" s="23"/>
      <c r="G1214">
        <f>IF($A1214="","","#"&amp;TRIM(SUBSTITUTE(SUBSTITUTE(SUBSTITUTE(SUBSTITUTE(SUBSTITUTE(SUBSTITUTE($A1214,"-",""),"(",""),")",""),".",""),"+","")," ","")))</f>
      </c>
    </row>
    <row r="1215" spans="1:7" x14ac:dyDescent="0.3">
      <c r="A1215" s="11"/>
      <c r="B1215" s="38">
        <f>IF($A1215="","",IFERROR(IF(INDEX(Pledges!$D$5:$D$2500,MATCH($G1215,Pledges!$K$5:$K$2500,0))="","⚠ no amount on Pledges",IF(INDEX(Pledges!$B$5:$B$2500,MATCH($G1215,Pledges!$K$5:$K$2500,0))="","",INDEX(Pledges!$B$5:$B$2500,MATCH($G1215,Pledges!$K$5:$K$2500,0)))),"⚠ phone not in Pledges"))</f>
      </c>
      <c r="C1215" s="12"/>
      <c r="D1215" s="13"/>
      <c r="E1215" s="22"/>
      <c r="F1215" s="23"/>
      <c r="G1215">
        <f>IF($A1215="","","#"&amp;TRIM(SUBSTITUTE(SUBSTITUTE(SUBSTITUTE(SUBSTITUTE(SUBSTITUTE(SUBSTITUTE($A1215,"-",""),"(",""),")",""),".",""),"+","")," ","")))</f>
      </c>
    </row>
    <row r="1216" spans="1:7" x14ac:dyDescent="0.3">
      <c r="A1216" s="11"/>
      <c r="B1216" s="38">
        <f>IF($A1216="","",IFERROR(IF(INDEX(Pledges!$D$5:$D$2500,MATCH($G1216,Pledges!$K$5:$K$2500,0))="","⚠ no amount on Pledges",IF(INDEX(Pledges!$B$5:$B$2500,MATCH($G1216,Pledges!$K$5:$K$2500,0))="","",INDEX(Pledges!$B$5:$B$2500,MATCH($G1216,Pledges!$K$5:$K$2500,0)))),"⚠ phone not in Pledges"))</f>
      </c>
      <c r="C1216" s="12"/>
      <c r="D1216" s="13"/>
      <c r="E1216" s="22"/>
      <c r="F1216" s="23"/>
      <c r="G1216">
        <f>IF($A1216="","","#"&amp;TRIM(SUBSTITUTE(SUBSTITUTE(SUBSTITUTE(SUBSTITUTE(SUBSTITUTE(SUBSTITUTE($A1216,"-",""),"(",""),")",""),".",""),"+","")," ","")))</f>
      </c>
    </row>
    <row r="1217" spans="1:7" x14ac:dyDescent="0.3">
      <c r="A1217" s="11"/>
      <c r="B1217" s="38">
        <f>IF($A1217="","",IFERROR(IF(INDEX(Pledges!$D$5:$D$2500,MATCH($G1217,Pledges!$K$5:$K$2500,0))="","⚠ no amount on Pledges",IF(INDEX(Pledges!$B$5:$B$2500,MATCH($G1217,Pledges!$K$5:$K$2500,0))="","",INDEX(Pledges!$B$5:$B$2500,MATCH($G1217,Pledges!$K$5:$K$2500,0)))),"⚠ phone not in Pledges"))</f>
      </c>
      <c r="C1217" s="12"/>
      <c r="D1217" s="13"/>
      <c r="E1217" s="22"/>
      <c r="F1217" s="23"/>
      <c r="G1217">
        <f>IF($A1217="","","#"&amp;TRIM(SUBSTITUTE(SUBSTITUTE(SUBSTITUTE(SUBSTITUTE(SUBSTITUTE(SUBSTITUTE($A1217,"-",""),"(",""),")",""),".",""),"+","")," ","")))</f>
      </c>
    </row>
    <row r="1218" spans="1:7" x14ac:dyDescent="0.3">
      <c r="A1218" s="11"/>
      <c r="B1218" s="38">
        <f>IF($A1218="","",IFERROR(IF(INDEX(Pledges!$D$5:$D$2500,MATCH($G1218,Pledges!$K$5:$K$2500,0))="","⚠ no amount on Pledges",IF(INDEX(Pledges!$B$5:$B$2500,MATCH($G1218,Pledges!$K$5:$K$2500,0))="","",INDEX(Pledges!$B$5:$B$2500,MATCH($G1218,Pledges!$K$5:$K$2500,0)))),"⚠ phone not in Pledges"))</f>
      </c>
      <c r="C1218" s="12"/>
      <c r="D1218" s="13"/>
      <c r="E1218" s="22"/>
      <c r="F1218" s="23"/>
      <c r="G1218">
        <f>IF($A1218="","","#"&amp;TRIM(SUBSTITUTE(SUBSTITUTE(SUBSTITUTE(SUBSTITUTE(SUBSTITUTE(SUBSTITUTE($A1218,"-",""),"(",""),")",""),".",""),"+","")," ","")))</f>
      </c>
    </row>
    <row r="1219" spans="1:7" x14ac:dyDescent="0.3">
      <c r="A1219" s="11"/>
      <c r="B1219" s="38">
        <f>IF($A1219="","",IFERROR(IF(INDEX(Pledges!$D$5:$D$2500,MATCH($G1219,Pledges!$K$5:$K$2500,0))="","⚠ no amount on Pledges",IF(INDEX(Pledges!$B$5:$B$2500,MATCH($G1219,Pledges!$K$5:$K$2500,0))="","",INDEX(Pledges!$B$5:$B$2500,MATCH($G1219,Pledges!$K$5:$K$2500,0)))),"⚠ phone not in Pledges"))</f>
      </c>
      <c r="C1219" s="12"/>
      <c r="D1219" s="13"/>
      <c r="E1219" s="22"/>
      <c r="F1219" s="23"/>
      <c r="G1219">
        <f>IF($A1219="","","#"&amp;TRIM(SUBSTITUTE(SUBSTITUTE(SUBSTITUTE(SUBSTITUTE(SUBSTITUTE(SUBSTITUTE($A1219,"-",""),"(",""),")",""),".",""),"+","")," ","")))</f>
      </c>
    </row>
    <row r="1220" spans="1:7" x14ac:dyDescent="0.3">
      <c r="A1220" s="11"/>
      <c r="B1220" s="38">
        <f>IF($A1220="","",IFERROR(IF(INDEX(Pledges!$D$5:$D$2500,MATCH($G1220,Pledges!$K$5:$K$2500,0))="","⚠ no amount on Pledges",IF(INDEX(Pledges!$B$5:$B$2500,MATCH($G1220,Pledges!$K$5:$K$2500,0))="","",INDEX(Pledges!$B$5:$B$2500,MATCH($G1220,Pledges!$K$5:$K$2500,0)))),"⚠ phone not in Pledges"))</f>
      </c>
      <c r="C1220" s="12"/>
      <c r="D1220" s="13"/>
      <c r="E1220" s="22"/>
      <c r="F1220" s="23"/>
      <c r="G1220">
        <f>IF($A1220="","","#"&amp;TRIM(SUBSTITUTE(SUBSTITUTE(SUBSTITUTE(SUBSTITUTE(SUBSTITUTE(SUBSTITUTE($A1220,"-",""),"(",""),")",""),".",""),"+","")," ","")))</f>
      </c>
    </row>
    <row r="1221" spans="1:7" x14ac:dyDescent="0.3">
      <c r="A1221" s="11"/>
      <c r="B1221" s="38">
        <f>IF($A1221="","",IFERROR(IF(INDEX(Pledges!$D$5:$D$2500,MATCH($G1221,Pledges!$K$5:$K$2500,0))="","⚠ no amount on Pledges",IF(INDEX(Pledges!$B$5:$B$2500,MATCH($G1221,Pledges!$K$5:$K$2500,0))="","",INDEX(Pledges!$B$5:$B$2500,MATCH($G1221,Pledges!$K$5:$K$2500,0)))),"⚠ phone not in Pledges"))</f>
      </c>
      <c r="C1221" s="12"/>
      <c r="D1221" s="13"/>
      <c r="E1221" s="22"/>
      <c r="F1221" s="23"/>
      <c r="G1221">
        <f>IF($A1221="","","#"&amp;TRIM(SUBSTITUTE(SUBSTITUTE(SUBSTITUTE(SUBSTITUTE(SUBSTITUTE(SUBSTITUTE($A1221,"-",""),"(",""),")",""),".",""),"+","")," ","")))</f>
      </c>
    </row>
    <row r="1222" spans="1:7" x14ac:dyDescent="0.3">
      <c r="A1222" s="11"/>
      <c r="B1222" s="38">
        <f>IF($A1222="","",IFERROR(IF(INDEX(Pledges!$D$5:$D$2500,MATCH($G1222,Pledges!$K$5:$K$2500,0))="","⚠ no amount on Pledges",IF(INDEX(Pledges!$B$5:$B$2500,MATCH($G1222,Pledges!$K$5:$K$2500,0))="","",INDEX(Pledges!$B$5:$B$2500,MATCH($G1222,Pledges!$K$5:$K$2500,0)))),"⚠ phone not in Pledges"))</f>
      </c>
      <c r="C1222" s="12"/>
      <c r="D1222" s="13"/>
      <c r="E1222" s="22"/>
      <c r="F1222" s="23"/>
      <c r="G1222">
        <f>IF($A1222="","","#"&amp;TRIM(SUBSTITUTE(SUBSTITUTE(SUBSTITUTE(SUBSTITUTE(SUBSTITUTE(SUBSTITUTE($A1222,"-",""),"(",""),")",""),".",""),"+","")," ","")))</f>
      </c>
    </row>
    <row r="1223" spans="1:7" x14ac:dyDescent="0.3">
      <c r="A1223" s="11"/>
      <c r="B1223" s="38">
        <f>IF($A1223="","",IFERROR(IF(INDEX(Pledges!$D$5:$D$2500,MATCH($G1223,Pledges!$K$5:$K$2500,0))="","⚠ no amount on Pledges",IF(INDEX(Pledges!$B$5:$B$2500,MATCH($G1223,Pledges!$K$5:$K$2500,0))="","",INDEX(Pledges!$B$5:$B$2500,MATCH($G1223,Pledges!$K$5:$K$2500,0)))),"⚠ phone not in Pledges"))</f>
      </c>
      <c r="C1223" s="12"/>
      <c r="D1223" s="13"/>
      <c r="E1223" s="22"/>
      <c r="F1223" s="23"/>
      <c r="G1223">
        <f>IF($A1223="","","#"&amp;TRIM(SUBSTITUTE(SUBSTITUTE(SUBSTITUTE(SUBSTITUTE(SUBSTITUTE(SUBSTITUTE($A1223,"-",""),"(",""),")",""),".",""),"+","")," ","")))</f>
      </c>
    </row>
    <row r="1224" spans="1:7" x14ac:dyDescent="0.3">
      <c r="A1224" s="11"/>
      <c r="B1224" s="38">
        <f>IF($A1224="","",IFERROR(IF(INDEX(Pledges!$D$5:$D$2500,MATCH($G1224,Pledges!$K$5:$K$2500,0))="","⚠ no amount on Pledges",IF(INDEX(Pledges!$B$5:$B$2500,MATCH($G1224,Pledges!$K$5:$K$2500,0))="","",INDEX(Pledges!$B$5:$B$2500,MATCH($G1224,Pledges!$K$5:$K$2500,0)))),"⚠ phone not in Pledges"))</f>
      </c>
      <c r="C1224" s="12"/>
      <c r="D1224" s="13"/>
      <c r="E1224" s="22"/>
      <c r="F1224" s="23"/>
      <c r="G1224">
        <f>IF($A1224="","","#"&amp;TRIM(SUBSTITUTE(SUBSTITUTE(SUBSTITUTE(SUBSTITUTE(SUBSTITUTE(SUBSTITUTE($A1224,"-",""),"(",""),")",""),".",""),"+","")," ","")))</f>
      </c>
    </row>
    <row r="1225" spans="1:7" x14ac:dyDescent="0.3">
      <c r="A1225" s="11"/>
      <c r="B1225" s="38">
        <f>IF($A1225="","",IFERROR(IF(INDEX(Pledges!$D$5:$D$2500,MATCH($G1225,Pledges!$K$5:$K$2500,0))="","⚠ no amount on Pledges",IF(INDEX(Pledges!$B$5:$B$2500,MATCH($G1225,Pledges!$K$5:$K$2500,0))="","",INDEX(Pledges!$B$5:$B$2500,MATCH($G1225,Pledges!$K$5:$K$2500,0)))),"⚠ phone not in Pledges"))</f>
      </c>
      <c r="C1225" s="12"/>
      <c r="D1225" s="13"/>
      <c r="E1225" s="22"/>
      <c r="F1225" s="23"/>
      <c r="G1225">
        <f>IF($A1225="","","#"&amp;TRIM(SUBSTITUTE(SUBSTITUTE(SUBSTITUTE(SUBSTITUTE(SUBSTITUTE(SUBSTITUTE($A1225,"-",""),"(",""),")",""),".",""),"+","")," ","")))</f>
      </c>
    </row>
    <row r="1226" spans="1:7" x14ac:dyDescent="0.3">
      <c r="A1226" s="11"/>
      <c r="B1226" s="38">
        <f>IF($A1226="","",IFERROR(IF(INDEX(Pledges!$D$5:$D$2500,MATCH($G1226,Pledges!$K$5:$K$2500,0))="","⚠ no amount on Pledges",IF(INDEX(Pledges!$B$5:$B$2500,MATCH($G1226,Pledges!$K$5:$K$2500,0))="","",INDEX(Pledges!$B$5:$B$2500,MATCH($G1226,Pledges!$K$5:$K$2500,0)))),"⚠ phone not in Pledges"))</f>
      </c>
      <c r="C1226" s="12"/>
      <c r="D1226" s="13"/>
      <c r="E1226" s="22"/>
      <c r="F1226" s="23"/>
      <c r="G1226">
        <f>IF($A1226="","","#"&amp;TRIM(SUBSTITUTE(SUBSTITUTE(SUBSTITUTE(SUBSTITUTE(SUBSTITUTE(SUBSTITUTE($A1226,"-",""),"(",""),")",""),".",""),"+","")," ","")))</f>
      </c>
    </row>
    <row r="1227" spans="1:7" x14ac:dyDescent="0.3">
      <c r="A1227" s="11"/>
      <c r="B1227" s="38">
        <f>IF($A1227="","",IFERROR(IF(INDEX(Pledges!$D$5:$D$2500,MATCH($G1227,Pledges!$K$5:$K$2500,0))="","⚠ no amount on Pledges",IF(INDEX(Pledges!$B$5:$B$2500,MATCH($G1227,Pledges!$K$5:$K$2500,0))="","",INDEX(Pledges!$B$5:$B$2500,MATCH($G1227,Pledges!$K$5:$K$2500,0)))),"⚠ phone not in Pledges"))</f>
      </c>
      <c r="C1227" s="12"/>
      <c r="D1227" s="13"/>
      <c r="E1227" s="22"/>
      <c r="F1227" s="23"/>
      <c r="G1227">
        <f>IF($A1227="","","#"&amp;TRIM(SUBSTITUTE(SUBSTITUTE(SUBSTITUTE(SUBSTITUTE(SUBSTITUTE(SUBSTITUTE($A1227,"-",""),"(",""),")",""),".",""),"+","")," ","")))</f>
      </c>
    </row>
    <row r="1228" spans="1:7" x14ac:dyDescent="0.3">
      <c r="A1228" s="11"/>
      <c r="B1228" s="38">
        <f>IF($A1228="","",IFERROR(IF(INDEX(Pledges!$D$5:$D$2500,MATCH($G1228,Pledges!$K$5:$K$2500,0))="","⚠ no amount on Pledges",IF(INDEX(Pledges!$B$5:$B$2500,MATCH($G1228,Pledges!$K$5:$K$2500,0))="","",INDEX(Pledges!$B$5:$B$2500,MATCH($G1228,Pledges!$K$5:$K$2500,0)))),"⚠ phone not in Pledges"))</f>
      </c>
      <c r="C1228" s="12"/>
      <c r="D1228" s="13"/>
      <c r="E1228" s="22"/>
      <c r="F1228" s="23"/>
      <c r="G1228">
        <f>IF($A1228="","","#"&amp;TRIM(SUBSTITUTE(SUBSTITUTE(SUBSTITUTE(SUBSTITUTE(SUBSTITUTE(SUBSTITUTE($A1228,"-",""),"(",""),")",""),".",""),"+","")," ","")))</f>
      </c>
    </row>
    <row r="1229" spans="1:7" x14ac:dyDescent="0.3">
      <c r="A1229" s="11"/>
      <c r="B1229" s="38">
        <f>IF($A1229="","",IFERROR(IF(INDEX(Pledges!$D$5:$D$2500,MATCH($G1229,Pledges!$K$5:$K$2500,0))="","⚠ no amount on Pledges",IF(INDEX(Pledges!$B$5:$B$2500,MATCH($G1229,Pledges!$K$5:$K$2500,0))="","",INDEX(Pledges!$B$5:$B$2500,MATCH($G1229,Pledges!$K$5:$K$2500,0)))),"⚠ phone not in Pledges"))</f>
      </c>
      <c r="C1229" s="12"/>
      <c r="D1229" s="13"/>
      <c r="E1229" s="22"/>
      <c r="F1229" s="23"/>
      <c r="G1229">
        <f>IF($A1229="","","#"&amp;TRIM(SUBSTITUTE(SUBSTITUTE(SUBSTITUTE(SUBSTITUTE(SUBSTITUTE(SUBSTITUTE($A1229,"-",""),"(",""),")",""),".",""),"+","")," ","")))</f>
      </c>
    </row>
    <row r="1230" spans="1:7" x14ac:dyDescent="0.3">
      <c r="A1230" s="11"/>
      <c r="B1230" s="38">
        <f>IF($A1230="","",IFERROR(IF(INDEX(Pledges!$D$5:$D$2500,MATCH($G1230,Pledges!$K$5:$K$2500,0))="","⚠ no amount on Pledges",IF(INDEX(Pledges!$B$5:$B$2500,MATCH($G1230,Pledges!$K$5:$K$2500,0))="","",INDEX(Pledges!$B$5:$B$2500,MATCH($G1230,Pledges!$K$5:$K$2500,0)))),"⚠ phone not in Pledges"))</f>
      </c>
      <c r="C1230" s="12"/>
      <c r="D1230" s="13"/>
      <c r="E1230" s="22"/>
      <c r="F1230" s="23"/>
      <c r="G1230">
        <f>IF($A1230="","","#"&amp;TRIM(SUBSTITUTE(SUBSTITUTE(SUBSTITUTE(SUBSTITUTE(SUBSTITUTE(SUBSTITUTE($A1230,"-",""),"(",""),")",""),".",""),"+","")," ","")))</f>
      </c>
    </row>
    <row r="1231" spans="1:7" x14ac:dyDescent="0.3">
      <c r="A1231" s="11"/>
      <c r="B1231" s="38">
        <f>IF($A1231="","",IFERROR(IF(INDEX(Pledges!$D$5:$D$2500,MATCH($G1231,Pledges!$K$5:$K$2500,0))="","⚠ no amount on Pledges",IF(INDEX(Pledges!$B$5:$B$2500,MATCH($G1231,Pledges!$K$5:$K$2500,0))="","",INDEX(Pledges!$B$5:$B$2500,MATCH($G1231,Pledges!$K$5:$K$2500,0)))),"⚠ phone not in Pledges"))</f>
      </c>
      <c r="C1231" s="12"/>
      <c r="D1231" s="13"/>
      <c r="E1231" s="22"/>
      <c r="F1231" s="23"/>
      <c r="G1231">
        <f>IF($A1231="","","#"&amp;TRIM(SUBSTITUTE(SUBSTITUTE(SUBSTITUTE(SUBSTITUTE(SUBSTITUTE(SUBSTITUTE($A1231,"-",""),"(",""),")",""),".",""),"+","")," ","")))</f>
      </c>
    </row>
    <row r="1232" spans="1:7" x14ac:dyDescent="0.3">
      <c r="A1232" s="11"/>
      <c r="B1232" s="38">
        <f>IF($A1232="","",IFERROR(IF(INDEX(Pledges!$D$5:$D$2500,MATCH($G1232,Pledges!$K$5:$K$2500,0))="","⚠ no amount on Pledges",IF(INDEX(Pledges!$B$5:$B$2500,MATCH($G1232,Pledges!$K$5:$K$2500,0))="","",INDEX(Pledges!$B$5:$B$2500,MATCH($G1232,Pledges!$K$5:$K$2500,0)))),"⚠ phone not in Pledges"))</f>
      </c>
      <c r="C1232" s="12"/>
      <c r="D1232" s="13"/>
      <c r="E1232" s="22"/>
      <c r="F1232" s="23"/>
      <c r="G1232">
        <f>IF($A1232="","","#"&amp;TRIM(SUBSTITUTE(SUBSTITUTE(SUBSTITUTE(SUBSTITUTE(SUBSTITUTE(SUBSTITUTE($A1232,"-",""),"(",""),")",""),".",""),"+","")," ","")))</f>
      </c>
    </row>
    <row r="1233" spans="1:7" x14ac:dyDescent="0.3">
      <c r="A1233" s="11"/>
      <c r="B1233" s="38">
        <f>IF($A1233="","",IFERROR(IF(INDEX(Pledges!$D$5:$D$2500,MATCH($G1233,Pledges!$K$5:$K$2500,0))="","⚠ no amount on Pledges",IF(INDEX(Pledges!$B$5:$B$2500,MATCH($G1233,Pledges!$K$5:$K$2500,0))="","",INDEX(Pledges!$B$5:$B$2500,MATCH($G1233,Pledges!$K$5:$K$2500,0)))),"⚠ phone not in Pledges"))</f>
      </c>
      <c r="C1233" s="12"/>
      <c r="D1233" s="13"/>
      <c r="E1233" s="22"/>
      <c r="F1233" s="23"/>
      <c r="G1233">
        <f>IF($A1233="","","#"&amp;TRIM(SUBSTITUTE(SUBSTITUTE(SUBSTITUTE(SUBSTITUTE(SUBSTITUTE(SUBSTITUTE($A1233,"-",""),"(",""),")",""),".",""),"+","")," ","")))</f>
      </c>
    </row>
    <row r="1234" spans="1:7" x14ac:dyDescent="0.3">
      <c r="A1234" s="11"/>
      <c r="B1234" s="38">
        <f>IF($A1234="","",IFERROR(IF(INDEX(Pledges!$D$5:$D$2500,MATCH($G1234,Pledges!$K$5:$K$2500,0))="","⚠ no amount on Pledges",IF(INDEX(Pledges!$B$5:$B$2500,MATCH($G1234,Pledges!$K$5:$K$2500,0))="","",INDEX(Pledges!$B$5:$B$2500,MATCH($G1234,Pledges!$K$5:$K$2500,0)))),"⚠ phone not in Pledges"))</f>
      </c>
      <c r="C1234" s="12"/>
      <c r="D1234" s="13"/>
      <c r="E1234" s="22"/>
      <c r="F1234" s="23"/>
      <c r="G1234">
        <f>IF($A1234="","","#"&amp;TRIM(SUBSTITUTE(SUBSTITUTE(SUBSTITUTE(SUBSTITUTE(SUBSTITUTE(SUBSTITUTE($A1234,"-",""),"(",""),")",""),".",""),"+","")," ","")))</f>
      </c>
    </row>
    <row r="1235" spans="1:7" x14ac:dyDescent="0.3">
      <c r="A1235" s="11"/>
      <c r="B1235" s="38">
        <f>IF($A1235="","",IFERROR(IF(INDEX(Pledges!$D$5:$D$2500,MATCH($G1235,Pledges!$K$5:$K$2500,0))="","⚠ no amount on Pledges",IF(INDEX(Pledges!$B$5:$B$2500,MATCH($G1235,Pledges!$K$5:$K$2500,0))="","",INDEX(Pledges!$B$5:$B$2500,MATCH($G1235,Pledges!$K$5:$K$2500,0)))),"⚠ phone not in Pledges"))</f>
      </c>
      <c r="C1235" s="12"/>
      <c r="D1235" s="13"/>
      <c r="E1235" s="22"/>
      <c r="F1235" s="23"/>
      <c r="G1235">
        <f>IF($A1235="","","#"&amp;TRIM(SUBSTITUTE(SUBSTITUTE(SUBSTITUTE(SUBSTITUTE(SUBSTITUTE(SUBSTITUTE($A1235,"-",""),"(",""),")",""),".",""),"+","")," ","")))</f>
      </c>
    </row>
    <row r="1236" spans="1:7" x14ac:dyDescent="0.3">
      <c r="A1236" s="11"/>
      <c r="B1236" s="38">
        <f>IF($A1236="","",IFERROR(IF(INDEX(Pledges!$D$5:$D$2500,MATCH($G1236,Pledges!$K$5:$K$2500,0))="","⚠ no amount on Pledges",IF(INDEX(Pledges!$B$5:$B$2500,MATCH($G1236,Pledges!$K$5:$K$2500,0))="","",INDEX(Pledges!$B$5:$B$2500,MATCH($G1236,Pledges!$K$5:$K$2500,0)))),"⚠ phone not in Pledges"))</f>
      </c>
      <c r="C1236" s="12"/>
      <c r="D1236" s="13"/>
      <c r="E1236" s="22"/>
      <c r="F1236" s="23"/>
      <c r="G1236">
        <f>IF($A1236="","","#"&amp;TRIM(SUBSTITUTE(SUBSTITUTE(SUBSTITUTE(SUBSTITUTE(SUBSTITUTE(SUBSTITUTE($A1236,"-",""),"(",""),")",""),".",""),"+","")," ","")))</f>
      </c>
    </row>
    <row r="1237" spans="1:7" x14ac:dyDescent="0.3">
      <c r="A1237" s="11"/>
      <c r="B1237" s="38">
        <f>IF($A1237="","",IFERROR(IF(INDEX(Pledges!$D$5:$D$2500,MATCH($G1237,Pledges!$K$5:$K$2500,0))="","⚠ no amount on Pledges",IF(INDEX(Pledges!$B$5:$B$2500,MATCH($G1237,Pledges!$K$5:$K$2500,0))="","",INDEX(Pledges!$B$5:$B$2500,MATCH($G1237,Pledges!$K$5:$K$2500,0)))),"⚠ phone not in Pledges"))</f>
      </c>
      <c r="C1237" s="12"/>
      <c r="D1237" s="13"/>
      <c r="E1237" s="22"/>
      <c r="F1237" s="23"/>
      <c r="G1237">
        <f>IF($A1237="","","#"&amp;TRIM(SUBSTITUTE(SUBSTITUTE(SUBSTITUTE(SUBSTITUTE(SUBSTITUTE(SUBSTITUTE($A1237,"-",""),"(",""),")",""),".",""),"+","")," ","")))</f>
      </c>
    </row>
    <row r="1238" spans="1:7" x14ac:dyDescent="0.3">
      <c r="A1238" s="11"/>
      <c r="B1238" s="38">
        <f>IF($A1238="","",IFERROR(IF(INDEX(Pledges!$D$5:$D$2500,MATCH($G1238,Pledges!$K$5:$K$2500,0))="","⚠ no amount on Pledges",IF(INDEX(Pledges!$B$5:$B$2500,MATCH($G1238,Pledges!$K$5:$K$2500,0))="","",INDEX(Pledges!$B$5:$B$2500,MATCH($G1238,Pledges!$K$5:$K$2500,0)))),"⚠ phone not in Pledges"))</f>
      </c>
      <c r="C1238" s="12"/>
      <c r="D1238" s="13"/>
      <c r="E1238" s="22"/>
      <c r="F1238" s="23"/>
      <c r="G1238">
        <f>IF($A1238="","","#"&amp;TRIM(SUBSTITUTE(SUBSTITUTE(SUBSTITUTE(SUBSTITUTE(SUBSTITUTE(SUBSTITUTE($A1238,"-",""),"(",""),")",""),".",""),"+","")," ","")))</f>
      </c>
    </row>
    <row r="1239" spans="1:7" x14ac:dyDescent="0.3">
      <c r="A1239" s="11"/>
      <c r="B1239" s="38">
        <f>IF($A1239="","",IFERROR(IF(INDEX(Pledges!$D$5:$D$2500,MATCH($G1239,Pledges!$K$5:$K$2500,0))="","⚠ no amount on Pledges",IF(INDEX(Pledges!$B$5:$B$2500,MATCH($G1239,Pledges!$K$5:$K$2500,0))="","",INDEX(Pledges!$B$5:$B$2500,MATCH($G1239,Pledges!$K$5:$K$2500,0)))),"⚠ phone not in Pledges"))</f>
      </c>
      <c r="C1239" s="12"/>
      <c r="D1239" s="13"/>
      <c r="E1239" s="22"/>
      <c r="F1239" s="23"/>
      <c r="G1239">
        <f>IF($A1239="","","#"&amp;TRIM(SUBSTITUTE(SUBSTITUTE(SUBSTITUTE(SUBSTITUTE(SUBSTITUTE(SUBSTITUTE($A1239,"-",""),"(",""),")",""),".",""),"+","")," ","")))</f>
      </c>
    </row>
    <row r="1240" spans="1:7" x14ac:dyDescent="0.3">
      <c r="A1240" s="11"/>
      <c r="B1240" s="38">
        <f>IF($A1240="","",IFERROR(IF(INDEX(Pledges!$D$5:$D$2500,MATCH($G1240,Pledges!$K$5:$K$2500,0))="","⚠ no amount on Pledges",IF(INDEX(Pledges!$B$5:$B$2500,MATCH($G1240,Pledges!$K$5:$K$2500,0))="","",INDEX(Pledges!$B$5:$B$2500,MATCH($G1240,Pledges!$K$5:$K$2500,0)))),"⚠ phone not in Pledges"))</f>
      </c>
      <c r="C1240" s="12"/>
      <c r="D1240" s="13"/>
      <c r="E1240" s="22"/>
      <c r="F1240" s="23"/>
      <c r="G1240">
        <f>IF($A1240="","","#"&amp;TRIM(SUBSTITUTE(SUBSTITUTE(SUBSTITUTE(SUBSTITUTE(SUBSTITUTE(SUBSTITUTE($A1240,"-",""),"(",""),")",""),".",""),"+","")," ","")))</f>
      </c>
    </row>
    <row r="1241" spans="1:7" x14ac:dyDescent="0.3">
      <c r="A1241" s="11"/>
      <c r="B1241" s="38">
        <f>IF($A1241="","",IFERROR(IF(INDEX(Pledges!$D$5:$D$2500,MATCH($G1241,Pledges!$K$5:$K$2500,0))="","⚠ no amount on Pledges",IF(INDEX(Pledges!$B$5:$B$2500,MATCH($G1241,Pledges!$K$5:$K$2500,0))="","",INDEX(Pledges!$B$5:$B$2500,MATCH($G1241,Pledges!$K$5:$K$2500,0)))),"⚠ phone not in Pledges"))</f>
      </c>
      <c r="C1241" s="12"/>
      <c r="D1241" s="13"/>
      <c r="E1241" s="22"/>
      <c r="F1241" s="23"/>
      <c r="G1241">
        <f>IF($A1241="","","#"&amp;TRIM(SUBSTITUTE(SUBSTITUTE(SUBSTITUTE(SUBSTITUTE(SUBSTITUTE(SUBSTITUTE($A1241,"-",""),"(",""),")",""),".",""),"+","")," ","")))</f>
      </c>
    </row>
    <row r="1242" spans="1:7" x14ac:dyDescent="0.3">
      <c r="A1242" s="11"/>
      <c r="B1242" s="38">
        <f>IF($A1242="","",IFERROR(IF(INDEX(Pledges!$D$5:$D$2500,MATCH($G1242,Pledges!$K$5:$K$2500,0))="","⚠ no amount on Pledges",IF(INDEX(Pledges!$B$5:$B$2500,MATCH($G1242,Pledges!$K$5:$K$2500,0))="","",INDEX(Pledges!$B$5:$B$2500,MATCH($G1242,Pledges!$K$5:$K$2500,0)))),"⚠ phone not in Pledges"))</f>
      </c>
      <c r="C1242" s="12"/>
      <c r="D1242" s="13"/>
      <c r="E1242" s="22"/>
      <c r="F1242" s="23"/>
      <c r="G1242">
        <f>IF($A1242="","","#"&amp;TRIM(SUBSTITUTE(SUBSTITUTE(SUBSTITUTE(SUBSTITUTE(SUBSTITUTE(SUBSTITUTE($A1242,"-",""),"(",""),")",""),".",""),"+","")," ","")))</f>
      </c>
    </row>
    <row r="1243" spans="1:7" x14ac:dyDescent="0.3">
      <c r="A1243" s="11"/>
      <c r="B1243" s="38">
        <f>IF($A1243="","",IFERROR(IF(INDEX(Pledges!$D$5:$D$2500,MATCH($G1243,Pledges!$K$5:$K$2500,0))="","⚠ no amount on Pledges",IF(INDEX(Pledges!$B$5:$B$2500,MATCH($G1243,Pledges!$K$5:$K$2500,0))="","",INDEX(Pledges!$B$5:$B$2500,MATCH($G1243,Pledges!$K$5:$K$2500,0)))),"⚠ phone not in Pledges"))</f>
      </c>
      <c r="C1243" s="12"/>
      <c r="D1243" s="13"/>
      <c r="E1243" s="22"/>
      <c r="F1243" s="23"/>
      <c r="G1243">
        <f>IF($A1243="","","#"&amp;TRIM(SUBSTITUTE(SUBSTITUTE(SUBSTITUTE(SUBSTITUTE(SUBSTITUTE(SUBSTITUTE($A1243,"-",""),"(",""),")",""),".",""),"+","")," ","")))</f>
      </c>
    </row>
    <row r="1244" spans="1:7" x14ac:dyDescent="0.3">
      <c r="A1244" s="11"/>
      <c r="B1244" s="38">
        <f>IF($A1244="","",IFERROR(IF(INDEX(Pledges!$D$5:$D$2500,MATCH($G1244,Pledges!$K$5:$K$2500,0))="","⚠ no amount on Pledges",IF(INDEX(Pledges!$B$5:$B$2500,MATCH($G1244,Pledges!$K$5:$K$2500,0))="","",INDEX(Pledges!$B$5:$B$2500,MATCH($G1244,Pledges!$K$5:$K$2500,0)))),"⚠ phone not in Pledges"))</f>
      </c>
      <c r="C1244" s="12"/>
      <c r="D1244" s="13"/>
      <c r="E1244" s="22"/>
      <c r="F1244" s="23"/>
      <c r="G1244">
        <f>IF($A1244="","","#"&amp;TRIM(SUBSTITUTE(SUBSTITUTE(SUBSTITUTE(SUBSTITUTE(SUBSTITUTE(SUBSTITUTE($A1244,"-",""),"(",""),")",""),".",""),"+","")," ","")))</f>
      </c>
    </row>
    <row r="1245" spans="1:7" x14ac:dyDescent="0.3">
      <c r="A1245" s="11"/>
      <c r="B1245" s="38">
        <f>IF($A1245="","",IFERROR(IF(INDEX(Pledges!$D$5:$D$2500,MATCH($G1245,Pledges!$K$5:$K$2500,0))="","⚠ no amount on Pledges",IF(INDEX(Pledges!$B$5:$B$2500,MATCH($G1245,Pledges!$K$5:$K$2500,0))="","",INDEX(Pledges!$B$5:$B$2500,MATCH($G1245,Pledges!$K$5:$K$2500,0)))),"⚠ phone not in Pledges"))</f>
      </c>
      <c r="C1245" s="12"/>
      <c r="D1245" s="13"/>
      <c r="E1245" s="22"/>
      <c r="F1245" s="23"/>
      <c r="G1245">
        <f>IF($A1245="","","#"&amp;TRIM(SUBSTITUTE(SUBSTITUTE(SUBSTITUTE(SUBSTITUTE(SUBSTITUTE(SUBSTITUTE($A1245,"-",""),"(",""),")",""),".",""),"+","")," ","")))</f>
      </c>
    </row>
    <row r="1246" spans="1:7" x14ac:dyDescent="0.3">
      <c r="A1246" s="11"/>
      <c r="B1246" s="38">
        <f>IF($A1246="","",IFERROR(IF(INDEX(Pledges!$D$5:$D$2500,MATCH($G1246,Pledges!$K$5:$K$2500,0))="","⚠ no amount on Pledges",IF(INDEX(Pledges!$B$5:$B$2500,MATCH($G1246,Pledges!$K$5:$K$2500,0))="","",INDEX(Pledges!$B$5:$B$2500,MATCH($G1246,Pledges!$K$5:$K$2500,0)))),"⚠ phone not in Pledges"))</f>
      </c>
      <c r="C1246" s="12"/>
      <c r="D1246" s="13"/>
      <c r="E1246" s="22"/>
      <c r="F1246" s="23"/>
      <c r="G1246">
        <f>IF($A1246="","","#"&amp;TRIM(SUBSTITUTE(SUBSTITUTE(SUBSTITUTE(SUBSTITUTE(SUBSTITUTE(SUBSTITUTE($A1246,"-",""),"(",""),")",""),".",""),"+","")," ","")))</f>
      </c>
    </row>
    <row r="1247" spans="1:7" x14ac:dyDescent="0.3">
      <c r="A1247" s="11"/>
      <c r="B1247" s="38">
        <f>IF($A1247="","",IFERROR(IF(INDEX(Pledges!$D$5:$D$2500,MATCH($G1247,Pledges!$K$5:$K$2500,0))="","⚠ no amount on Pledges",IF(INDEX(Pledges!$B$5:$B$2500,MATCH($G1247,Pledges!$K$5:$K$2500,0))="","",INDEX(Pledges!$B$5:$B$2500,MATCH($G1247,Pledges!$K$5:$K$2500,0)))),"⚠ phone not in Pledges"))</f>
      </c>
      <c r="C1247" s="12"/>
      <c r="D1247" s="13"/>
      <c r="E1247" s="22"/>
      <c r="F1247" s="23"/>
      <c r="G1247">
        <f>IF($A1247="","","#"&amp;TRIM(SUBSTITUTE(SUBSTITUTE(SUBSTITUTE(SUBSTITUTE(SUBSTITUTE(SUBSTITUTE($A1247,"-",""),"(",""),")",""),".",""),"+","")," ","")))</f>
      </c>
    </row>
    <row r="1248" spans="1:7" x14ac:dyDescent="0.3">
      <c r="A1248" s="11"/>
      <c r="B1248" s="38">
        <f>IF($A1248="","",IFERROR(IF(INDEX(Pledges!$D$5:$D$2500,MATCH($G1248,Pledges!$K$5:$K$2500,0))="","⚠ no amount on Pledges",IF(INDEX(Pledges!$B$5:$B$2500,MATCH($G1248,Pledges!$K$5:$K$2500,0))="","",INDEX(Pledges!$B$5:$B$2500,MATCH($G1248,Pledges!$K$5:$K$2500,0)))),"⚠ phone not in Pledges"))</f>
      </c>
      <c r="C1248" s="12"/>
      <c r="D1248" s="13"/>
      <c r="E1248" s="22"/>
      <c r="F1248" s="23"/>
      <c r="G1248">
        <f>IF($A1248="","","#"&amp;TRIM(SUBSTITUTE(SUBSTITUTE(SUBSTITUTE(SUBSTITUTE(SUBSTITUTE(SUBSTITUTE($A1248,"-",""),"(",""),")",""),".",""),"+","")," ","")))</f>
      </c>
    </row>
    <row r="1249" spans="1:7" x14ac:dyDescent="0.3">
      <c r="A1249" s="11"/>
      <c r="B1249" s="38">
        <f>IF($A1249="","",IFERROR(IF(INDEX(Pledges!$D$5:$D$2500,MATCH($G1249,Pledges!$K$5:$K$2500,0))="","⚠ no amount on Pledges",IF(INDEX(Pledges!$B$5:$B$2500,MATCH($G1249,Pledges!$K$5:$K$2500,0))="","",INDEX(Pledges!$B$5:$B$2500,MATCH($G1249,Pledges!$K$5:$K$2500,0)))),"⚠ phone not in Pledges"))</f>
      </c>
      <c r="C1249" s="12"/>
      <c r="D1249" s="13"/>
      <c r="E1249" s="22"/>
      <c r="F1249" s="23"/>
      <c r="G1249">
        <f>IF($A1249="","","#"&amp;TRIM(SUBSTITUTE(SUBSTITUTE(SUBSTITUTE(SUBSTITUTE(SUBSTITUTE(SUBSTITUTE($A1249,"-",""),"(",""),")",""),".",""),"+","")," ","")))</f>
      </c>
    </row>
    <row r="1250" spans="1:7" x14ac:dyDescent="0.3">
      <c r="A1250" s="11"/>
      <c r="B1250" s="38">
        <f>IF($A1250="","",IFERROR(IF(INDEX(Pledges!$D$5:$D$2500,MATCH($G1250,Pledges!$K$5:$K$2500,0))="","⚠ no amount on Pledges",IF(INDEX(Pledges!$B$5:$B$2500,MATCH($G1250,Pledges!$K$5:$K$2500,0))="","",INDEX(Pledges!$B$5:$B$2500,MATCH($G1250,Pledges!$K$5:$K$2500,0)))),"⚠ phone not in Pledges"))</f>
      </c>
      <c r="C1250" s="12"/>
      <c r="D1250" s="13"/>
      <c r="E1250" s="22"/>
      <c r="F1250" s="23"/>
      <c r="G1250">
        <f>IF($A1250="","","#"&amp;TRIM(SUBSTITUTE(SUBSTITUTE(SUBSTITUTE(SUBSTITUTE(SUBSTITUTE(SUBSTITUTE($A1250,"-",""),"(",""),")",""),".",""),"+","")," ","")))</f>
      </c>
    </row>
    <row r="1251" spans="1:7" x14ac:dyDescent="0.3">
      <c r="A1251" s="11"/>
      <c r="B1251" s="38">
        <f>IF($A1251="","",IFERROR(IF(INDEX(Pledges!$D$5:$D$2500,MATCH($G1251,Pledges!$K$5:$K$2500,0))="","⚠ no amount on Pledges",IF(INDEX(Pledges!$B$5:$B$2500,MATCH($G1251,Pledges!$K$5:$K$2500,0))="","",INDEX(Pledges!$B$5:$B$2500,MATCH($G1251,Pledges!$K$5:$K$2500,0)))),"⚠ phone not in Pledges"))</f>
      </c>
      <c r="C1251" s="12"/>
      <c r="D1251" s="13"/>
      <c r="E1251" s="22"/>
      <c r="F1251" s="23"/>
      <c r="G1251">
        <f>IF($A1251="","","#"&amp;TRIM(SUBSTITUTE(SUBSTITUTE(SUBSTITUTE(SUBSTITUTE(SUBSTITUTE(SUBSTITUTE($A1251,"-",""),"(",""),")",""),".",""),"+","")," ","")))</f>
      </c>
    </row>
    <row r="1252" spans="1:7" x14ac:dyDescent="0.3">
      <c r="A1252" s="11"/>
      <c r="B1252" s="38">
        <f>IF($A1252="","",IFERROR(IF(INDEX(Pledges!$D$5:$D$2500,MATCH($G1252,Pledges!$K$5:$K$2500,0))="","⚠ no amount on Pledges",IF(INDEX(Pledges!$B$5:$B$2500,MATCH($G1252,Pledges!$K$5:$K$2500,0))="","",INDEX(Pledges!$B$5:$B$2500,MATCH($G1252,Pledges!$K$5:$K$2500,0)))),"⚠ phone not in Pledges"))</f>
      </c>
      <c r="C1252" s="12"/>
      <c r="D1252" s="13"/>
      <c r="E1252" s="22"/>
      <c r="F1252" s="23"/>
      <c r="G1252">
        <f>IF($A1252="","","#"&amp;TRIM(SUBSTITUTE(SUBSTITUTE(SUBSTITUTE(SUBSTITUTE(SUBSTITUTE(SUBSTITUTE($A1252,"-",""),"(",""),")",""),".",""),"+","")," ","")))</f>
      </c>
    </row>
    <row r="1253" spans="1:7" x14ac:dyDescent="0.3">
      <c r="A1253" s="11"/>
      <c r="B1253" s="38">
        <f>IF($A1253="","",IFERROR(IF(INDEX(Pledges!$D$5:$D$2500,MATCH($G1253,Pledges!$K$5:$K$2500,0))="","⚠ no amount on Pledges",IF(INDEX(Pledges!$B$5:$B$2500,MATCH($G1253,Pledges!$K$5:$K$2500,0))="","",INDEX(Pledges!$B$5:$B$2500,MATCH($G1253,Pledges!$K$5:$K$2500,0)))),"⚠ phone not in Pledges"))</f>
      </c>
      <c r="C1253" s="12"/>
      <c r="D1253" s="13"/>
      <c r="E1253" s="22"/>
      <c r="F1253" s="23"/>
      <c r="G1253">
        <f>IF($A1253="","","#"&amp;TRIM(SUBSTITUTE(SUBSTITUTE(SUBSTITUTE(SUBSTITUTE(SUBSTITUTE(SUBSTITUTE($A1253,"-",""),"(",""),")",""),".",""),"+","")," ","")))</f>
      </c>
    </row>
    <row r="1254" spans="1:7" x14ac:dyDescent="0.3">
      <c r="A1254" s="11"/>
      <c r="B1254" s="38">
        <f>IF($A1254="","",IFERROR(IF(INDEX(Pledges!$D$5:$D$2500,MATCH($G1254,Pledges!$K$5:$K$2500,0))="","⚠ no amount on Pledges",IF(INDEX(Pledges!$B$5:$B$2500,MATCH($G1254,Pledges!$K$5:$K$2500,0))="","",INDEX(Pledges!$B$5:$B$2500,MATCH($G1254,Pledges!$K$5:$K$2500,0)))),"⚠ phone not in Pledges"))</f>
      </c>
      <c r="C1254" s="12"/>
      <c r="D1254" s="13"/>
      <c r="E1254" s="22"/>
      <c r="F1254" s="23"/>
      <c r="G1254">
        <f>IF($A1254="","","#"&amp;TRIM(SUBSTITUTE(SUBSTITUTE(SUBSTITUTE(SUBSTITUTE(SUBSTITUTE(SUBSTITUTE($A1254,"-",""),"(",""),")",""),".",""),"+","")," ","")))</f>
      </c>
    </row>
    <row r="1255" spans="1:7" x14ac:dyDescent="0.3">
      <c r="A1255" s="11"/>
      <c r="B1255" s="38">
        <f>IF($A1255="","",IFERROR(IF(INDEX(Pledges!$D$5:$D$2500,MATCH($G1255,Pledges!$K$5:$K$2500,0))="","⚠ no amount on Pledges",IF(INDEX(Pledges!$B$5:$B$2500,MATCH($G1255,Pledges!$K$5:$K$2500,0))="","",INDEX(Pledges!$B$5:$B$2500,MATCH($G1255,Pledges!$K$5:$K$2500,0)))),"⚠ phone not in Pledges"))</f>
      </c>
      <c r="C1255" s="12"/>
      <c r="D1255" s="13"/>
      <c r="E1255" s="22"/>
      <c r="F1255" s="23"/>
      <c r="G1255">
        <f>IF($A1255="","","#"&amp;TRIM(SUBSTITUTE(SUBSTITUTE(SUBSTITUTE(SUBSTITUTE(SUBSTITUTE(SUBSTITUTE($A1255,"-",""),"(",""),")",""),".",""),"+","")," ","")))</f>
      </c>
    </row>
    <row r="1256" spans="1:7" x14ac:dyDescent="0.3">
      <c r="A1256" s="11"/>
      <c r="B1256" s="38">
        <f>IF($A1256="","",IFERROR(IF(INDEX(Pledges!$D$5:$D$2500,MATCH($G1256,Pledges!$K$5:$K$2500,0))="","⚠ no amount on Pledges",IF(INDEX(Pledges!$B$5:$B$2500,MATCH($G1256,Pledges!$K$5:$K$2500,0))="","",INDEX(Pledges!$B$5:$B$2500,MATCH($G1256,Pledges!$K$5:$K$2500,0)))),"⚠ phone not in Pledges"))</f>
      </c>
      <c r="C1256" s="12"/>
      <c r="D1256" s="13"/>
      <c r="E1256" s="22"/>
      <c r="F1256" s="23"/>
      <c r="G1256">
        <f>IF($A1256="","","#"&amp;TRIM(SUBSTITUTE(SUBSTITUTE(SUBSTITUTE(SUBSTITUTE(SUBSTITUTE(SUBSTITUTE($A1256,"-",""),"(",""),")",""),".",""),"+","")," ","")))</f>
      </c>
    </row>
    <row r="1257" spans="1:7" x14ac:dyDescent="0.3">
      <c r="A1257" s="11"/>
      <c r="B1257" s="38">
        <f>IF($A1257="","",IFERROR(IF(INDEX(Pledges!$D$5:$D$2500,MATCH($G1257,Pledges!$K$5:$K$2500,0))="","⚠ no amount on Pledges",IF(INDEX(Pledges!$B$5:$B$2500,MATCH($G1257,Pledges!$K$5:$K$2500,0))="","",INDEX(Pledges!$B$5:$B$2500,MATCH($G1257,Pledges!$K$5:$K$2500,0)))),"⚠ phone not in Pledges"))</f>
      </c>
      <c r="C1257" s="12"/>
      <c r="D1257" s="13"/>
      <c r="E1257" s="22"/>
      <c r="F1257" s="23"/>
      <c r="G1257">
        <f>IF($A1257="","","#"&amp;TRIM(SUBSTITUTE(SUBSTITUTE(SUBSTITUTE(SUBSTITUTE(SUBSTITUTE(SUBSTITUTE($A1257,"-",""),"(",""),")",""),".",""),"+","")," ","")))</f>
      </c>
    </row>
    <row r="1258" spans="1:7" x14ac:dyDescent="0.3">
      <c r="A1258" s="11"/>
      <c r="B1258" s="38">
        <f>IF($A1258="","",IFERROR(IF(INDEX(Pledges!$D$5:$D$2500,MATCH($G1258,Pledges!$K$5:$K$2500,0))="","⚠ no amount on Pledges",IF(INDEX(Pledges!$B$5:$B$2500,MATCH($G1258,Pledges!$K$5:$K$2500,0))="","",INDEX(Pledges!$B$5:$B$2500,MATCH($G1258,Pledges!$K$5:$K$2500,0)))),"⚠ phone not in Pledges"))</f>
      </c>
      <c r="C1258" s="12"/>
      <c r="D1258" s="13"/>
      <c r="E1258" s="22"/>
      <c r="F1258" s="23"/>
      <c r="G1258">
        <f>IF($A1258="","","#"&amp;TRIM(SUBSTITUTE(SUBSTITUTE(SUBSTITUTE(SUBSTITUTE(SUBSTITUTE(SUBSTITUTE($A1258,"-",""),"(",""),")",""),".",""),"+","")," ","")))</f>
      </c>
    </row>
    <row r="1259" spans="1:7" x14ac:dyDescent="0.3">
      <c r="A1259" s="11"/>
      <c r="B1259" s="38">
        <f>IF($A1259="","",IFERROR(IF(INDEX(Pledges!$D$5:$D$2500,MATCH($G1259,Pledges!$K$5:$K$2500,0))="","⚠ no amount on Pledges",IF(INDEX(Pledges!$B$5:$B$2500,MATCH($G1259,Pledges!$K$5:$K$2500,0))="","",INDEX(Pledges!$B$5:$B$2500,MATCH($G1259,Pledges!$K$5:$K$2500,0)))),"⚠ phone not in Pledges"))</f>
      </c>
      <c r="C1259" s="12"/>
      <c r="D1259" s="13"/>
      <c r="E1259" s="22"/>
      <c r="F1259" s="23"/>
      <c r="G1259">
        <f>IF($A1259="","","#"&amp;TRIM(SUBSTITUTE(SUBSTITUTE(SUBSTITUTE(SUBSTITUTE(SUBSTITUTE(SUBSTITUTE($A1259,"-",""),"(",""),")",""),".",""),"+","")," ","")))</f>
      </c>
    </row>
    <row r="1260" spans="1:7" x14ac:dyDescent="0.3">
      <c r="A1260" s="11"/>
      <c r="B1260" s="38">
        <f>IF($A1260="","",IFERROR(IF(INDEX(Pledges!$D$5:$D$2500,MATCH($G1260,Pledges!$K$5:$K$2500,0))="","⚠ no amount on Pledges",IF(INDEX(Pledges!$B$5:$B$2500,MATCH($G1260,Pledges!$K$5:$K$2500,0))="","",INDEX(Pledges!$B$5:$B$2500,MATCH($G1260,Pledges!$K$5:$K$2500,0)))),"⚠ phone not in Pledges"))</f>
      </c>
      <c r="C1260" s="12"/>
      <c r="D1260" s="13"/>
      <c r="E1260" s="22"/>
      <c r="F1260" s="23"/>
      <c r="G1260">
        <f>IF($A1260="","","#"&amp;TRIM(SUBSTITUTE(SUBSTITUTE(SUBSTITUTE(SUBSTITUTE(SUBSTITUTE(SUBSTITUTE($A1260,"-",""),"(",""),")",""),".",""),"+","")," ","")))</f>
      </c>
    </row>
    <row r="1261" spans="1:7" x14ac:dyDescent="0.3">
      <c r="A1261" s="11"/>
      <c r="B1261" s="38">
        <f>IF($A1261="","",IFERROR(IF(INDEX(Pledges!$D$5:$D$2500,MATCH($G1261,Pledges!$K$5:$K$2500,0))="","⚠ no amount on Pledges",IF(INDEX(Pledges!$B$5:$B$2500,MATCH($G1261,Pledges!$K$5:$K$2500,0))="","",INDEX(Pledges!$B$5:$B$2500,MATCH($G1261,Pledges!$K$5:$K$2500,0)))),"⚠ phone not in Pledges"))</f>
      </c>
      <c r="C1261" s="12"/>
      <c r="D1261" s="13"/>
      <c r="E1261" s="22"/>
      <c r="F1261" s="23"/>
      <c r="G1261">
        <f>IF($A1261="","","#"&amp;TRIM(SUBSTITUTE(SUBSTITUTE(SUBSTITUTE(SUBSTITUTE(SUBSTITUTE(SUBSTITUTE($A1261,"-",""),"(",""),")",""),".",""),"+","")," ","")))</f>
      </c>
    </row>
    <row r="1262" spans="1:7" x14ac:dyDescent="0.3">
      <c r="A1262" s="11"/>
      <c r="B1262" s="38">
        <f>IF($A1262="","",IFERROR(IF(INDEX(Pledges!$D$5:$D$2500,MATCH($G1262,Pledges!$K$5:$K$2500,0))="","⚠ no amount on Pledges",IF(INDEX(Pledges!$B$5:$B$2500,MATCH($G1262,Pledges!$K$5:$K$2500,0))="","",INDEX(Pledges!$B$5:$B$2500,MATCH($G1262,Pledges!$K$5:$K$2500,0)))),"⚠ phone not in Pledges"))</f>
      </c>
      <c r="C1262" s="12"/>
      <c r="D1262" s="13"/>
      <c r="E1262" s="22"/>
      <c r="F1262" s="23"/>
      <c r="G1262">
        <f>IF($A1262="","","#"&amp;TRIM(SUBSTITUTE(SUBSTITUTE(SUBSTITUTE(SUBSTITUTE(SUBSTITUTE(SUBSTITUTE($A1262,"-",""),"(",""),")",""),".",""),"+","")," ","")))</f>
      </c>
    </row>
    <row r="1263" spans="1:7" x14ac:dyDescent="0.3">
      <c r="A1263" s="11"/>
      <c r="B1263" s="38">
        <f>IF($A1263="","",IFERROR(IF(INDEX(Pledges!$D$5:$D$2500,MATCH($G1263,Pledges!$K$5:$K$2500,0))="","⚠ no amount on Pledges",IF(INDEX(Pledges!$B$5:$B$2500,MATCH($G1263,Pledges!$K$5:$K$2500,0))="","",INDEX(Pledges!$B$5:$B$2500,MATCH($G1263,Pledges!$K$5:$K$2500,0)))),"⚠ phone not in Pledges"))</f>
      </c>
      <c r="C1263" s="12"/>
      <c r="D1263" s="13"/>
      <c r="E1263" s="22"/>
      <c r="F1263" s="23"/>
      <c r="G1263">
        <f>IF($A1263="","","#"&amp;TRIM(SUBSTITUTE(SUBSTITUTE(SUBSTITUTE(SUBSTITUTE(SUBSTITUTE(SUBSTITUTE($A1263,"-",""),"(",""),")",""),".",""),"+","")," ","")))</f>
      </c>
    </row>
    <row r="1264" spans="1:7" x14ac:dyDescent="0.3">
      <c r="A1264" s="11"/>
      <c r="B1264" s="38">
        <f>IF($A1264="","",IFERROR(IF(INDEX(Pledges!$D$5:$D$2500,MATCH($G1264,Pledges!$K$5:$K$2500,0))="","⚠ no amount on Pledges",IF(INDEX(Pledges!$B$5:$B$2500,MATCH($G1264,Pledges!$K$5:$K$2500,0))="","",INDEX(Pledges!$B$5:$B$2500,MATCH($G1264,Pledges!$K$5:$K$2500,0)))),"⚠ phone not in Pledges"))</f>
      </c>
      <c r="C1264" s="12"/>
      <c r="D1264" s="13"/>
      <c r="E1264" s="22"/>
      <c r="F1264" s="23"/>
      <c r="G1264">
        <f>IF($A1264="","","#"&amp;TRIM(SUBSTITUTE(SUBSTITUTE(SUBSTITUTE(SUBSTITUTE(SUBSTITUTE(SUBSTITUTE($A1264,"-",""),"(",""),")",""),".",""),"+","")," ","")))</f>
      </c>
    </row>
    <row r="1265" spans="1:7" x14ac:dyDescent="0.3">
      <c r="A1265" s="11"/>
      <c r="B1265" s="38">
        <f>IF($A1265="","",IFERROR(IF(INDEX(Pledges!$D$5:$D$2500,MATCH($G1265,Pledges!$K$5:$K$2500,0))="","⚠ no amount on Pledges",IF(INDEX(Pledges!$B$5:$B$2500,MATCH($G1265,Pledges!$K$5:$K$2500,0))="","",INDEX(Pledges!$B$5:$B$2500,MATCH($G1265,Pledges!$K$5:$K$2500,0)))),"⚠ phone not in Pledges"))</f>
      </c>
      <c r="C1265" s="12"/>
      <c r="D1265" s="13"/>
      <c r="E1265" s="22"/>
      <c r="F1265" s="23"/>
      <c r="G1265">
        <f>IF($A1265="","","#"&amp;TRIM(SUBSTITUTE(SUBSTITUTE(SUBSTITUTE(SUBSTITUTE(SUBSTITUTE(SUBSTITUTE($A1265,"-",""),"(",""),")",""),".",""),"+","")," ","")))</f>
      </c>
    </row>
    <row r="1266" spans="1:7" x14ac:dyDescent="0.3">
      <c r="A1266" s="11"/>
      <c r="B1266" s="38">
        <f>IF($A1266="","",IFERROR(IF(INDEX(Pledges!$D$5:$D$2500,MATCH($G1266,Pledges!$K$5:$K$2500,0))="","⚠ no amount on Pledges",IF(INDEX(Pledges!$B$5:$B$2500,MATCH($G1266,Pledges!$K$5:$K$2500,0))="","",INDEX(Pledges!$B$5:$B$2500,MATCH($G1266,Pledges!$K$5:$K$2500,0)))),"⚠ phone not in Pledges"))</f>
      </c>
      <c r="C1266" s="12"/>
      <c r="D1266" s="13"/>
      <c r="E1266" s="22"/>
      <c r="F1266" s="23"/>
      <c r="G1266">
        <f>IF($A1266="","","#"&amp;TRIM(SUBSTITUTE(SUBSTITUTE(SUBSTITUTE(SUBSTITUTE(SUBSTITUTE(SUBSTITUTE($A1266,"-",""),"(",""),")",""),".",""),"+","")," ","")))</f>
      </c>
    </row>
    <row r="1267" spans="1:7" x14ac:dyDescent="0.3">
      <c r="A1267" s="11"/>
      <c r="B1267" s="38">
        <f>IF($A1267="","",IFERROR(IF(INDEX(Pledges!$D$5:$D$2500,MATCH($G1267,Pledges!$K$5:$K$2500,0))="","⚠ no amount on Pledges",IF(INDEX(Pledges!$B$5:$B$2500,MATCH($G1267,Pledges!$K$5:$K$2500,0))="","",INDEX(Pledges!$B$5:$B$2500,MATCH($G1267,Pledges!$K$5:$K$2500,0)))),"⚠ phone not in Pledges"))</f>
      </c>
      <c r="C1267" s="12"/>
      <c r="D1267" s="13"/>
      <c r="E1267" s="22"/>
      <c r="F1267" s="23"/>
      <c r="G1267">
        <f>IF($A1267="","","#"&amp;TRIM(SUBSTITUTE(SUBSTITUTE(SUBSTITUTE(SUBSTITUTE(SUBSTITUTE(SUBSTITUTE($A1267,"-",""),"(",""),")",""),".",""),"+","")," ","")))</f>
      </c>
    </row>
    <row r="1268" spans="1:7" x14ac:dyDescent="0.3">
      <c r="A1268" s="11"/>
      <c r="B1268" s="38">
        <f>IF($A1268="","",IFERROR(IF(INDEX(Pledges!$D$5:$D$2500,MATCH($G1268,Pledges!$K$5:$K$2500,0))="","⚠ no amount on Pledges",IF(INDEX(Pledges!$B$5:$B$2500,MATCH($G1268,Pledges!$K$5:$K$2500,0))="","",INDEX(Pledges!$B$5:$B$2500,MATCH($G1268,Pledges!$K$5:$K$2500,0)))),"⚠ phone not in Pledges"))</f>
      </c>
      <c r="C1268" s="12"/>
      <c r="D1268" s="13"/>
      <c r="E1268" s="22"/>
      <c r="F1268" s="23"/>
      <c r="G1268">
        <f>IF($A1268="","","#"&amp;TRIM(SUBSTITUTE(SUBSTITUTE(SUBSTITUTE(SUBSTITUTE(SUBSTITUTE(SUBSTITUTE($A1268,"-",""),"(",""),")",""),".",""),"+","")," ","")))</f>
      </c>
    </row>
    <row r="1269" spans="1:7" x14ac:dyDescent="0.3">
      <c r="A1269" s="11"/>
      <c r="B1269" s="38">
        <f>IF($A1269="","",IFERROR(IF(INDEX(Pledges!$D$5:$D$2500,MATCH($G1269,Pledges!$K$5:$K$2500,0))="","⚠ no amount on Pledges",IF(INDEX(Pledges!$B$5:$B$2500,MATCH($G1269,Pledges!$K$5:$K$2500,0))="","",INDEX(Pledges!$B$5:$B$2500,MATCH($G1269,Pledges!$K$5:$K$2500,0)))),"⚠ phone not in Pledges"))</f>
      </c>
      <c r="C1269" s="12"/>
      <c r="D1269" s="13"/>
      <c r="E1269" s="22"/>
      <c r="F1269" s="23"/>
      <c r="G1269">
        <f>IF($A1269="","","#"&amp;TRIM(SUBSTITUTE(SUBSTITUTE(SUBSTITUTE(SUBSTITUTE(SUBSTITUTE(SUBSTITUTE($A1269,"-",""),"(",""),")",""),".",""),"+","")," ","")))</f>
      </c>
    </row>
    <row r="1270" spans="1:7" x14ac:dyDescent="0.3">
      <c r="A1270" s="11"/>
      <c r="B1270" s="38">
        <f>IF($A1270="","",IFERROR(IF(INDEX(Pledges!$D$5:$D$2500,MATCH($G1270,Pledges!$K$5:$K$2500,0))="","⚠ no amount on Pledges",IF(INDEX(Pledges!$B$5:$B$2500,MATCH($G1270,Pledges!$K$5:$K$2500,0))="","",INDEX(Pledges!$B$5:$B$2500,MATCH($G1270,Pledges!$K$5:$K$2500,0)))),"⚠ phone not in Pledges"))</f>
      </c>
      <c r="C1270" s="12"/>
      <c r="D1270" s="13"/>
      <c r="E1270" s="22"/>
      <c r="F1270" s="23"/>
      <c r="G1270">
        <f>IF($A1270="","","#"&amp;TRIM(SUBSTITUTE(SUBSTITUTE(SUBSTITUTE(SUBSTITUTE(SUBSTITUTE(SUBSTITUTE($A1270,"-",""),"(",""),")",""),".",""),"+","")," ","")))</f>
      </c>
    </row>
    <row r="1271" spans="1:7" x14ac:dyDescent="0.3">
      <c r="A1271" s="11"/>
      <c r="B1271" s="38">
        <f>IF($A1271="","",IFERROR(IF(INDEX(Pledges!$D$5:$D$2500,MATCH($G1271,Pledges!$K$5:$K$2500,0))="","⚠ no amount on Pledges",IF(INDEX(Pledges!$B$5:$B$2500,MATCH($G1271,Pledges!$K$5:$K$2500,0))="","",INDEX(Pledges!$B$5:$B$2500,MATCH($G1271,Pledges!$K$5:$K$2500,0)))),"⚠ phone not in Pledges"))</f>
      </c>
      <c r="C1271" s="12"/>
      <c r="D1271" s="13"/>
      <c r="E1271" s="22"/>
      <c r="F1271" s="23"/>
      <c r="G1271">
        <f>IF($A1271="","","#"&amp;TRIM(SUBSTITUTE(SUBSTITUTE(SUBSTITUTE(SUBSTITUTE(SUBSTITUTE(SUBSTITUTE($A1271,"-",""),"(",""),")",""),".",""),"+","")," ","")))</f>
      </c>
    </row>
    <row r="1272" spans="1:7" x14ac:dyDescent="0.3">
      <c r="A1272" s="11"/>
      <c r="B1272" s="38">
        <f>IF($A1272="","",IFERROR(IF(INDEX(Pledges!$D$5:$D$2500,MATCH($G1272,Pledges!$K$5:$K$2500,0))="","⚠ no amount on Pledges",IF(INDEX(Pledges!$B$5:$B$2500,MATCH($G1272,Pledges!$K$5:$K$2500,0))="","",INDEX(Pledges!$B$5:$B$2500,MATCH($G1272,Pledges!$K$5:$K$2500,0)))),"⚠ phone not in Pledges"))</f>
      </c>
      <c r="C1272" s="12"/>
      <c r="D1272" s="13"/>
      <c r="E1272" s="22"/>
      <c r="F1272" s="23"/>
      <c r="G1272">
        <f>IF($A1272="","","#"&amp;TRIM(SUBSTITUTE(SUBSTITUTE(SUBSTITUTE(SUBSTITUTE(SUBSTITUTE(SUBSTITUTE($A1272,"-",""),"(",""),")",""),".",""),"+","")," ","")))</f>
      </c>
    </row>
    <row r="1273" spans="1:7" x14ac:dyDescent="0.3">
      <c r="A1273" s="11"/>
      <c r="B1273" s="38">
        <f>IF($A1273="","",IFERROR(IF(INDEX(Pledges!$D$5:$D$2500,MATCH($G1273,Pledges!$K$5:$K$2500,0))="","⚠ no amount on Pledges",IF(INDEX(Pledges!$B$5:$B$2500,MATCH($G1273,Pledges!$K$5:$K$2500,0))="","",INDEX(Pledges!$B$5:$B$2500,MATCH($G1273,Pledges!$K$5:$K$2500,0)))),"⚠ phone not in Pledges"))</f>
      </c>
      <c r="C1273" s="12"/>
      <c r="D1273" s="13"/>
      <c r="E1273" s="22"/>
      <c r="F1273" s="23"/>
      <c r="G1273">
        <f>IF($A1273="","","#"&amp;TRIM(SUBSTITUTE(SUBSTITUTE(SUBSTITUTE(SUBSTITUTE(SUBSTITUTE(SUBSTITUTE($A1273,"-",""),"(",""),")",""),".",""),"+","")," ","")))</f>
      </c>
    </row>
    <row r="1274" spans="1:7" x14ac:dyDescent="0.3">
      <c r="A1274" s="11"/>
      <c r="B1274" s="38">
        <f>IF($A1274="","",IFERROR(IF(INDEX(Pledges!$D$5:$D$2500,MATCH($G1274,Pledges!$K$5:$K$2500,0))="","⚠ no amount on Pledges",IF(INDEX(Pledges!$B$5:$B$2500,MATCH($G1274,Pledges!$K$5:$K$2500,0))="","",INDEX(Pledges!$B$5:$B$2500,MATCH($G1274,Pledges!$K$5:$K$2500,0)))),"⚠ phone not in Pledges"))</f>
      </c>
      <c r="C1274" s="12"/>
      <c r="D1274" s="13"/>
      <c r="E1274" s="22"/>
      <c r="F1274" s="23"/>
      <c r="G1274">
        <f>IF($A1274="","","#"&amp;TRIM(SUBSTITUTE(SUBSTITUTE(SUBSTITUTE(SUBSTITUTE(SUBSTITUTE(SUBSTITUTE($A1274,"-",""),"(",""),")",""),".",""),"+","")," ","")))</f>
      </c>
    </row>
    <row r="1275" spans="1:7" x14ac:dyDescent="0.3">
      <c r="A1275" s="11"/>
      <c r="B1275" s="38">
        <f>IF($A1275="","",IFERROR(IF(INDEX(Pledges!$D$5:$D$2500,MATCH($G1275,Pledges!$K$5:$K$2500,0))="","⚠ no amount on Pledges",IF(INDEX(Pledges!$B$5:$B$2500,MATCH($G1275,Pledges!$K$5:$K$2500,0))="","",INDEX(Pledges!$B$5:$B$2500,MATCH($G1275,Pledges!$K$5:$K$2500,0)))),"⚠ phone not in Pledges"))</f>
      </c>
      <c r="C1275" s="12"/>
      <c r="D1275" s="13"/>
      <c r="E1275" s="22"/>
      <c r="F1275" s="23"/>
      <c r="G1275">
        <f>IF($A1275="","","#"&amp;TRIM(SUBSTITUTE(SUBSTITUTE(SUBSTITUTE(SUBSTITUTE(SUBSTITUTE(SUBSTITUTE($A1275,"-",""),"(",""),")",""),".",""),"+","")," ","")))</f>
      </c>
    </row>
    <row r="1276" spans="1:7" x14ac:dyDescent="0.3">
      <c r="A1276" s="11"/>
      <c r="B1276" s="38">
        <f>IF($A1276="","",IFERROR(IF(INDEX(Pledges!$D$5:$D$2500,MATCH($G1276,Pledges!$K$5:$K$2500,0))="","⚠ no amount on Pledges",IF(INDEX(Pledges!$B$5:$B$2500,MATCH($G1276,Pledges!$K$5:$K$2500,0))="","",INDEX(Pledges!$B$5:$B$2500,MATCH($G1276,Pledges!$K$5:$K$2500,0)))),"⚠ phone not in Pledges"))</f>
      </c>
      <c r="C1276" s="12"/>
      <c r="D1276" s="13"/>
      <c r="E1276" s="22"/>
      <c r="F1276" s="23"/>
      <c r="G1276">
        <f>IF($A1276="","","#"&amp;TRIM(SUBSTITUTE(SUBSTITUTE(SUBSTITUTE(SUBSTITUTE(SUBSTITUTE(SUBSTITUTE($A1276,"-",""),"(",""),")",""),".",""),"+","")," ","")))</f>
      </c>
    </row>
    <row r="1277" spans="1:7" x14ac:dyDescent="0.3">
      <c r="A1277" s="11"/>
      <c r="B1277" s="38">
        <f>IF($A1277="","",IFERROR(IF(INDEX(Pledges!$D$5:$D$2500,MATCH($G1277,Pledges!$K$5:$K$2500,0))="","⚠ no amount on Pledges",IF(INDEX(Pledges!$B$5:$B$2500,MATCH($G1277,Pledges!$K$5:$K$2500,0))="","",INDEX(Pledges!$B$5:$B$2500,MATCH($G1277,Pledges!$K$5:$K$2500,0)))),"⚠ phone not in Pledges"))</f>
      </c>
      <c r="C1277" s="12"/>
      <c r="D1277" s="13"/>
      <c r="E1277" s="22"/>
      <c r="F1277" s="23"/>
      <c r="G1277">
        <f>IF($A1277="","","#"&amp;TRIM(SUBSTITUTE(SUBSTITUTE(SUBSTITUTE(SUBSTITUTE(SUBSTITUTE(SUBSTITUTE($A1277,"-",""),"(",""),")",""),".",""),"+","")," ","")))</f>
      </c>
    </row>
    <row r="1278" spans="1:7" x14ac:dyDescent="0.3">
      <c r="A1278" s="11"/>
      <c r="B1278" s="38">
        <f>IF($A1278="","",IFERROR(IF(INDEX(Pledges!$D$5:$D$2500,MATCH($G1278,Pledges!$K$5:$K$2500,0))="","⚠ no amount on Pledges",IF(INDEX(Pledges!$B$5:$B$2500,MATCH($G1278,Pledges!$K$5:$K$2500,0))="","",INDEX(Pledges!$B$5:$B$2500,MATCH($G1278,Pledges!$K$5:$K$2500,0)))),"⚠ phone not in Pledges"))</f>
      </c>
      <c r="C1278" s="12"/>
      <c r="D1278" s="13"/>
      <c r="E1278" s="22"/>
      <c r="F1278" s="23"/>
      <c r="G1278">
        <f>IF($A1278="","","#"&amp;TRIM(SUBSTITUTE(SUBSTITUTE(SUBSTITUTE(SUBSTITUTE(SUBSTITUTE(SUBSTITUTE($A1278,"-",""),"(",""),")",""),".",""),"+","")," ","")))</f>
      </c>
    </row>
    <row r="1279" spans="1:7" x14ac:dyDescent="0.3">
      <c r="A1279" s="11"/>
      <c r="B1279" s="38">
        <f>IF($A1279="","",IFERROR(IF(INDEX(Pledges!$D$5:$D$2500,MATCH($G1279,Pledges!$K$5:$K$2500,0))="","⚠ no amount on Pledges",IF(INDEX(Pledges!$B$5:$B$2500,MATCH($G1279,Pledges!$K$5:$K$2500,0))="","",INDEX(Pledges!$B$5:$B$2500,MATCH($G1279,Pledges!$K$5:$K$2500,0)))),"⚠ phone not in Pledges"))</f>
      </c>
      <c r="C1279" s="12"/>
      <c r="D1279" s="13"/>
      <c r="E1279" s="22"/>
      <c r="F1279" s="23"/>
      <c r="G1279">
        <f>IF($A1279="","","#"&amp;TRIM(SUBSTITUTE(SUBSTITUTE(SUBSTITUTE(SUBSTITUTE(SUBSTITUTE(SUBSTITUTE($A1279,"-",""),"(",""),")",""),".",""),"+","")," ","")))</f>
      </c>
    </row>
    <row r="1280" spans="1:7" x14ac:dyDescent="0.3">
      <c r="A1280" s="11"/>
      <c r="B1280" s="38">
        <f>IF($A1280="","",IFERROR(IF(INDEX(Pledges!$D$5:$D$2500,MATCH($G1280,Pledges!$K$5:$K$2500,0))="","⚠ no amount on Pledges",IF(INDEX(Pledges!$B$5:$B$2500,MATCH($G1280,Pledges!$K$5:$K$2500,0))="","",INDEX(Pledges!$B$5:$B$2500,MATCH($G1280,Pledges!$K$5:$K$2500,0)))),"⚠ phone not in Pledges"))</f>
      </c>
      <c r="C1280" s="12"/>
      <c r="D1280" s="13"/>
      <c r="E1280" s="22"/>
      <c r="F1280" s="23"/>
      <c r="G1280">
        <f>IF($A1280="","","#"&amp;TRIM(SUBSTITUTE(SUBSTITUTE(SUBSTITUTE(SUBSTITUTE(SUBSTITUTE(SUBSTITUTE($A1280,"-",""),"(",""),")",""),".",""),"+","")," ","")))</f>
      </c>
    </row>
    <row r="1281" spans="1:7" x14ac:dyDescent="0.3">
      <c r="A1281" s="11"/>
      <c r="B1281" s="38">
        <f>IF($A1281="","",IFERROR(IF(INDEX(Pledges!$D$5:$D$2500,MATCH($G1281,Pledges!$K$5:$K$2500,0))="","⚠ no amount on Pledges",IF(INDEX(Pledges!$B$5:$B$2500,MATCH($G1281,Pledges!$K$5:$K$2500,0))="","",INDEX(Pledges!$B$5:$B$2500,MATCH($G1281,Pledges!$K$5:$K$2500,0)))),"⚠ phone not in Pledges"))</f>
      </c>
      <c r="C1281" s="12"/>
      <c r="D1281" s="13"/>
      <c r="E1281" s="22"/>
      <c r="F1281" s="23"/>
      <c r="G1281">
        <f>IF($A1281="","","#"&amp;TRIM(SUBSTITUTE(SUBSTITUTE(SUBSTITUTE(SUBSTITUTE(SUBSTITUTE(SUBSTITUTE($A1281,"-",""),"(",""),")",""),".",""),"+","")," ","")))</f>
      </c>
    </row>
    <row r="1282" spans="1:7" x14ac:dyDescent="0.3">
      <c r="A1282" s="11"/>
      <c r="B1282" s="38">
        <f>IF($A1282="","",IFERROR(IF(INDEX(Pledges!$D$5:$D$2500,MATCH($G1282,Pledges!$K$5:$K$2500,0))="","⚠ no amount on Pledges",IF(INDEX(Pledges!$B$5:$B$2500,MATCH($G1282,Pledges!$K$5:$K$2500,0))="","",INDEX(Pledges!$B$5:$B$2500,MATCH($G1282,Pledges!$K$5:$K$2500,0)))),"⚠ phone not in Pledges"))</f>
      </c>
      <c r="C1282" s="12"/>
      <c r="D1282" s="13"/>
      <c r="E1282" s="22"/>
      <c r="F1282" s="23"/>
      <c r="G1282">
        <f>IF($A1282="","","#"&amp;TRIM(SUBSTITUTE(SUBSTITUTE(SUBSTITUTE(SUBSTITUTE(SUBSTITUTE(SUBSTITUTE($A1282,"-",""),"(",""),")",""),".",""),"+","")," ","")))</f>
      </c>
    </row>
    <row r="1283" spans="1:7" x14ac:dyDescent="0.3">
      <c r="A1283" s="11"/>
      <c r="B1283" s="38">
        <f>IF($A1283="","",IFERROR(IF(INDEX(Pledges!$D$5:$D$2500,MATCH($G1283,Pledges!$K$5:$K$2500,0))="","⚠ no amount on Pledges",IF(INDEX(Pledges!$B$5:$B$2500,MATCH($G1283,Pledges!$K$5:$K$2500,0))="","",INDEX(Pledges!$B$5:$B$2500,MATCH($G1283,Pledges!$K$5:$K$2500,0)))),"⚠ phone not in Pledges"))</f>
      </c>
      <c r="C1283" s="12"/>
      <c r="D1283" s="13"/>
      <c r="E1283" s="22"/>
      <c r="F1283" s="23"/>
      <c r="G1283">
        <f>IF($A1283="","","#"&amp;TRIM(SUBSTITUTE(SUBSTITUTE(SUBSTITUTE(SUBSTITUTE(SUBSTITUTE(SUBSTITUTE($A1283,"-",""),"(",""),")",""),".",""),"+","")," ","")))</f>
      </c>
    </row>
    <row r="1284" spans="1:7" x14ac:dyDescent="0.3">
      <c r="A1284" s="11"/>
      <c r="B1284" s="38">
        <f>IF($A1284="","",IFERROR(IF(INDEX(Pledges!$D$5:$D$2500,MATCH($G1284,Pledges!$K$5:$K$2500,0))="","⚠ no amount on Pledges",IF(INDEX(Pledges!$B$5:$B$2500,MATCH($G1284,Pledges!$K$5:$K$2500,0))="","",INDEX(Pledges!$B$5:$B$2500,MATCH($G1284,Pledges!$K$5:$K$2500,0)))),"⚠ phone not in Pledges"))</f>
      </c>
      <c r="C1284" s="12"/>
      <c r="D1284" s="13"/>
      <c r="E1284" s="22"/>
      <c r="F1284" s="23"/>
      <c r="G1284">
        <f>IF($A1284="","","#"&amp;TRIM(SUBSTITUTE(SUBSTITUTE(SUBSTITUTE(SUBSTITUTE(SUBSTITUTE(SUBSTITUTE($A1284,"-",""),"(",""),")",""),".",""),"+","")," ","")))</f>
      </c>
    </row>
    <row r="1285" spans="1:7" x14ac:dyDescent="0.3">
      <c r="A1285" s="11"/>
      <c r="B1285" s="38">
        <f>IF($A1285="","",IFERROR(IF(INDEX(Pledges!$D$5:$D$2500,MATCH($G1285,Pledges!$K$5:$K$2500,0))="","⚠ no amount on Pledges",IF(INDEX(Pledges!$B$5:$B$2500,MATCH($G1285,Pledges!$K$5:$K$2500,0))="","",INDEX(Pledges!$B$5:$B$2500,MATCH($G1285,Pledges!$K$5:$K$2500,0)))),"⚠ phone not in Pledges"))</f>
      </c>
      <c r="C1285" s="12"/>
      <c r="D1285" s="13"/>
      <c r="E1285" s="22"/>
      <c r="F1285" s="23"/>
      <c r="G1285">
        <f>IF($A1285="","","#"&amp;TRIM(SUBSTITUTE(SUBSTITUTE(SUBSTITUTE(SUBSTITUTE(SUBSTITUTE(SUBSTITUTE($A1285,"-",""),"(",""),")",""),".",""),"+","")," ","")))</f>
      </c>
    </row>
    <row r="1286" spans="1:7" x14ac:dyDescent="0.3">
      <c r="A1286" s="11"/>
      <c r="B1286" s="38">
        <f>IF($A1286="","",IFERROR(IF(INDEX(Pledges!$D$5:$D$2500,MATCH($G1286,Pledges!$K$5:$K$2500,0))="","⚠ no amount on Pledges",IF(INDEX(Pledges!$B$5:$B$2500,MATCH($G1286,Pledges!$K$5:$K$2500,0))="","",INDEX(Pledges!$B$5:$B$2500,MATCH($G1286,Pledges!$K$5:$K$2500,0)))),"⚠ phone not in Pledges"))</f>
      </c>
      <c r="C1286" s="12"/>
      <c r="D1286" s="13"/>
      <c r="E1286" s="22"/>
      <c r="F1286" s="23"/>
      <c r="G1286">
        <f>IF($A1286="","","#"&amp;TRIM(SUBSTITUTE(SUBSTITUTE(SUBSTITUTE(SUBSTITUTE(SUBSTITUTE(SUBSTITUTE($A1286,"-",""),"(",""),")",""),".",""),"+","")," ","")))</f>
      </c>
    </row>
    <row r="1287" spans="1:7" x14ac:dyDescent="0.3">
      <c r="A1287" s="11"/>
      <c r="B1287" s="38">
        <f>IF($A1287="","",IFERROR(IF(INDEX(Pledges!$D$5:$D$2500,MATCH($G1287,Pledges!$K$5:$K$2500,0))="","⚠ no amount on Pledges",IF(INDEX(Pledges!$B$5:$B$2500,MATCH($G1287,Pledges!$K$5:$K$2500,0))="","",INDEX(Pledges!$B$5:$B$2500,MATCH($G1287,Pledges!$K$5:$K$2500,0)))),"⚠ phone not in Pledges"))</f>
      </c>
      <c r="C1287" s="12"/>
      <c r="D1287" s="13"/>
      <c r="E1287" s="22"/>
      <c r="F1287" s="23"/>
      <c r="G1287">
        <f>IF($A1287="","","#"&amp;TRIM(SUBSTITUTE(SUBSTITUTE(SUBSTITUTE(SUBSTITUTE(SUBSTITUTE(SUBSTITUTE($A1287,"-",""),"(",""),")",""),".",""),"+","")," ","")))</f>
      </c>
    </row>
    <row r="1288" spans="1:7" x14ac:dyDescent="0.3">
      <c r="A1288" s="11"/>
      <c r="B1288" s="38">
        <f>IF($A1288="","",IFERROR(IF(INDEX(Pledges!$D$5:$D$2500,MATCH($G1288,Pledges!$K$5:$K$2500,0))="","⚠ no amount on Pledges",IF(INDEX(Pledges!$B$5:$B$2500,MATCH($G1288,Pledges!$K$5:$K$2500,0))="","",INDEX(Pledges!$B$5:$B$2500,MATCH($G1288,Pledges!$K$5:$K$2500,0)))),"⚠ phone not in Pledges"))</f>
      </c>
      <c r="C1288" s="12"/>
      <c r="D1288" s="13"/>
      <c r="E1288" s="22"/>
      <c r="F1288" s="23"/>
      <c r="G1288">
        <f>IF($A1288="","","#"&amp;TRIM(SUBSTITUTE(SUBSTITUTE(SUBSTITUTE(SUBSTITUTE(SUBSTITUTE(SUBSTITUTE($A1288,"-",""),"(",""),")",""),".",""),"+","")," ","")))</f>
      </c>
    </row>
    <row r="1289" spans="1:7" x14ac:dyDescent="0.3">
      <c r="A1289" s="11"/>
      <c r="B1289" s="38">
        <f>IF($A1289="","",IFERROR(IF(INDEX(Pledges!$D$5:$D$2500,MATCH($G1289,Pledges!$K$5:$K$2500,0))="","⚠ no amount on Pledges",IF(INDEX(Pledges!$B$5:$B$2500,MATCH($G1289,Pledges!$K$5:$K$2500,0))="","",INDEX(Pledges!$B$5:$B$2500,MATCH($G1289,Pledges!$K$5:$K$2500,0)))),"⚠ phone not in Pledges"))</f>
      </c>
      <c r="C1289" s="12"/>
      <c r="D1289" s="13"/>
      <c r="E1289" s="22"/>
      <c r="F1289" s="23"/>
      <c r="G1289">
        <f>IF($A1289="","","#"&amp;TRIM(SUBSTITUTE(SUBSTITUTE(SUBSTITUTE(SUBSTITUTE(SUBSTITUTE(SUBSTITUTE($A1289,"-",""),"(",""),")",""),".",""),"+","")," ","")))</f>
      </c>
    </row>
    <row r="1290" spans="1:7" x14ac:dyDescent="0.3">
      <c r="A1290" s="11"/>
      <c r="B1290" s="38">
        <f>IF($A1290="","",IFERROR(IF(INDEX(Pledges!$D$5:$D$2500,MATCH($G1290,Pledges!$K$5:$K$2500,0))="","⚠ no amount on Pledges",IF(INDEX(Pledges!$B$5:$B$2500,MATCH($G1290,Pledges!$K$5:$K$2500,0))="","",INDEX(Pledges!$B$5:$B$2500,MATCH($G1290,Pledges!$K$5:$K$2500,0)))),"⚠ phone not in Pledges"))</f>
      </c>
      <c r="C1290" s="12"/>
      <c r="D1290" s="13"/>
      <c r="E1290" s="22"/>
      <c r="F1290" s="23"/>
      <c r="G1290">
        <f>IF($A1290="","","#"&amp;TRIM(SUBSTITUTE(SUBSTITUTE(SUBSTITUTE(SUBSTITUTE(SUBSTITUTE(SUBSTITUTE($A1290,"-",""),"(",""),")",""),".",""),"+","")," ","")))</f>
      </c>
    </row>
    <row r="1291" spans="1:7" x14ac:dyDescent="0.3">
      <c r="A1291" s="11"/>
      <c r="B1291" s="38">
        <f>IF($A1291="","",IFERROR(IF(INDEX(Pledges!$D$5:$D$2500,MATCH($G1291,Pledges!$K$5:$K$2500,0))="","⚠ no amount on Pledges",IF(INDEX(Pledges!$B$5:$B$2500,MATCH($G1291,Pledges!$K$5:$K$2500,0))="","",INDEX(Pledges!$B$5:$B$2500,MATCH($G1291,Pledges!$K$5:$K$2500,0)))),"⚠ phone not in Pledges"))</f>
      </c>
      <c r="C1291" s="12"/>
      <c r="D1291" s="13"/>
      <c r="E1291" s="22"/>
      <c r="F1291" s="23"/>
      <c r="G1291">
        <f>IF($A1291="","","#"&amp;TRIM(SUBSTITUTE(SUBSTITUTE(SUBSTITUTE(SUBSTITUTE(SUBSTITUTE(SUBSTITUTE($A1291,"-",""),"(",""),")",""),".",""),"+","")," ","")))</f>
      </c>
    </row>
    <row r="1292" spans="1:7" x14ac:dyDescent="0.3">
      <c r="A1292" s="11"/>
      <c r="B1292" s="38">
        <f>IF($A1292="","",IFERROR(IF(INDEX(Pledges!$D$5:$D$2500,MATCH($G1292,Pledges!$K$5:$K$2500,0))="","⚠ no amount on Pledges",IF(INDEX(Pledges!$B$5:$B$2500,MATCH($G1292,Pledges!$K$5:$K$2500,0))="","",INDEX(Pledges!$B$5:$B$2500,MATCH($G1292,Pledges!$K$5:$K$2500,0)))),"⚠ phone not in Pledges"))</f>
      </c>
      <c r="C1292" s="12"/>
      <c r="D1292" s="13"/>
      <c r="E1292" s="22"/>
      <c r="F1292" s="23"/>
      <c r="G1292">
        <f>IF($A1292="","","#"&amp;TRIM(SUBSTITUTE(SUBSTITUTE(SUBSTITUTE(SUBSTITUTE(SUBSTITUTE(SUBSTITUTE($A1292,"-",""),"(",""),")",""),".",""),"+","")," ","")))</f>
      </c>
    </row>
    <row r="1293" spans="1:7" x14ac:dyDescent="0.3">
      <c r="A1293" s="11"/>
      <c r="B1293" s="38">
        <f>IF($A1293="","",IFERROR(IF(INDEX(Pledges!$D$5:$D$2500,MATCH($G1293,Pledges!$K$5:$K$2500,0))="","⚠ no amount on Pledges",IF(INDEX(Pledges!$B$5:$B$2500,MATCH($G1293,Pledges!$K$5:$K$2500,0))="","",INDEX(Pledges!$B$5:$B$2500,MATCH($G1293,Pledges!$K$5:$K$2500,0)))),"⚠ phone not in Pledges"))</f>
      </c>
      <c r="C1293" s="12"/>
      <c r="D1293" s="13"/>
      <c r="E1293" s="22"/>
      <c r="F1293" s="23"/>
      <c r="G1293">
        <f>IF($A1293="","","#"&amp;TRIM(SUBSTITUTE(SUBSTITUTE(SUBSTITUTE(SUBSTITUTE(SUBSTITUTE(SUBSTITUTE($A1293,"-",""),"(",""),")",""),".",""),"+","")," ","")))</f>
      </c>
    </row>
    <row r="1294" spans="1:7" x14ac:dyDescent="0.3">
      <c r="A1294" s="11"/>
      <c r="B1294" s="38">
        <f>IF($A1294="","",IFERROR(IF(INDEX(Pledges!$D$5:$D$2500,MATCH($G1294,Pledges!$K$5:$K$2500,0))="","⚠ no amount on Pledges",IF(INDEX(Pledges!$B$5:$B$2500,MATCH($G1294,Pledges!$K$5:$K$2500,0))="","",INDEX(Pledges!$B$5:$B$2500,MATCH($G1294,Pledges!$K$5:$K$2500,0)))),"⚠ phone not in Pledges"))</f>
      </c>
      <c r="C1294" s="12"/>
      <c r="D1294" s="13"/>
      <c r="E1294" s="22"/>
      <c r="F1294" s="23"/>
      <c r="G1294">
        <f>IF($A1294="","","#"&amp;TRIM(SUBSTITUTE(SUBSTITUTE(SUBSTITUTE(SUBSTITUTE(SUBSTITUTE(SUBSTITUTE($A1294,"-",""),"(",""),")",""),".",""),"+","")," ","")))</f>
      </c>
    </row>
    <row r="1295" spans="1:7" x14ac:dyDescent="0.3">
      <c r="A1295" s="11"/>
      <c r="B1295" s="38">
        <f>IF($A1295="","",IFERROR(IF(INDEX(Pledges!$D$5:$D$2500,MATCH($G1295,Pledges!$K$5:$K$2500,0))="","⚠ no amount on Pledges",IF(INDEX(Pledges!$B$5:$B$2500,MATCH($G1295,Pledges!$K$5:$K$2500,0))="","",INDEX(Pledges!$B$5:$B$2500,MATCH($G1295,Pledges!$K$5:$K$2500,0)))),"⚠ phone not in Pledges"))</f>
      </c>
      <c r="C1295" s="12"/>
      <c r="D1295" s="13"/>
      <c r="E1295" s="22"/>
      <c r="F1295" s="23"/>
      <c r="G1295">
        <f>IF($A1295="","","#"&amp;TRIM(SUBSTITUTE(SUBSTITUTE(SUBSTITUTE(SUBSTITUTE(SUBSTITUTE(SUBSTITUTE($A1295,"-",""),"(",""),")",""),".",""),"+","")," ","")))</f>
      </c>
    </row>
    <row r="1296" spans="1:7" x14ac:dyDescent="0.3">
      <c r="A1296" s="11"/>
      <c r="B1296" s="38">
        <f>IF($A1296="","",IFERROR(IF(INDEX(Pledges!$D$5:$D$2500,MATCH($G1296,Pledges!$K$5:$K$2500,0))="","⚠ no amount on Pledges",IF(INDEX(Pledges!$B$5:$B$2500,MATCH($G1296,Pledges!$K$5:$K$2500,0))="","",INDEX(Pledges!$B$5:$B$2500,MATCH($G1296,Pledges!$K$5:$K$2500,0)))),"⚠ phone not in Pledges"))</f>
      </c>
      <c r="C1296" s="12"/>
      <c r="D1296" s="13"/>
      <c r="E1296" s="22"/>
      <c r="F1296" s="23"/>
      <c r="G1296">
        <f>IF($A1296="","","#"&amp;TRIM(SUBSTITUTE(SUBSTITUTE(SUBSTITUTE(SUBSTITUTE(SUBSTITUTE(SUBSTITUTE($A1296,"-",""),"(",""),")",""),".",""),"+","")," ","")))</f>
      </c>
    </row>
    <row r="1297" spans="1:7" x14ac:dyDescent="0.3">
      <c r="A1297" s="11"/>
      <c r="B1297" s="38">
        <f>IF($A1297="","",IFERROR(IF(INDEX(Pledges!$D$5:$D$2500,MATCH($G1297,Pledges!$K$5:$K$2500,0))="","⚠ no amount on Pledges",IF(INDEX(Pledges!$B$5:$B$2500,MATCH($G1297,Pledges!$K$5:$K$2500,0))="","",INDEX(Pledges!$B$5:$B$2500,MATCH($G1297,Pledges!$K$5:$K$2500,0)))),"⚠ phone not in Pledges"))</f>
      </c>
      <c r="C1297" s="12"/>
      <c r="D1297" s="13"/>
      <c r="E1297" s="22"/>
      <c r="F1297" s="23"/>
      <c r="G1297">
        <f>IF($A1297="","","#"&amp;TRIM(SUBSTITUTE(SUBSTITUTE(SUBSTITUTE(SUBSTITUTE(SUBSTITUTE(SUBSTITUTE($A1297,"-",""),"(",""),")",""),".",""),"+","")," ","")))</f>
      </c>
    </row>
    <row r="1298" spans="1:7" x14ac:dyDescent="0.3">
      <c r="A1298" s="11"/>
      <c r="B1298" s="38">
        <f>IF($A1298="","",IFERROR(IF(INDEX(Pledges!$D$5:$D$2500,MATCH($G1298,Pledges!$K$5:$K$2500,0))="","⚠ no amount on Pledges",IF(INDEX(Pledges!$B$5:$B$2500,MATCH($G1298,Pledges!$K$5:$K$2500,0))="","",INDEX(Pledges!$B$5:$B$2500,MATCH($G1298,Pledges!$K$5:$K$2500,0)))),"⚠ phone not in Pledges"))</f>
      </c>
      <c r="C1298" s="12"/>
      <c r="D1298" s="13"/>
      <c r="E1298" s="22"/>
      <c r="F1298" s="23"/>
      <c r="G1298">
        <f>IF($A1298="","","#"&amp;TRIM(SUBSTITUTE(SUBSTITUTE(SUBSTITUTE(SUBSTITUTE(SUBSTITUTE(SUBSTITUTE($A1298,"-",""),"(",""),")",""),".",""),"+","")," ","")))</f>
      </c>
    </row>
    <row r="1299" spans="1:7" x14ac:dyDescent="0.3">
      <c r="A1299" s="11"/>
      <c r="B1299" s="38">
        <f>IF($A1299="","",IFERROR(IF(INDEX(Pledges!$D$5:$D$2500,MATCH($G1299,Pledges!$K$5:$K$2500,0))="","⚠ no amount on Pledges",IF(INDEX(Pledges!$B$5:$B$2500,MATCH($G1299,Pledges!$K$5:$K$2500,0))="","",INDEX(Pledges!$B$5:$B$2500,MATCH($G1299,Pledges!$K$5:$K$2500,0)))),"⚠ phone not in Pledges"))</f>
      </c>
      <c r="C1299" s="12"/>
      <c r="D1299" s="13"/>
      <c r="E1299" s="22"/>
      <c r="F1299" s="23"/>
      <c r="G1299">
        <f>IF($A1299="","","#"&amp;TRIM(SUBSTITUTE(SUBSTITUTE(SUBSTITUTE(SUBSTITUTE(SUBSTITUTE(SUBSTITUTE($A1299,"-",""),"(",""),")",""),".",""),"+","")," ","")))</f>
      </c>
    </row>
    <row r="1300" spans="1:7" x14ac:dyDescent="0.3">
      <c r="A1300" s="11"/>
      <c r="B1300" s="38">
        <f>IF($A1300="","",IFERROR(IF(INDEX(Pledges!$D$5:$D$2500,MATCH($G1300,Pledges!$K$5:$K$2500,0))="","⚠ no amount on Pledges",IF(INDEX(Pledges!$B$5:$B$2500,MATCH($G1300,Pledges!$K$5:$K$2500,0))="","",INDEX(Pledges!$B$5:$B$2500,MATCH($G1300,Pledges!$K$5:$K$2500,0)))),"⚠ phone not in Pledges"))</f>
      </c>
      <c r="C1300" s="12"/>
      <c r="D1300" s="13"/>
      <c r="E1300" s="22"/>
      <c r="F1300" s="23"/>
      <c r="G1300">
        <f>IF($A1300="","","#"&amp;TRIM(SUBSTITUTE(SUBSTITUTE(SUBSTITUTE(SUBSTITUTE(SUBSTITUTE(SUBSTITUTE($A1300,"-",""),"(",""),")",""),".",""),"+","")," ","")))</f>
      </c>
    </row>
    <row r="1301" spans="1:7" x14ac:dyDescent="0.3">
      <c r="A1301" s="11"/>
      <c r="B1301" s="38">
        <f>IF($A1301="","",IFERROR(IF(INDEX(Pledges!$D$5:$D$2500,MATCH($G1301,Pledges!$K$5:$K$2500,0))="","⚠ no amount on Pledges",IF(INDEX(Pledges!$B$5:$B$2500,MATCH($G1301,Pledges!$K$5:$K$2500,0))="","",INDEX(Pledges!$B$5:$B$2500,MATCH($G1301,Pledges!$K$5:$K$2500,0)))),"⚠ phone not in Pledges"))</f>
      </c>
      <c r="C1301" s="12"/>
      <c r="D1301" s="13"/>
      <c r="E1301" s="22"/>
      <c r="F1301" s="23"/>
      <c r="G1301">
        <f>IF($A1301="","","#"&amp;TRIM(SUBSTITUTE(SUBSTITUTE(SUBSTITUTE(SUBSTITUTE(SUBSTITUTE(SUBSTITUTE($A1301,"-",""),"(",""),")",""),".",""),"+","")," ","")))</f>
      </c>
    </row>
    <row r="1302" spans="1:7" x14ac:dyDescent="0.3">
      <c r="A1302" s="11"/>
      <c r="B1302" s="38">
        <f>IF($A1302="","",IFERROR(IF(INDEX(Pledges!$D$5:$D$2500,MATCH($G1302,Pledges!$K$5:$K$2500,0))="","⚠ no amount on Pledges",IF(INDEX(Pledges!$B$5:$B$2500,MATCH($G1302,Pledges!$K$5:$K$2500,0))="","",INDEX(Pledges!$B$5:$B$2500,MATCH($G1302,Pledges!$K$5:$K$2500,0)))),"⚠ phone not in Pledges"))</f>
      </c>
      <c r="C1302" s="12"/>
      <c r="D1302" s="13"/>
      <c r="E1302" s="22"/>
      <c r="F1302" s="23"/>
      <c r="G1302">
        <f>IF($A1302="","","#"&amp;TRIM(SUBSTITUTE(SUBSTITUTE(SUBSTITUTE(SUBSTITUTE(SUBSTITUTE(SUBSTITUTE($A1302,"-",""),"(",""),")",""),".",""),"+","")," ","")))</f>
      </c>
    </row>
    <row r="1303" spans="1:7" x14ac:dyDescent="0.3">
      <c r="A1303" s="11"/>
      <c r="B1303" s="38">
        <f>IF($A1303="","",IFERROR(IF(INDEX(Pledges!$D$5:$D$2500,MATCH($G1303,Pledges!$K$5:$K$2500,0))="","⚠ no amount on Pledges",IF(INDEX(Pledges!$B$5:$B$2500,MATCH($G1303,Pledges!$K$5:$K$2500,0))="","",INDEX(Pledges!$B$5:$B$2500,MATCH($G1303,Pledges!$K$5:$K$2500,0)))),"⚠ phone not in Pledges"))</f>
      </c>
      <c r="C1303" s="12"/>
      <c r="D1303" s="13"/>
      <c r="E1303" s="22"/>
      <c r="F1303" s="23"/>
      <c r="G1303">
        <f>IF($A1303="","","#"&amp;TRIM(SUBSTITUTE(SUBSTITUTE(SUBSTITUTE(SUBSTITUTE(SUBSTITUTE(SUBSTITUTE($A1303,"-",""),"(",""),")",""),".",""),"+","")," ","")))</f>
      </c>
    </row>
    <row r="1304" spans="1:7" x14ac:dyDescent="0.3">
      <c r="A1304" s="11"/>
      <c r="B1304" s="38">
        <f>IF($A1304="","",IFERROR(IF(INDEX(Pledges!$D$5:$D$2500,MATCH($G1304,Pledges!$K$5:$K$2500,0))="","⚠ no amount on Pledges",IF(INDEX(Pledges!$B$5:$B$2500,MATCH($G1304,Pledges!$K$5:$K$2500,0))="","",INDEX(Pledges!$B$5:$B$2500,MATCH($G1304,Pledges!$K$5:$K$2500,0)))),"⚠ phone not in Pledges"))</f>
      </c>
      <c r="C1304" s="12"/>
      <c r="D1304" s="13"/>
      <c r="E1304" s="22"/>
      <c r="F1304" s="23"/>
      <c r="G1304">
        <f>IF($A1304="","","#"&amp;TRIM(SUBSTITUTE(SUBSTITUTE(SUBSTITUTE(SUBSTITUTE(SUBSTITUTE(SUBSTITUTE($A1304,"-",""),"(",""),")",""),".",""),"+","")," ","")))</f>
      </c>
    </row>
    <row r="1305" spans="1:7" x14ac:dyDescent="0.3">
      <c r="A1305" s="11"/>
      <c r="B1305" s="38">
        <f>IF($A1305="","",IFERROR(IF(INDEX(Pledges!$D$5:$D$2500,MATCH($G1305,Pledges!$K$5:$K$2500,0))="","⚠ no amount on Pledges",IF(INDEX(Pledges!$B$5:$B$2500,MATCH($G1305,Pledges!$K$5:$K$2500,0))="","",INDEX(Pledges!$B$5:$B$2500,MATCH($G1305,Pledges!$K$5:$K$2500,0)))),"⚠ phone not in Pledges"))</f>
      </c>
      <c r="C1305" s="12"/>
      <c r="D1305" s="13"/>
      <c r="E1305" s="22"/>
      <c r="F1305" s="23"/>
      <c r="G1305">
        <f>IF($A1305="","","#"&amp;TRIM(SUBSTITUTE(SUBSTITUTE(SUBSTITUTE(SUBSTITUTE(SUBSTITUTE(SUBSTITUTE($A1305,"-",""),"(",""),")",""),".",""),"+","")," ","")))</f>
      </c>
    </row>
    <row r="1306" spans="1:7" x14ac:dyDescent="0.3">
      <c r="A1306" s="11"/>
      <c r="B1306" s="38">
        <f>IF($A1306="","",IFERROR(IF(INDEX(Pledges!$D$5:$D$2500,MATCH($G1306,Pledges!$K$5:$K$2500,0))="","⚠ no amount on Pledges",IF(INDEX(Pledges!$B$5:$B$2500,MATCH($G1306,Pledges!$K$5:$K$2500,0))="","",INDEX(Pledges!$B$5:$B$2500,MATCH($G1306,Pledges!$K$5:$K$2500,0)))),"⚠ phone not in Pledges"))</f>
      </c>
      <c r="C1306" s="12"/>
      <c r="D1306" s="13"/>
      <c r="E1306" s="22"/>
      <c r="F1306" s="23"/>
      <c r="G1306">
        <f>IF($A1306="","","#"&amp;TRIM(SUBSTITUTE(SUBSTITUTE(SUBSTITUTE(SUBSTITUTE(SUBSTITUTE(SUBSTITUTE($A1306,"-",""),"(",""),")",""),".",""),"+","")," ","")))</f>
      </c>
    </row>
    <row r="1307" spans="1:7" x14ac:dyDescent="0.3">
      <c r="A1307" s="11"/>
      <c r="B1307" s="38">
        <f>IF($A1307="","",IFERROR(IF(INDEX(Pledges!$D$5:$D$2500,MATCH($G1307,Pledges!$K$5:$K$2500,0))="","⚠ no amount on Pledges",IF(INDEX(Pledges!$B$5:$B$2500,MATCH($G1307,Pledges!$K$5:$K$2500,0))="","",INDEX(Pledges!$B$5:$B$2500,MATCH($G1307,Pledges!$K$5:$K$2500,0)))),"⚠ phone not in Pledges"))</f>
      </c>
      <c r="C1307" s="12"/>
      <c r="D1307" s="13"/>
      <c r="E1307" s="22"/>
      <c r="F1307" s="23"/>
      <c r="G1307">
        <f>IF($A1307="","","#"&amp;TRIM(SUBSTITUTE(SUBSTITUTE(SUBSTITUTE(SUBSTITUTE(SUBSTITUTE(SUBSTITUTE($A1307,"-",""),"(",""),")",""),".",""),"+","")," ","")))</f>
      </c>
    </row>
    <row r="1308" spans="1:7" x14ac:dyDescent="0.3">
      <c r="A1308" s="11"/>
      <c r="B1308" s="38">
        <f>IF($A1308="","",IFERROR(IF(INDEX(Pledges!$D$5:$D$2500,MATCH($G1308,Pledges!$K$5:$K$2500,0))="","⚠ no amount on Pledges",IF(INDEX(Pledges!$B$5:$B$2500,MATCH($G1308,Pledges!$K$5:$K$2500,0))="","",INDEX(Pledges!$B$5:$B$2500,MATCH($G1308,Pledges!$K$5:$K$2500,0)))),"⚠ phone not in Pledges"))</f>
      </c>
      <c r="C1308" s="12"/>
      <c r="D1308" s="13"/>
      <c r="E1308" s="22"/>
      <c r="F1308" s="23"/>
      <c r="G1308">
        <f>IF($A1308="","","#"&amp;TRIM(SUBSTITUTE(SUBSTITUTE(SUBSTITUTE(SUBSTITUTE(SUBSTITUTE(SUBSTITUTE($A1308,"-",""),"(",""),")",""),".",""),"+","")," ","")))</f>
      </c>
    </row>
    <row r="1309" spans="1:7" x14ac:dyDescent="0.3">
      <c r="A1309" s="11"/>
      <c r="B1309" s="38">
        <f>IF($A1309="","",IFERROR(IF(INDEX(Pledges!$D$5:$D$2500,MATCH($G1309,Pledges!$K$5:$K$2500,0))="","⚠ no amount on Pledges",IF(INDEX(Pledges!$B$5:$B$2500,MATCH($G1309,Pledges!$K$5:$K$2500,0))="","",INDEX(Pledges!$B$5:$B$2500,MATCH($G1309,Pledges!$K$5:$K$2500,0)))),"⚠ phone not in Pledges"))</f>
      </c>
      <c r="C1309" s="12"/>
      <c r="D1309" s="13"/>
      <c r="E1309" s="22"/>
      <c r="F1309" s="23"/>
      <c r="G1309">
        <f>IF($A1309="","","#"&amp;TRIM(SUBSTITUTE(SUBSTITUTE(SUBSTITUTE(SUBSTITUTE(SUBSTITUTE(SUBSTITUTE($A1309,"-",""),"(",""),")",""),".",""),"+","")," ","")))</f>
      </c>
    </row>
    <row r="1310" spans="1:7" x14ac:dyDescent="0.3">
      <c r="A1310" s="11"/>
      <c r="B1310" s="38">
        <f>IF($A1310="","",IFERROR(IF(INDEX(Pledges!$D$5:$D$2500,MATCH($G1310,Pledges!$K$5:$K$2500,0))="","⚠ no amount on Pledges",IF(INDEX(Pledges!$B$5:$B$2500,MATCH($G1310,Pledges!$K$5:$K$2500,0))="","",INDEX(Pledges!$B$5:$B$2500,MATCH($G1310,Pledges!$K$5:$K$2500,0)))),"⚠ phone not in Pledges"))</f>
      </c>
      <c r="C1310" s="12"/>
      <c r="D1310" s="13"/>
      <c r="E1310" s="22"/>
      <c r="F1310" s="23"/>
      <c r="G1310">
        <f>IF($A1310="","","#"&amp;TRIM(SUBSTITUTE(SUBSTITUTE(SUBSTITUTE(SUBSTITUTE(SUBSTITUTE(SUBSTITUTE($A1310,"-",""),"(",""),")",""),".",""),"+","")," ","")))</f>
      </c>
    </row>
    <row r="1311" spans="1:7" x14ac:dyDescent="0.3">
      <c r="A1311" s="11"/>
      <c r="B1311" s="38">
        <f>IF($A1311="","",IFERROR(IF(INDEX(Pledges!$D$5:$D$2500,MATCH($G1311,Pledges!$K$5:$K$2500,0))="","⚠ no amount on Pledges",IF(INDEX(Pledges!$B$5:$B$2500,MATCH($G1311,Pledges!$K$5:$K$2500,0))="","",INDEX(Pledges!$B$5:$B$2500,MATCH($G1311,Pledges!$K$5:$K$2500,0)))),"⚠ phone not in Pledges"))</f>
      </c>
      <c r="C1311" s="12"/>
      <c r="D1311" s="13"/>
      <c r="E1311" s="22"/>
      <c r="F1311" s="23"/>
      <c r="G1311">
        <f>IF($A1311="","","#"&amp;TRIM(SUBSTITUTE(SUBSTITUTE(SUBSTITUTE(SUBSTITUTE(SUBSTITUTE(SUBSTITUTE($A1311,"-",""),"(",""),")",""),".",""),"+","")," ","")))</f>
      </c>
    </row>
    <row r="1312" spans="1:7" x14ac:dyDescent="0.3">
      <c r="A1312" s="11"/>
      <c r="B1312" s="38">
        <f>IF($A1312="","",IFERROR(IF(INDEX(Pledges!$D$5:$D$2500,MATCH($G1312,Pledges!$K$5:$K$2500,0))="","⚠ no amount on Pledges",IF(INDEX(Pledges!$B$5:$B$2500,MATCH($G1312,Pledges!$K$5:$K$2500,0))="","",INDEX(Pledges!$B$5:$B$2500,MATCH($G1312,Pledges!$K$5:$K$2500,0)))),"⚠ phone not in Pledges"))</f>
      </c>
      <c r="C1312" s="12"/>
      <c r="D1312" s="13"/>
      <c r="E1312" s="22"/>
      <c r="F1312" s="23"/>
      <c r="G1312">
        <f>IF($A1312="","","#"&amp;TRIM(SUBSTITUTE(SUBSTITUTE(SUBSTITUTE(SUBSTITUTE(SUBSTITUTE(SUBSTITUTE($A1312,"-",""),"(",""),")",""),".",""),"+","")," ","")))</f>
      </c>
    </row>
    <row r="1313" spans="1:7" x14ac:dyDescent="0.3">
      <c r="A1313" s="11"/>
      <c r="B1313" s="38">
        <f>IF($A1313="","",IFERROR(IF(INDEX(Pledges!$D$5:$D$2500,MATCH($G1313,Pledges!$K$5:$K$2500,0))="","⚠ no amount on Pledges",IF(INDEX(Pledges!$B$5:$B$2500,MATCH($G1313,Pledges!$K$5:$K$2500,0))="","",INDEX(Pledges!$B$5:$B$2500,MATCH($G1313,Pledges!$K$5:$K$2500,0)))),"⚠ phone not in Pledges"))</f>
      </c>
      <c r="C1313" s="12"/>
      <c r="D1313" s="13"/>
      <c r="E1313" s="22"/>
      <c r="F1313" s="23"/>
      <c r="G1313">
        <f>IF($A1313="","","#"&amp;TRIM(SUBSTITUTE(SUBSTITUTE(SUBSTITUTE(SUBSTITUTE(SUBSTITUTE(SUBSTITUTE($A1313,"-",""),"(",""),")",""),".",""),"+","")," ","")))</f>
      </c>
    </row>
    <row r="1314" spans="1:7" x14ac:dyDescent="0.3">
      <c r="A1314" s="11"/>
      <c r="B1314" s="38">
        <f>IF($A1314="","",IFERROR(IF(INDEX(Pledges!$D$5:$D$2500,MATCH($G1314,Pledges!$K$5:$K$2500,0))="","⚠ no amount on Pledges",IF(INDEX(Pledges!$B$5:$B$2500,MATCH($G1314,Pledges!$K$5:$K$2500,0))="","",INDEX(Pledges!$B$5:$B$2500,MATCH($G1314,Pledges!$K$5:$K$2500,0)))),"⚠ phone not in Pledges"))</f>
      </c>
      <c r="C1314" s="12"/>
      <c r="D1314" s="13"/>
      <c r="E1314" s="22"/>
      <c r="F1314" s="23"/>
      <c r="G1314">
        <f>IF($A1314="","","#"&amp;TRIM(SUBSTITUTE(SUBSTITUTE(SUBSTITUTE(SUBSTITUTE(SUBSTITUTE(SUBSTITUTE($A1314,"-",""),"(",""),")",""),".",""),"+","")," ","")))</f>
      </c>
    </row>
    <row r="1315" spans="1:7" x14ac:dyDescent="0.3">
      <c r="A1315" s="11"/>
      <c r="B1315" s="38">
        <f>IF($A1315="","",IFERROR(IF(INDEX(Pledges!$D$5:$D$2500,MATCH($G1315,Pledges!$K$5:$K$2500,0))="","⚠ no amount on Pledges",IF(INDEX(Pledges!$B$5:$B$2500,MATCH($G1315,Pledges!$K$5:$K$2500,0))="","",INDEX(Pledges!$B$5:$B$2500,MATCH($G1315,Pledges!$K$5:$K$2500,0)))),"⚠ phone not in Pledges"))</f>
      </c>
      <c r="C1315" s="12"/>
      <c r="D1315" s="13"/>
      <c r="E1315" s="22"/>
      <c r="F1315" s="23"/>
      <c r="G1315">
        <f>IF($A1315="","","#"&amp;TRIM(SUBSTITUTE(SUBSTITUTE(SUBSTITUTE(SUBSTITUTE(SUBSTITUTE(SUBSTITUTE($A1315,"-",""),"(",""),")",""),".",""),"+","")," ","")))</f>
      </c>
    </row>
    <row r="1316" spans="1:7" x14ac:dyDescent="0.3">
      <c r="A1316" s="11"/>
      <c r="B1316" s="38">
        <f>IF($A1316="","",IFERROR(IF(INDEX(Pledges!$D$5:$D$2500,MATCH($G1316,Pledges!$K$5:$K$2500,0))="","⚠ no amount on Pledges",IF(INDEX(Pledges!$B$5:$B$2500,MATCH($G1316,Pledges!$K$5:$K$2500,0))="","",INDEX(Pledges!$B$5:$B$2500,MATCH($G1316,Pledges!$K$5:$K$2500,0)))),"⚠ phone not in Pledges"))</f>
      </c>
      <c r="C1316" s="12"/>
      <c r="D1316" s="13"/>
      <c r="E1316" s="22"/>
      <c r="F1316" s="23"/>
      <c r="G1316">
        <f>IF($A1316="","","#"&amp;TRIM(SUBSTITUTE(SUBSTITUTE(SUBSTITUTE(SUBSTITUTE(SUBSTITUTE(SUBSTITUTE($A1316,"-",""),"(",""),")",""),".",""),"+","")," ","")))</f>
      </c>
    </row>
    <row r="1317" spans="1:7" x14ac:dyDescent="0.3">
      <c r="A1317" s="11"/>
      <c r="B1317" s="38">
        <f>IF($A1317="","",IFERROR(IF(INDEX(Pledges!$D$5:$D$2500,MATCH($G1317,Pledges!$K$5:$K$2500,0))="","⚠ no amount on Pledges",IF(INDEX(Pledges!$B$5:$B$2500,MATCH($G1317,Pledges!$K$5:$K$2500,0))="","",INDEX(Pledges!$B$5:$B$2500,MATCH($G1317,Pledges!$K$5:$K$2500,0)))),"⚠ phone not in Pledges"))</f>
      </c>
      <c r="C1317" s="12"/>
      <c r="D1317" s="13"/>
      <c r="E1317" s="22"/>
      <c r="F1317" s="23"/>
      <c r="G1317">
        <f>IF($A1317="","","#"&amp;TRIM(SUBSTITUTE(SUBSTITUTE(SUBSTITUTE(SUBSTITUTE(SUBSTITUTE(SUBSTITUTE($A1317,"-",""),"(",""),")",""),".",""),"+","")," ","")))</f>
      </c>
    </row>
    <row r="1318" spans="1:7" x14ac:dyDescent="0.3">
      <c r="A1318" s="11"/>
      <c r="B1318" s="38">
        <f>IF($A1318="","",IFERROR(IF(INDEX(Pledges!$D$5:$D$2500,MATCH($G1318,Pledges!$K$5:$K$2500,0))="","⚠ no amount on Pledges",IF(INDEX(Pledges!$B$5:$B$2500,MATCH($G1318,Pledges!$K$5:$K$2500,0))="","",INDEX(Pledges!$B$5:$B$2500,MATCH($G1318,Pledges!$K$5:$K$2500,0)))),"⚠ phone not in Pledges"))</f>
      </c>
      <c r="C1318" s="12"/>
      <c r="D1318" s="13"/>
      <c r="E1318" s="22"/>
      <c r="F1318" s="23"/>
      <c r="G1318">
        <f>IF($A1318="","","#"&amp;TRIM(SUBSTITUTE(SUBSTITUTE(SUBSTITUTE(SUBSTITUTE(SUBSTITUTE(SUBSTITUTE($A1318,"-",""),"(",""),")",""),".",""),"+","")," ","")))</f>
      </c>
    </row>
    <row r="1319" spans="1:7" x14ac:dyDescent="0.3">
      <c r="A1319" s="11"/>
      <c r="B1319" s="38">
        <f>IF($A1319="","",IFERROR(IF(INDEX(Pledges!$D$5:$D$2500,MATCH($G1319,Pledges!$K$5:$K$2500,0))="","⚠ no amount on Pledges",IF(INDEX(Pledges!$B$5:$B$2500,MATCH($G1319,Pledges!$K$5:$K$2500,0))="","",INDEX(Pledges!$B$5:$B$2500,MATCH($G1319,Pledges!$K$5:$K$2500,0)))),"⚠ phone not in Pledges"))</f>
      </c>
      <c r="C1319" s="12"/>
      <c r="D1319" s="13"/>
      <c r="E1319" s="22"/>
      <c r="F1319" s="23"/>
      <c r="G1319">
        <f>IF($A1319="","","#"&amp;TRIM(SUBSTITUTE(SUBSTITUTE(SUBSTITUTE(SUBSTITUTE(SUBSTITUTE(SUBSTITUTE($A1319,"-",""),"(",""),")",""),".",""),"+","")," ","")))</f>
      </c>
    </row>
    <row r="1320" spans="1:7" x14ac:dyDescent="0.3">
      <c r="A1320" s="11"/>
      <c r="B1320" s="38">
        <f>IF($A1320="","",IFERROR(IF(INDEX(Pledges!$D$5:$D$2500,MATCH($G1320,Pledges!$K$5:$K$2500,0))="","⚠ no amount on Pledges",IF(INDEX(Pledges!$B$5:$B$2500,MATCH($G1320,Pledges!$K$5:$K$2500,0))="","",INDEX(Pledges!$B$5:$B$2500,MATCH($G1320,Pledges!$K$5:$K$2500,0)))),"⚠ phone not in Pledges"))</f>
      </c>
      <c r="C1320" s="12"/>
      <c r="D1320" s="13"/>
      <c r="E1320" s="22"/>
      <c r="F1320" s="23"/>
      <c r="G1320">
        <f>IF($A1320="","","#"&amp;TRIM(SUBSTITUTE(SUBSTITUTE(SUBSTITUTE(SUBSTITUTE(SUBSTITUTE(SUBSTITUTE($A1320,"-",""),"(",""),")",""),".",""),"+","")," ","")))</f>
      </c>
    </row>
    <row r="1321" spans="1:7" x14ac:dyDescent="0.3">
      <c r="A1321" s="11"/>
      <c r="B1321" s="38">
        <f>IF($A1321="","",IFERROR(IF(INDEX(Pledges!$D$5:$D$2500,MATCH($G1321,Pledges!$K$5:$K$2500,0))="","⚠ no amount on Pledges",IF(INDEX(Pledges!$B$5:$B$2500,MATCH($G1321,Pledges!$K$5:$K$2500,0))="","",INDEX(Pledges!$B$5:$B$2500,MATCH($G1321,Pledges!$K$5:$K$2500,0)))),"⚠ phone not in Pledges"))</f>
      </c>
      <c r="C1321" s="12"/>
      <c r="D1321" s="13"/>
      <c r="E1321" s="22"/>
      <c r="F1321" s="23"/>
      <c r="G1321">
        <f>IF($A1321="","","#"&amp;TRIM(SUBSTITUTE(SUBSTITUTE(SUBSTITUTE(SUBSTITUTE(SUBSTITUTE(SUBSTITUTE($A1321,"-",""),"(",""),")",""),".",""),"+","")," ","")))</f>
      </c>
    </row>
    <row r="1322" spans="1:7" x14ac:dyDescent="0.3">
      <c r="A1322" s="11"/>
      <c r="B1322" s="38">
        <f>IF($A1322="","",IFERROR(IF(INDEX(Pledges!$D$5:$D$2500,MATCH($G1322,Pledges!$K$5:$K$2500,0))="","⚠ no amount on Pledges",IF(INDEX(Pledges!$B$5:$B$2500,MATCH($G1322,Pledges!$K$5:$K$2500,0))="","",INDEX(Pledges!$B$5:$B$2500,MATCH($G1322,Pledges!$K$5:$K$2500,0)))),"⚠ phone not in Pledges"))</f>
      </c>
      <c r="C1322" s="12"/>
      <c r="D1322" s="13"/>
      <c r="E1322" s="22"/>
      <c r="F1322" s="23"/>
      <c r="G1322">
        <f>IF($A1322="","","#"&amp;TRIM(SUBSTITUTE(SUBSTITUTE(SUBSTITUTE(SUBSTITUTE(SUBSTITUTE(SUBSTITUTE($A1322,"-",""),"(",""),")",""),".",""),"+","")," ","")))</f>
      </c>
    </row>
    <row r="1323" spans="1:7" x14ac:dyDescent="0.3">
      <c r="A1323" s="11"/>
      <c r="B1323" s="38">
        <f>IF($A1323="","",IFERROR(IF(INDEX(Pledges!$D$5:$D$2500,MATCH($G1323,Pledges!$K$5:$K$2500,0))="","⚠ no amount on Pledges",IF(INDEX(Pledges!$B$5:$B$2500,MATCH($G1323,Pledges!$K$5:$K$2500,0))="","",INDEX(Pledges!$B$5:$B$2500,MATCH($G1323,Pledges!$K$5:$K$2500,0)))),"⚠ phone not in Pledges"))</f>
      </c>
      <c r="C1323" s="12"/>
      <c r="D1323" s="13"/>
      <c r="E1323" s="22"/>
      <c r="F1323" s="23"/>
      <c r="G1323">
        <f>IF($A1323="","","#"&amp;TRIM(SUBSTITUTE(SUBSTITUTE(SUBSTITUTE(SUBSTITUTE(SUBSTITUTE(SUBSTITUTE($A1323,"-",""),"(",""),")",""),".",""),"+","")," ","")))</f>
      </c>
    </row>
    <row r="1324" spans="1:7" x14ac:dyDescent="0.3">
      <c r="A1324" s="11"/>
      <c r="B1324" s="38">
        <f>IF($A1324="","",IFERROR(IF(INDEX(Pledges!$D$5:$D$2500,MATCH($G1324,Pledges!$K$5:$K$2500,0))="","⚠ no amount on Pledges",IF(INDEX(Pledges!$B$5:$B$2500,MATCH($G1324,Pledges!$K$5:$K$2500,0))="","",INDEX(Pledges!$B$5:$B$2500,MATCH($G1324,Pledges!$K$5:$K$2500,0)))),"⚠ phone not in Pledges"))</f>
      </c>
      <c r="C1324" s="12"/>
      <c r="D1324" s="13"/>
      <c r="E1324" s="22"/>
      <c r="F1324" s="23"/>
      <c r="G1324">
        <f>IF($A1324="","","#"&amp;TRIM(SUBSTITUTE(SUBSTITUTE(SUBSTITUTE(SUBSTITUTE(SUBSTITUTE(SUBSTITUTE($A1324,"-",""),"(",""),")",""),".",""),"+","")," ","")))</f>
      </c>
    </row>
    <row r="1325" spans="1:7" x14ac:dyDescent="0.3">
      <c r="A1325" s="11"/>
      <c r="B1325" s="38">
        <f>IF($A1325="","",IFERROR(IF(INDEX(Pledges!$D$5:$D$2500,MATCH($G1325,Pledges!$K$5:$K$2500,0))="","⚠ no amount on Pledges",IF(INDEX(Pledges!$B$5:$B$2500,MATCH($G1325,Pledges!$K$5:$K$2500,0))="","",INDEX(Pledges!$B$5:$B$2500,MATCH($G1325,Pledges!$K$5:$K$2500,0)))),"⚠ phone not in Pledges"))</f>
      </c>
      <c r="C1325" s="12"/>
      <c r="D1325" s="13"/>
      <c r="E1325" s="22"/>
      <c r="F1325" s="23"/>
      <c r="G1325">
        <f>IF($A1325="","","#"&amp;TRIM(SUBSTITUTE(SUBSTITUTE(SUBSTITUTE(SUBSTITUTE(SUBSTITUTE(SUBSTITUTE($A1325,"-",""),"(",""),")",""),".",""),"+","")," ","")))</f>
      </c>
    </row>
    <row r="1326" spans="1:7" x14ac:dyDescent="0.3">
      <c r="A1326" s="11"/>
      <c r="B1326" s="38">
        <f>IF($A1326="","",IFERROR(IF(INDEX(Pledges!$D$5:$D$2500,MATCH($G1326,Pledges!$K$5:$K$2500,0))="","⚠ no amount on Pledges",IF(INDEX(Pledges!$B$5:$B$2500,MATCH($G1326,Pledges!$K$5:$K$2500,0))="","",INDEX(Pledges!$B$5:$B$2500,MATCH($G1326,Pledges!$K$5:$K$2500,0)))),"⚠ phone not in Pledges"))</f>
      </c>
      <c r="C1326" s="12"/>
      <c r="D1326" s="13"/>
      <c r="E1326" s="22"/>
      <c r="F1326" s="23"/>
      <c r="G1326">
        <f>IF($A1326="","","#"&amp;TRIM(SUBSTITUTE(SUBSTITUTE(SUBSTITUTE(SUBSTITUTE(SUBSTITUTE(SUBSTITUTE($A1326,"-",""),"(",""),")",""),".",""),"+","")," ","")))</f>
      </c>
    </row>
    <row r="1327" spans="1:7" x14ac:dyDescent="0.3">
      <c r="A1327" s="11"/>
      <c r="B1327" s="38">
        <f>IF($A1327="","",IFERROR(IF(INDEX(Pledges!$D$5:$D$2500,MATCH($G1327,Pledges!$K$5:$K$2500,0))="","⚠ no amount on Pledges",IF(INDEX(Pledges!$B$5:$B$2500,MATCH($G1327,Pledges!$K$5:$K$2500,0))="","",INDEX(Pledges!$B$5:$B$2500,MATCH($G1327,Pledges!$K$5:$K$2500,0)))),"⚠ phone not in Pledges"))</f>
      </c>
      <c r="C1327" s="12"/>
      <c r="D1327" s="13"/>
      <c r="E1327" s="22"/>
      <c r="F1327" s="23"/>
      <c r="G1327">
        <f>IF($A1327="","","#"&amp;TRIM(SUBSTITUTE(SUBSTITUTE(SUBSTITUTE(SUBSTITUTE(SUBSTITUTE(SUBSTITUTE($A1327,"-",""),"(",""),")",""),".",""),"+","")," ","")))</f>
      </c>
    </row>
    <row r="1328" spans="1:7" x14ac:dyDescent="0.3">
      <c r="A1328" s="11"/>
      <c r="B1328" s="38">
        <f>IF($A1328="","",IFERROR(IF(INDEX(Pledges!$D$5:$D$2500,MATCH($G1328,Pledges!$K$5:$K$2500,0))="","⚠ no amount on Pledges",IF(INDEX(Pledges!$B$5:$B$2500,MATCH($G1328,Pledges!$K$5:$K$2500,0))="","",INDEX(Pledges!$B$5:$B$2500,MATCH($G1328,Pledges!$K$5:$K$2500,0)))),"⚠ phone not in Pledges"))</f>
      </c>
      <c r="C1328" s="12"/>
      <c r="D1328" s="13"/>
      <c r="E1328" s="22"/>
      <c r="F1328" s="23"/>
      <c r="G1328">
        <f>IF($A1328="","","#"&amp;TRIM(SUBSTITUTE(SUBSTITUTE(SUBSTITUTE(SUBSTITUTE(SUBSTITUTE(SUBSTITUTE($A1328,"-",""),"(",""),")",""),".",""),"+","")," ","")))</f>
      </c>
    </row>
    <row r="1329" spans="1:7" x14ac:dyDescent="0.3">
      <c r="A1329" s="11"/>
      <c r="B1329" s="38">
        <f>IF($A1329="","",IFERROR(IF(INDEX(Pledges!$D$5:$D$2500,MATCH($G1329,Pledges!$K$5:$K$2500,0))="","⚠ no amount on Pledges",IF(INDEX(Pledges!$B$5:$B$2500,MATCH($G1329,Pledges!$K$5:$K$2500,0))="","",INDEX(Pledges!$B$5:$B$2500,MATCH($G1329,Pledges!$K$5:$K$2500,0)))),"⚠ phone not in Pledges"))</f>
      </c>
      <c r="C1329" s="12"/>
      <c r="D1329" s="13"/>
      <c r="E1329" s="22"/>
      <c r="F1329" s="23"/>
      <c r="G1329">
        <f>IF($A1329="","","#"&amp;TRIM(SUBSTITUTE(SUBSTITUTE(SUBSTITUTE(SUBSTITUTE(SUBSTITUTE(SUBSTITUTE($A1329,"-",""),"(",""),")",""),".",""),"+","")," ","")))</f>
      </c>
    </row>
    <row r="1330" spans="1:7" x14ac:dyDescent="0.3">
      <c r="A1330" s="11"/>
      <c r="B1330" s="38">
        <f>IF($A1330="","",IFERROR(IF(INDEX(Pledges!$D$5:$D$2500,MATCH($G1330,Pledges!$K$5:$K$2500,0))="","⚠ no amount on Pledges",IF(INDEX(Pledges!$B$5:$B$2500,MATCH($G1330,Pledges!$K$5:$K$2500,0))="","",INDEX(Pledges!$B$5:$B$2500,MATCH($G1330,Pledges!$K$5:$K$2500,0)))),"⚠ phone not in Pledges"))</f>
      </c>
      <c r="C1330" s="12"/>
      <c r="D1330" s="13"/>
      <c r="E1330" s="22"/>
      <c r="F1330" s="23"/>
      <c r="G1330">
        <f>IF($A1330="","","#"&amp;TRIM(SUBSTITUTE(SUBSTITUTE(SUBSTITUTE(SUBSTITUTE(SUBSTITUTE(SUBSTITUTE($A1330,"-",""),"(",""),")",""),".",""),"+","")," ","")))</f>
      </c>
    </row>
    <row r="1331" spans="1:7" x14ac:dyDescent="0.3">
      <c r="A1331" s="11"/>
      <c r="B1331" s="38">
        <f>IF($A1331="","",IFERROR(IF(INDEX(Pledges!$D$5:$D$2500,MATCH($G1331,Pledges!$K$5:$K$2500,0))="","⚠ no amount on Pledges",IF(INDEX(Pledges!$B$5:$B$2500,MATCH($G1331,Pledges!$K$5:$K$2500,0))="","",INDEX(Pledges!$B$5:$B$2500,MATCH($G1331,Pledges!$K$5:$K$2500,0)))),"⚠ phone not in Pledges"))</f>
      </c>
      <c r="C1331" s="12"/>
      <c r="D1331" s="13"/>
      <c r="E1331" s="22"/>
      <c r="F1331" s="23"/>
      <c r="G1331">
        <f>IF($A1331="","","#"&amp;TRIM(SUBSTITUTE(SUBSTITUTE(SUBSTITUTE(SUBSTITUTE(SUBSTITUTE(SUBSTITUTE($A1331,"-",""),"(",""),")",""),".",""),"+","")," ","")))</f>
      </c>
    </row>
    <row r="1332" spans="1:7" x14ac:dyDescent="0.3">
      <c r="A1332" s="11"/>
      <c r="B1332" s="38">
        <f>IF($A1332="","",IFERROR(IF(INDEX(Pledges!$D$5:$D$2500,MATCH($G1332,Pledges!$K$5:$K$2500,0))="","⚠ no amount on Pledges",IF(INDEX(Pledges!$B$5:$B$2500,MATCH($G1332,Pledges!$K$5:$K$2500,0))="","",INDEX(Pledges!$B$5:$B$2500,MATCH($G1332,Pledges!$K$5:$K$2500,0)))),"⚠ phone not in Pledges"))</f>
      </c>
      <c r="C1332" s="12"/>
      <c r="D1332" s="13"/>
      <c r="E1332" s="22"/>
      <c r="F1332" s="23"/>
      <c r="G1332">
        <f>IF($A1332="","","#"&amp;TRIM(SUBSTITUTE(SUBSTITUTE(SUBSTITUTE(SUBSTITUTE(SUBSTITUTE(SUBSTITUTE($A1332,"-",""),"(",""),")",""),".",""),"+","")," ","")))</f>
      </c>
    </row>
    <row r="1333" spans="1:7" x14ac:dyDescent="0.3">
      <c r="A1333" s="11"/>
      <c r="B1333" s="38">
        <f>IF($A1333="","",IFERROR(IF(INDEX(Pledges!$D$5:$D$2500,MATCH($G1333,Pledges!$K$5:$K$2500,0))="","⚠ no amount on Pledges",IF(INDEX(Pledges!$B$5:$B$2500,MATCH($G1333,Pledges!$K$5:$K$2500,0))="","",INDEX(Pledges!$B$5:$B$2500,MATCH($G1333,Pledges!$K$5:$K$2500,0)))),"⚠ phone not in Pledges"))</f>
      </c>
      <c r="C1333" s="12"/>
      <c r="D1333" s="13"/>
      <c r="E1333" s="22"/>
      <c r="F1333" s="23"/>
      <c r="G1333">
        <f>IF($A1333="","","#"&amp;TRIM(SUBSTITUTE(SUBSTITUTE(SUBSTITUTE(SUBSTITUTE(SUBSTITUTE(SUBSTITUTE($A1333,"-",""),"(",""),")",""),".",""),"+","")," ","")))</f>
      </c>
    </row>
    <row r="1334" spans="1:7" x14ac:dyDescent="0.3">
      <c r="A1334" s="11"/>
      <c r="B1334" s="38">
        <f>IF($A1334="","",IFERROR(IF(INDEX(Pledges!$D$5:$D$2500,MATCH($G1334,Pledges!$K$5:$K$2500,0))="","⚠ no amount on Pledges",IF(INDEX(Pledges!$B$5:$B$2500,MATCH($G1334,Pledges!$K$5:$K$2500,0))="","",INDEX(Pledges!$B$5:$B$2500,MATCH($G1334,Pledges!$K$5:$K$2500,0)))),"⚠ phone not in Pledges"))</f>
      </c>
      <c r="C1334" s="12"/>
      <c r="D1334" s="13"/>
      <c r="E1334" s="22"/>
      <c r="F1334" s="23"/>
      <c r="G1334">
        <f>IF($A1334="","","#"&amp;TRIM(SUBSTITUTE(SUBSTITUTE(SUBSTITUTE(SUBSTITUTE(SUBSTITUTE(SUBSTITUTE($A1334,"-",""),"(",""),")",""),".",""),"+","")," ","")))</f>
      </c>
    </row>
    <row r="1335" spans="1:7" x14ac:dyDescent="0.3">
      <c r="A1335" s="11"/>
      <c r="B1335" s="38">
        <f>IF($A1335="","",IFERROR(IF(INDEX(Pledges!$D$5:$D$2500,MATCH($G1335,Pledges!$K$5:$K$2500,0))="","⚠ no amount on Pledges",IF(INDEX(Pledges!$B$5:$B$2500,MATCH($G1335,Pledges!$K$5:$K$2500,0))="","",INDEX(Pledges!$B$5:$B$2500,MATCH($G1335,Pledges!$K$5:$K$2500,0)))),"⚠ phone not in Pledges"))</f>
      </c>
      <c r="C1335" s="12"/>
      <c r="D1335" s="13"/>
      <c r="E1335" s="22"/>
      <c r="F1335" s="23"/>
      <c r="G1335">
        <f>IF($A1335="","","#"&amp;TRIM(SUBSTITUTE(SUBSTITUTE(SUBSTITUTE(SUBSTITUTE(SUBSTITUTE(SUBSTITUTE($A1335,"-",""),"(",""),")",""),".",""),"+","")," ","")))</f>
      </c>
    </row>
    <row r="1336" spans="1:7" x14ac:dyDescent="0.3">
      <c r="A1336" s="11"/>
      <c r="B1336" s="38">
        <f>IF($A1336="","",IFERROR(IF(INDEX(Pledges!$D$5:$D$2500,MATCH($G1336,Pledges!$K$5:$K$2500,0))="","⚠ no amount on Pledges",IF(INDEX(Pledges!$B$5:$B$2500,MATCH($G1336,Pledges!$K$5:$K$2500,0))="","",INDEX(Pledges!$B$5:$B$2500,MATCH($G1336,Pledges!$K$5:$K$2500,0)))),"⚠ phone not in Pledges"))</f>
      </c>
      <c r="C1336" s="12"/>
      <c r="D1336" s="13"/>
      <c r="E1336" s="22"/>
      <c r="F1336" s="23"/>
      <c r="G1336">
        <f>IF($A1336="","","#"&amp;TRIM(SUBSTITUTE(SUBSTITUTE(SUBSTITUTE(SUBSTITUTE(SUBSTITUTE(SUBSTITUTE($A1336,"-",""),"(",""),")",""),".",""),"+","")," ","")))</f>
      </c>
    </row>
    <row r="1337" spans="1:7" x14ac:dyDescent="0.3">
      <c r="A1337" s="11"/>
      <c r="B1337" s="38">
        <f>IF($A1337="","",IFERROR(IF(INDEX(Pledges!$D$5:$D$2500,MATCH($G1337,Pledges!$K$5:$K$2500,0))="","⚠ no amount on Pledges",IF(INDEX(Pledges!$B$5:$B$2500,MATCH($G1337,Pledges!$K$5:$K$2500,0))="","",INDEX(Pledges!$B$5:$B$2500,MATCH($G1337,Pledges!$K$5:$K$2500,0)))),"⚠ phone not in Pledges"))</f>
      </c>
      <c r="C1337" s="12"/>
      <c r="D1337" s="13"/>
      <c r="E1337" s="22"/>
      <c r="F1337" s="23"/>
      <c r="G1337">
        <f>IF($A1337="","","#"&amp;TRIM(SUBSTITUTE(SUBSTITUTE(SUBSTITUTE(SUBSTITUTE(SUBSTITUTE(SUBSTITUTE($A1337,"-",""),"(",""),")",""),".",""),"+","")," ","")))</f>
      </c>
    </row>
    <row r="1338" spans="1:7" x14ac:dyDescent="0.3">
      <c r="A1338" s="11"/>
      <c r="B1338" s="38">
        <f>IF($A1338="","",IFERROR(IF(INDEX(Pledges!$D$5:$D$2500,MATCH($G1338,Pledges!$K$5:$K$2500,0))="","⚠ no amount on Pledges",IF(INDEX(Pledges!$B$5:$B$2500,MATCH($G1338,Pledges!$K$5:$K$2500,0))="","",INDEX(Pledges!$B$5:$B$2500,MATCH($G1338,Pledges!$K$5:$K$2500,0)))),"⚠ phone not in Pledges"))</f>
      </c>
      <c r="C1338" s="12"/>
      <c r="D1338" s="13"/>
      <c r="E1338" s="22"/>
      <c r="F1338" s="23"/>
      <c r="G1338">
        <f>IF($A1338="","","#"&amp;TRIM(SUBSTITUTE(SUBSTITUTE(SUBSTITUTE(SUBSTITUTE(SUBSTITUTE(SUBSTITUTE($A1338,"-",""),"(",""),")",""),".",""),"+","")," ","")))</f>
      </c>
    </row>
    <row r="1339" spans="1:7" x14ac:dyDescent="0.3">
      <c r="A1339" s="11"/>
      <c r="B1339" s="38">
        <f>IF($A1339="","",IFERROR(IF(INDEX(Pledges!$D$5:$D$2500,MATCH($G1339,Pledges!$K$5:$K$2500,0))="","⚠ no amount on Pledges",IF(INDEX(Pledges!$B$5:$B$2500,MATCH($G1339,Pledges!$K$5:$K$2500,0))="","",INDEX(Pledges!$B$5:$B$2500,MATCH($G1339,Pledges!$K$5:$K$2500,0)))),"⚠ phone not in Pledges"))</f>
      </c>
      <c r="C1339" s="12"/>
      <c r="D1339" s="13"/>
      <c r="E1339" s="22"/>
      <c r="F1339" s="23"/>
      <c r="G1339">
        <f>IF($A1339="","","#"&amp;TRIM(SUBSTITUTE(SUBSTITUTE(SUBSTITUTE(SUBSTITUTE(SUBSTITUTE(SUBSTITUTE($A1339,"-",""),"(",""),")",""),".",""),"+","")," ","")))</f>
      </c>
    </row>
    <row r="1340" spans="1:7" x14ac:dyDescent="0.3">
      <c r="A1340" s="11"/>
      <c r="B1340" s="38">
        <f>IF($A1340="","",IFERROR(IF(INDEX(Pledges!$D$5:$D$2500,MATCH($G1340,Pledges!$K$5:$K$2500,0))="","⚠ no amount on Pledges",IF(INDEX(Pledges!$B$5:$B$2500,MATCH($G1340,Pledges!$K$5:$K$2500,0))="","",INDEX(Pledges!$B$5:$B$2500,MATCH($G1340,Pledges!$K$5:$K$2500,0)))),"⚠ phone not in Pledges"))</f>
      </c>
      <c r="C1340" s="12"/>
      <c r="D1340" s="13"/>
      <c r="E1340" s="22"/>
      <c r="F1340" s="23"/>
      <c r="G1340">
        <f>IF($A1340="","","#"&amp;TRIM(SUBSTITUTE(SUBSTITUTE(SUBSTITUTE(SUBSTITUTE(SUBSTITUTE(SUBSTITUTE($A1340,"-",""),"(",""),")",""),".",""),"+","")," ","")))</f>
      </c>
    </row>
    <row r="1341" spans="1:7" x14ac:dyDescent="0.3">
      <c r="A1341" s="11"/>
      <c r="B1341" s="38">
        <f>IF($A1341="","",IFERROR(IF(INDEX(Pledges!$D$5:$D$2500,MATCH($G1341,Pledges!$K$5:$K$2500,0))="","⚠ no amount on Pledges",IF(INDEX(Pledges!$B$5:$B$2500,MATCH($G1341,Pledges!$K$5:$K$2500,0))="","",INDEX(Pledges!$B$5:$B$2500,MATCH($G1341,Pledges!$K$5:$K$2500,0)))),"⚠ phone not in Pledges"))</f>
      </c>
      <c r="C1341" s="12"/>
      <c r="D1341" s="13"/>
      <c r="E1341" s="22"/>
      <c r="F1341" s="23"/>
      <c r="G1341">
        <f>IF($A1341="","","#"&amp;TRIM(SUBSTITUTE(SUBSTITUTE(SUBSTITUTE(SUBSTITUTE(SUBSTITUTE(SUBSTITUTE($A1341,"-",""),"(",""),")",""),".",""),"+","")," ","")))</f>
      </c>
    </row>
    <row r="1342" spans="1:7" x14ac:dyDescent="0.3">
      <c r="A1342" s="11"/>
      <c r="B1342" s="38">
        <f>IF($A1342="","",IFERROR(IF(INDEX(Pledges!$D$5:$D$2500,MATCH($G1342,Pledges!$K$5:$K$2500,0))="","⚠ no amount on Pledges",IF(INDEX(Pledges!$B$5:$B$2500,MATCH($G1342,Pledges!$K$5:$K$2500,0))="","",INDEX(Pledges!$B$5:$B$2500,MATCH($G1342,Pledges!$K$5:$K$2500,0)))),"⚠ phone not in Pledges"))</f>
      </c>
      <c r="C1342" s="12"/>
      <c r="D1342" s="13"/>
      <c r="E1342" s="22"/>
      <c r="F1342" s="23"/>
      <c r="G1342">
        <f>IF($A1342="","","#"&amp;TRIM(SUBSTITUTE(SUBSTITUTE(SUBSTITUTE(SUBSTITUTE(SUBSTITUTE(SUBSTITUTE($A1342,"-",""),"(",""),")",""),".",""),"+","")," ","")))</f>
      </c>
    </row>
    <row r="1343" spans="1:7" x14ac:dyDescent="0.3">
      <c r="A1343" s="11"/>
      <c r="B1343" s="38">
        <f>IF($A1343="","",IFERROR(IF(INDEX(Pledges!$D$5:$D$2500,MATCH($G1343,Pledges!$K$5:$K$2500,0))="","⚠ no amount on Pledges",IF(INDEX(Pledges!$B$5:$B$2500,MATCH($G1343,Pledges!$K$5:$K$2500,0))="","",INDEX(Pledges!$B$5:$B$2500,MATCH($G1343,Pledges!$K$5:$K$2500,0)))),"⚠ phone not in Pledges"))</f>
      </c>
      <c r="C1343" s="12"/>
      <c r="D1343" s="13"/>
      <c r="E1343" s="22"/>
      <c r="F1343" s="23"/>
      <c r="G1343">
        <f>IF($A1343="","","#"&amp;TRIM(SUBSTITUTE(SUBSTITUTE(SUBSTITUTE(SUBSTITUTE(SUBSTITUTE(SUBSTITUTE($A1343,"-",""),"(",""),")",""),".",""),"+","")," ","")))</f>
      </c>
    </row>
    <row r="1344" spans="1:7" x14ac:dyDescent="0.3">
      <c r="A1344" s="11"/>
      <c r="B1344" s="38">
        <f>IF($A1344="","",IFERROR(IF(INDEX(Pledges!$D$5:$D$2500,MATCH($G1344,Pledges!$K$5:$K$2500,0))="","⚠ no amount on Pledges",IF(INDEX(Pledges!$B$5:$B$2500,MATCH($G1344,Pledges!$K$5:$K$2500,0))="","",INDEX(Pledges!$B$5:$B$2500,MATCH($G1344,Pledges!$K$5:$K$2500,0)))),"⚠ phone not in Pledges"))</f>
      </c>
      <c r="C1344" s="12"/>
      <c r="D1344" s="13"/>
      <c r="E1344" s="22"/>
      <c r="F1344" s="23"/>
      <c r="G1344">
        <f>IF($A1344="","","#"&amp;TRIM(SUBSTITUTE(SUBSTITUTE(SUBSTITUTE(SUBSTITUTE(SUBSTITUTE(SUBSTITUTE($A1344,"-",""),"(",""),")",""),".",""),"+","")," ","")))</f>
      </c>
    </row>
    <row r="1345" spans="1:7" x14ac:dyDescent="0.3">
      <c r="A1345" s="11"/>
      <c r="B1345" s="38">
        <f>IF($A1345="","",IFERROR(IF(INDEX(Pledges!$D$5:$D$2500,MATCH($G1345,Pledges!$K$5:$K$2500,0))="","⚠ no amount on Pledges",IF(INDEX(Pledges!$B$5:$B$2500,MATCH($G1345,Pledges!$K$5:$K$2500,0))="","",INDEX(Pledges!$B$5:$B$2500,MATCH($G1345,Pledges!$K$5:$K$2500,0)))),"⚠ phone not in Pledges"))</f>
      </c>
      <c r="C1345" s="12"/>
      <c r="D1345" s="13"/>
      <c r="E1345" s="22"/>
      <c r="F1345" s="23"/>
      <c r="G1345">
        <f>IF($A1345="","","#"&amp;TRIM(SUBSTITUTE(SUBSTITUTE(SUBSTITUTE(SUBSTITUTE(SUBSTITUTE(SUBSTITUTE($A1345,"-",""),"(",""),")",""),".",""),"+","")," ","")))</f>
      </c>
    </row>
    <row r="1346" spans="1:7" x14ac:dyDescent="0.3">
      <c r="A1346" s="11"/>
      <c r="B1346" s="38">
        <f>IF($A1346="","",IFERROR(IF(INDEX(Pledges!$D$5:$D$2500,MATCH($G1346,Pledges!$K$5:$K$2500,0))="","⚠ no amount on Pledges",IF(INDEX(Pledges!$B$5:$B$2500,MATCH($G1346,Pledges!$K$5:$K$2500,0))="","",INDEX(Pledges!$B$5:$B$2500,MATCH($G1346,Pledges!$K$5:$K$2500,0)))),"⚠ phone not in Pledges"))</f>
      </c>
      <c r="C1346" s="12"/>
      <c r="D1346" s="13"/>
      <c r="E1346" s="22"/>
      <c r="F1346" s="23"/>
      <c r="G1346">
        <f>IF($A1346="","","#"&amp;TRIM(SUBSTITUTE(SUBSTITUTE(SUBSTITUTE(SUBSTITUTE(SUBSTITUTE(SUBSTITUTE($A1346,"-",""),"(",""),")",""),".",""),"+","")," ","")))</f>
      </c>
    </row>
    <row r="1347" spans="1:7" x14ac:dyDescent="0.3">
      <c r="A1347" s="11"/>
      <c r="B1347" s="38">
        <f>IF($A1347="","",IFERROR(IF(INDEX(Pledges!$D$5:$D$2500,MATCH($G1347,Pledges!$K$5:$K$2500,0))="","⚠ no amount on Pledges",IF(INDEX(Pledges!$B$5:$B$2500,MATCH($G1347,Pledges!$K$5:$K$2500,0))="","",INDEX(Pledges!$B$5:$B$2500,MATCH($G1347,Pledges!$K$5:$K$2500,0)))),"⚠ phone not in Pledges"))</f>
      </c>
      <c r="C1347" s="12"/>
      <c r="D1347" s="13"/>
      <c r="E1347" s="22"/>
      <c r="F1347" s="23"/>
      <c r="G1347">
        <f>IF($A1347="","","#"&amp;TRIM(SUBSTITUTE(SUBSTITUTE(SUBSTITUTE(SUBSTITUTE(SUBSTITUTE(SUBSTITUTE($A1347,"-",""),"(",""),")",""),".",""),"+","")," ","")))</f>
      </c>
    </row>
    <row r="1348" spans="1:7" x14ac:dyDescent="0.3">
      <c r="A1348" s="11"/>
      <c r="B1348" s="38">
        <f>IF($A1348="","",IFERROR(IF(INDEX(Pledges!$D$5:$D$2500,MATCH($G1348,Pledges!$K$5:$K$2500,0))="","⚠ no amount on Pledges",IF(INDEX(Pledges!$B$5:$B$2500,MATCH($G1348,Pledges!$K$5:$K$2500,0))="","",INDEX(Pledges!$B$5:$B$2500,MATCH($G1348,Pledges!$K$5:$K$2500,0)))),"⚠ phone not in Pledges"))</f>
      </c>
      <c r="C1348" s="12"/>
      <c r="D1348" s="13"/>
      <c r="E1348" s="22"/>
      <c r="F1348" s="23"/>
      <c r="G1348">
        <f>IF($A1348="","","#"&amp;TRIM(SUBSTITUTE(SUBSTITUTE(SUBSTITUTE(SUBSTITUTE(SUBSTITUTE(SUBSTITUTE($A1348,"-",""),"(",""),")",""),".",""),"+","")," ","")))</f>
      </c>
    </row>
    <row r="1349" spans="1:7" x14ac:dyDescent="0.3">
      <c r="A1349" s="11"/>
      <c r="B1349" s="38">
        <f>IF($A1349="","",IFERROR(IF(INDEX(Pledges!$D$5:$D$2500,MATCH($G1349,Pledges!$K$5:$K$2500,0))="","⚠ no amount on Pledges",IF(INDEX(Pledges!$B$5:$B$2500,MATCH($G1349,Pledges!$K$5:$K$2500,0))="","",INDEX(Pledges!$B$5:$B$2500,MATCH($G1349,Pledges!$K$5:$K$2500,0)))),"⚠ phone not in Pledges"))</f>
      </c>
      <c r="C1349" s="12"/>
      <c r="D1349" s="13"/>
      <c r="E1349" s="22"/>
      <c r="F1349" s="23"/>
      <c r="G1349">
        <f>IF($A1349="","","#"&amp;TRIM(SUBSTITUTE(SUBSTITUTE(SUBSTITUTE(SUBSTITUTE(SUBSTITUTE(SUBSTITUTE($A1349,"-",""),"(",""),")",""),".",""),"+","")," ","")))</f>
      </c>
    </row>
    <row r="1350" spans="1:7" x14ac:dyDescent="0.3">
      <c r="A1350" s="11"/>
      <c r="B1350" s="38">
        <f>IF($A1350="","",IFERROR(IF(INDEX(Pledges!$D$5:$D$2500,MATCH($G1350,Pledges!$K$5:$K$2500,0))="","⚠ no amount on Pledges",IF(INDEX(Pledges!$B$5:$B$2500,MATCH($G1350,Pledges!$K$5:$K$2500,0))="","",INDEX(Pledges!$B$5:$B$2500,MATCH($G1350,Pledges!$K$5:$K$2500,0)))),"⚠ phone not in Pledges"))</f>
      </c>
      <c r="C1350" s="12"/>
      <c r="D1350" s="13"/>
      <c r="E1350" s="22"/>
      <c r="F1350" s="23"/>
      <c r="G1350">
        <f>IF($A1350="","","#"&amp;TRIM(SUBSTITUTE(SUBSTITUTE(SUBSTITUTE(SUBSTITUTE(SUBSTITUTE(SUBSTITUTE($A1350,"-",""),"(",""),")",""),".",""),"+","")," ","")))</f>
      </c>
    </row>
    <row r="1351" spans="1:7" x14ac:dyDescent="0.3">
      <c r="A1351" s="11"/>
      <c r="B1351" s="38">
        <f>IF($A1351="","",IFERROR(IF(INDEX(Pledges!$D$5:$D$2500,MATCH($G1351,Pledges!$K$5:$K$2500,0))="","⚠ no amount on Pledges",IF(INDEX(Pledges!$B$5:$B$2500,MATCH($G1351,Pledges!$K$5:$K$2500,0))="","",INDEX(Pledges!$B$5:$B$2500,MATCH($G1351,Pledges!$K$5:$K$2500,0)))),"⚠ phone not in Pledges"))</f>
      </c>
      <c r="C1351" s="12"/>
      <c r="D1351" s="13"/>
      <c r="E1351" s="22"/>
      <c r="F1351" s="23"/>
      <c r="G1351">
        <f>IF($A1351="","","#"&amp;TRIM(SUBSTITUTE(SUBSTITUTE(SUBSTITUTE(SUBSTITUTE(SUBSTITUTE(SUBSTITUTE($A1351,"-",""),"(",""),")",""),".",""),"+","")," ","")))</f>
      </c>
    </row>
    <row r="1352" spans="1:7" x14ac:dyDescent="0.3">
      <c r="A1352" s="11"/>
      <c r="B1352" s="38">
        <f>IF($A1352="","",IFERROR(IF(INDEX(Pledges!$D$5:$D$2500,MATCH($G1352,Pledges!$K$5:$K$2500,0))="","⚠ no amount on Pledges",IF(INDEX(Pledges!$B$5:$B$2500,MATCH($G1352,Pledges!$K$5:$K$2500,0))="","",INDEX(Pledges!$B$5:$B$2500,MATCH($G1352,Pledges!$K$5:$K$2500,0)))),"⚠ phone not in Pledges"))</f>
      </c>
      <c r="C1352" s="12"/>
      <c r="D1352" s="13"/>
      <c r="E1352" s="22"/>
      <c r="F1352" s="23"/>
      <c r="G1352">
        <f>IF($A1352="","","#"&amp;TRIM(SUBSTITUTE(SUBSTITUTE(SUBSTITUTE(SUBSTITUTE(SUBSTITUTE(SUBSTITUTE($A1352,"-",""),"(",""),")",""),".",""),"+","")," ","")))</f>
      </c>
    </row>
    <row r="1353" spans="1:7" x14ac:dyDescent="0.3">
      <c r="A1353" s="11"/>
      <c r="B1353" s="38">
        <f>IF($A1353="","",IFERROR(IF(INDEX(Pledges!$D$5:$D$2500,MATCH($G1353,Pledges!$K$5:$K$2500,0))="","⚠ no amount on Pledges",IF(INDEX(Pledges!$B$5:$B$2500,MATCH($G1353,Pledges!$K$5:$K$2500,0))="","",INDEX(Pledges!$B$5:$B$2500,MATCH($G1353,Pledges!$K$5:$K$2500,0)))),"⚠ phone not in Pledges"))</f>
      </c>
      <c r="C1353" s="12"/>
      <c r="D1353" s="13"/>
      <c r="E1353" s="22"/>
      <c r="F1353" s="23"/>
      <c r="G1353">
        <f>IF($A1353="","","#"&amp;TRIM(SUBSTITUTE(SUBSTITUTE(SUBSTITUTE(SUBSTITUTE(SUBSTITUTE(SUBSTITUTE($A1353,"-",""),"(",""),")",""),".",""),"+","")," ","")))</f>
      </c>
    </row>
    <row r="1354" spans="1:7" x14ac:dyDescent="0.3">
      <c r="A1354" s="11"/>
      <c r="B1354" s="38">
        <f>IF($A1354="","",IFERROR(IF(INDEX(Pledges!$D$5:$D$2500,MATCH($G1354,Pledges!$K$5:$K$2500,0))="","⚠ no amount on Pledges",IF(INDEX(Pledges!$B$5:$B$2500,MATCH($G1354,Pledges!$K$5:$K$2500,0))="","",INDEX(Pledges!$B$5:$B$2500,MATCH($G1354,Pledges!$K$5:$K$2500,0)))),"⚠ phone not in Pledges"))</f>
      </c>
      <c r="C1354" s="12"/>
      <c r="D1354" s="13"/>
      <c r="E1354" s="22"/>
      <c r="F1354" s="23"/>
      <c r="G1354">
        <f>IF($A1354="","","#"&amp;TRIM(SUBSTITUTE(SUBSTITUTE(SUBSTITUTE(SUBSTITUTE(SUBSTITUTE(SUBSTITUTE($A1354,"-",""),"(",""),")",""),".",""),"+","")," ","")))</f>
      </c>
    </row>
    <row r="1355" spans="1:7" x14ac:dyDescent="0.3">
      <c r="A1355" s="11"/>
      <c r="B1355" s="38">
        <f>IF($A1355="","",IFERROR(IF(INDEX(Pledges!$D$5:$D$2500,MATCH($G1355,Pledges!$K$5:$K$2500,0))="","⚠ no amount on Pledges",IF(INDEX(Pledges!$B$5:$B$2500,MATCH($G1355,Pledges!$K$5:$K$2500,0))="","",INDEX(Pledges!$B$5:$B$2500,MATCH($G1355,Pledges!$K$5:$K$2500,0)))),"⚠ phone not in Pledges"))</f>
      </c>
      <c r="C1355" s="12"/>
      <c r="D1355" s="13"/>
      <c r="E1355" s="22"/>
      <c r="F1355" s="23"/>
      <c r="G1355">
        <f>IF($A1355="","","#"&amp;TRIM(SUBSTITUTE(SUBSTITUTE(SUBSTITUTE(SUBSTITUTE(SUBSTITUTE(SUBSTITUTE($A1355,"-",""),"(",""),")",""),".",""),"+","")," ","")))</f>
      </c>
    </row>
    <row r="1356" spans="1:7" x14ac:dyDescent="0.3">
      <c r="A1356" s="11"/>
      <c r="B1356" s="38">
        <f>IF($A1356="","",IFERROR(IF(INDEX(Pledges!$D$5:$D$2500,MATCH($G1356,Pledges!$K$5:$K$2500,0))="","⚠ no amount on Pledges",IF(INDEX(Pledges!$B$5:$B$2500,MATCH($G1356,Pledges!$K$5:$K$2500,0))="","",INDEX(Pledges!$B$5:$B$2500,MATCH($G1356,Pledges!$K$5:$K$2500,0)))),"⚠ phone not in Pledges"))</f>
      </c>
      <c r="C1356" s="12"/>
      <c r="D1356" s="13"/>
      <c r="E1356" s="22"/>
      <c r="F1356" s="23"/>
      <c r="G1356">
        <f>IF($A1356="","","#"&amp;TRIM(SUBSTITUTE(SUBSTITUTE(SUBSTITUTE(SUBSTITUTE(SUBSTITUTE(SUBSTITUTE($A1356,"-",""),"(",""),")",""),".",""),"+","")," ","")))</f>
      </c>
    </row>
    <row r="1357" spans="1:7" x14ac:dyDescent="0.3">
      <c r="A1357" s="11"/>
      <c r="B1357" s="38">
        <f>IF($A1357="","",IFERROR(IF(INDEX(Pledges!$D$5:$D$2500,MATCH($G1357,Pledges!$K$5:$K$2500,0))="","⚠ no amount on Pledges",IF(INDEX(Pledges!$B$5:$B$2500,MATCH($G1357,Pledges!$K$5:$K$2500,0))="","",INDEX(Pledges!$B$5:$B$2500,MATCH($G1357,Pledges!$K$5:$K$2500,0)))),"⚠ phone not in Pledges"))</f>
      </c>
      <c r="C1357" s="12"/>
      <c r="D1357" s="13"/>
      <c r="E1357" s="22"/>
      <c r="F1357" s="23"/>
      <c r="G1357">
        <f>IF($A1357="","","#"&amp;TRIM(SUBSTITUTE(SUBSTITUTE(SUBSTITUTE(SUBSTITUTE(SUBSTITUTE(SUBSTITUTE($A1357,"-",""),"(",""),")",""),".",""),"+","")," ","")))</f>
      </c>
    </row>
    <row r="1358" spans="1:7" x14ac:dyDescent="0.3">
      <c r="A1358" s="11"/>
      <c r="B1358" s="38">
        <f>IF($A1358="","",IFERROR(IF(INDEX(Pledges!$D$5:$D$2500,MATCH($G1358,Pledges!$K$5:$K$2500,0))="","⚠ no amount on Pledges",IF(INDEX(Pledges!$B$5:$B$2500,MATCH($G1358,Pledges!$K$5:$K$2500,0))="","",INDEX(Pledges!$B$5:$B$2500,MATCH($G1358,Pledges!$K$5:$K$2500,0)))),"⚠ phone not in Pledges"))</f>
      </c>
      <c r="C1358" s="12"/>
      <c r="D1358" s="13"/>
      <c r="E1358" s="22"/>
      <c r="F1358" s="23"/>
      <c r="G1358">
        <f>IF($A1358="","","#"&amp;TRIM(SUBSTITUTE(SUBSTITUTE(SUBSTITUTE(SUBSTITUTE(SUBSTITUTE(SUBSTITUTE($A1358,"-",""),"(",""),")",""),".",""),"+","")," ","")))</f>
      </c>
    </row>
    <row r="1359" spans="1:7" x14ac:dyDescent="0.3">
      <c r="A1359" s="11"/>
      <c r="B1359" s="38">
        <f>IF($A1359="","",IFERROR(IF(INDEX(Pledges!$D$5:$D$2500,MATCH($G1359,Pledges!$K$5:$K$2500,0))="","⚠ no amount on Pledges",IF(INDEX(Pledges!$B$5:$B$2500,MATCH($G1359,Pledges!$K$5:$K$2500,0))="","",INDEX(Pledges!$B$5:$B$2500,MATCH($G1359,Pledges!$K$5:$K$2500,0)))),"⚠ phone not in Pledges"))</f>
      </c>
      <c r="C1359" s="12"/>
      <c r="D1359" s="13"/>
      <c r="E1359" s="22"/>
      <c r="F1359" s="23"/>
      <c r="G1359">
        <f>IF($A1359="","","#"&amp;TRIM(SUBSTITUTE(SUBSTITUTE(SUBSTITUTE(SUBSTITUTE(SUBSTITUTE(SUBSTITUTE($A1359,"-",""),"(",""),")",""),".",""),"+","")," ","")))</f>
      </c>
    </row>
    <row r="1360" spans="1:7" x14ac:dyDescent="0.3">
      <c r="A1360" s="11"/>
      <c r="B1360" s="38">
        <f>IF($A1360="","",IFERROR(IF(INDEX(Pledges!$D$5:$D$2500,MATCH($G1360,Pledges!$K$5:$K$2500,0))="","⚠ no amount on Pledges",IF(INDEX(Pledges!$B$5:$B$2500,MATCH($G1360,Pledges!$K$5:$K$2500,0))="","",INDEX(Pledges!$B$5:$B$2500,MATCH($G1360,Pledges!$K$5:$K$2500,0)))),"⚠ phone not in Pledges"))</f>
      </c>
      <c r="C1360" s="12"/>
      <c r="D1360" s="13"/>
      <c r="E1360" s="22"/>
      <c r="F1360" s="23"/>
      <c r="G1360">
        <f>IF($A1360="","","#"&amp;TRIM(SUBSTITUTE(SUBSTITUTE(SUBSTITUTE(SUBSTITUTE(SUBSTITUTE(SUBSTITUTE($A1360,"-",""),"(",""),")",""),".",""),"+","")," ","")))</f>
      </c>
    </row>
    <row r="1361" spans="1:7" x14ac:dyDescent="0.3">
      <c r="A1361" s="11"/>
      <c r="B1361" s="38">
        <f>IF($A1361="","",IFERROR(IF(INDEX(Pledges!$D$5:$D$2500,MATCH($G1361,Pledges!$K$5:$K$2500,0))="","⚠ no amount on Pledges",IF(INDEX(Pledges!$B$5:$B$2500,MATCH($G1361,Pledges!$K$5:$K$2500,0))="","",INDEX(Pledges!$B$5:$B$2500,MATCH($G1361,Pledges!$K$5:$K$2500,0)))),"⚠ phone not in Pledges"))</f>
      </c>
      <c r="C1361" s="12"/>
      <c r="D1361" s="13"/>
      <c r="E1361" s="22"/>
      <c r="F1361" s="23"/>
      <c r="G1361">
        <f>IF($A1361="","","#"&amp;TRIM(SUBSTITUTE(SUBSTITUTE(SUBSTITUTE(SUBSTITUTE(SUBSTITUTE(SUBSTITUTE($A1361,"-",""),"(",""),")",""),".",""),"+","")," ","")))</f>
      </c>
    </row>
    <row r="1362" spans="1:7" x14ac:dyDescent="0.3">
      <c r="A1362" s="11"/>
      <c r="B1362" s="38">
        <f>IF($A1362="","",IFERROR(IF(INDEX(Pledges!$D$5:$D$2500,MATCH($G1362,Pledges!$K$5:$K$2500,0))="","⚠ no amount on Pledges",IF(INDEX(Pledges!$B$5:$B$2500,MATCH($G1362,Pledges!$K$5:$K$2500,0))="","",INDEX(Pledges!$B$5:$B$2500,MATCH($G1362,Pledges!$K$5:$K$2500,0)))),"⚠ phone not in Pledges"))</f>
      </c>
      <c r="C1362" s="12"/>
      <c r="D1362" s="13"/>
      <c r="E1362" s="22"/>
      <c r="F1362" s="23"/>
      <c r="G1362">
        <f>IF($A1362="","","#"&amp;TRIM(SUBSTITUTE(SUBSTITUTE(SUBSTITUTE(SUBSTITUTE(SUBSTITUTE(SUBSTITUTE($A1362,"-",""),"(",""),")",""),".",""),"+","")," ","")))</f>
      </c>
    </row>
    <row r="1363" spans="1:7" x14ac:dyDescent="0.3">
      <c r="A1363" s="11"/>
      <c r="B1363" s="38">
        <f>IF($A1363="","",IFERROR(IF(INDEX(Pledges!$D$5:$D$2500,MATCH($G1363,Pledges!$K$5:$K$2500,0))="","⚠ no amount on Pledges",IF(INDEX(Pledges!$B$5:$B$2500,MATCH($G1363,Pledges!$K$5:$K$2500,0))="","",INDEX(Pledges!$B$5:$B$2500,MATCH($G1363,Pledges!$K$5:$K$2500,0)))),"⚠ phone not in Pledges"))</f>
      </c>
      <c r="C1363" s="12"/>
      <c r="D1363" s="13"/>
      <c r="E1363" s="22"/>
      <c r="F1363" s="23"/>
      <c r="G1363">
        <f>IF($A1363="","","#"&amp;TRIM(SUBSTITUTE(SUBSTITUTE(SUBSTITUTE(SUBSTITUTE(SUBSTITUTE(SUBSTITUTE($A1363,"-",""),"(",""),")",""),".",""),"+","")," ","")))</f>
      </c>
    </row>
    <row r="1364" spans="1:7" x14ac:dyDescent="0.3">
      <c r="A1364" s="11"/>
      <c r="B1364" s="38">
        <f>IF($A1364="","",IFERROR(IF(INDEX(Pledges!$D$5:$D$2500,MATCH($G1364,Pledges!$K$5:$K$2500,0))="","⚠ no amount on Pledges",IF(INDEX(Pledges!$B$5:$B$2500,MATCH($G1364,Pledges!$K$5:$K$2500,0))="","",INDEX(Pledges!$B$5:$B$2500,MATCH($G1364,Pledges!$K$5:$K$2500,0)))),"⚠ phone not in Pledges"))</f>
      </c>
      <c r="C1364" s="12"/>
      <c r="D1364" s="13"/>
      <c r="E1364" s="22"/>
      <c r="F1364" s="23"/>
      <c r="G1364">
        <f>IF($A1364="","","#"&amp;TRIM(SUBSTITUTE(SUBSTITUTE(SUBSTITUTE(SUBSTITUTE(SUBSTITUTE(SUBSTITUTE($A1364,"-",""),"(",""),")",""),".",""),"+","")," ","")))</f>
      </c>
    </row>
    <row r="1365" spans="1:7" x14ac:dyDescent="0.3">
      <c r="A1365" s="11"/>
      <c r="B1365" s="38">
        <f>IF($A1365="","",IFERROR(IF(INDEX(Pledges!$D$5:$D$2500,MATCH($G1365,Pledges!$K$5:$K$2500,0))="","⚠ no amount on Pledges",IF(INDEX(Pledges!$B$5:$B$2500,MATCH($G1365,Pledges!$K$5:$K$2500,0))="","",INDEX(Pledges!$B$5:$B$2500,MATCH($G1365,Pledges!$K$5:$K$2500,0)))),"⚠ phone not in Pledges"))</f>
      </c>
      <c r="C1365" s="12"/>
      <c r="D1365" s="13"/>
      <c r="E1365" s="22"/>
      <c r="F1365" s="23"/>
      <c r="G1365">
        <f>IF($A1365="","","#"&amp;TRIM(SUBSTITUTE(SUBSTITUTE(SUBSTITUTE(SUBSTITUTE(SUBSTITUTE(SUBSTITUTE($A1365,"-",""),"(",""),")",""),".",""),"+","")," ","")))</f>
      </c>
    </row>
    <row r="1366" spans="1:7" x14ac:dyDescent="0.3">
      <c r="A1366" s="11"/>
      <c r="B1366" s="38">
        <f>IF($A1366="","",IFERROR(IF(INDEX(Pledges!$D$5:$D$2500,MATCH($G1366,Pledges!$K$5:$K$2500,0))="","⚠ no amount on Pledges",IF(INDEX(Pledges!$B$5:$B$2500,MATCH($G1366,Pledges!$K$5:$K$2500,0))="","",INDEX(Pledges!$B$5:$B$2500,MATCH($G1366,Pledges!$K$5:$K$2500,0)))),"⚠ phone not in Pledges"))</f>
      </c>
      <c r="C1366" s="12"/>
      <c r="D1366" s="13"/>
      <c r="E1366" s="22"/>
      <c r="F1366" s="23"/>
      <c r="G1366">
        <f>IF($A1366="","","#"&amp;TRIM(SUBSTITUTE(SUBSTITUTE(SUBSTITUTE(SUBSTITUTE(SUBSTITUTE(SUBSTITUTE($A1366,"-",""),"(",""),")",""),".",""),"+","")," ","")))</f>
      </c>
    </row>
    <row r="1367" spans="1:7" x14ac:dyDescent="0.3">
      <c r="A1367" s="11"/>
      <c r="B1367" s="38">
        <f>IF($A1367="","",IFERROR(IF(INDEX(Pledges!$D$5:$D$2500,MATCH($G1367,Pledges!$K$5:$K$2500,0))="","⚠ no amount on Pledges",IF(INDEX(Pledges!$B$5:$B$2500,MATCH($G1367,Pledges!$K$5:$K$2500,0))="","",INDEX(Pledges!$B$5:$B$2500,MATCH($G1367,Pledges!$K$5:$K$2500,0)))),"⚠ phone not in Pledges"))</f>
      </c>
      <c r="C1367" s="12"/>
      <c r="D1367" s="13"/>
      <c r="E1367" s="22"/>
      <c r="F1367" s="23"/>
      <c r="G1367">
        <f>IF($A1367="","","#"&amp;TRIM(SUBSTITUTE(SUBSTITUTE(SUBSTITUTE(SUBSTITUTE(SUBSTITUTE(SUBSTITUTE($A1367,"-",""),"(",""),")",""),".",""),"+","")," ","")))</f>
      </c>
    </row>
    <row r="1368" spans="1:7" x14ac:dyDescent="0.3">
      <c r="A1368" s="11"/>
      <c r="B1368" s="38">
        <f>IF($A1368="","",IFERROR(IF(INDEX(Pledges!$D$5:$D$2500,MATCH($G1368,Pledges!$K$5:$K$2500,0))="","⚠ no amount on Pledges",IF(INDEX(Pledges!$B$5:$B$2500,MATCH($G1368,Pledges!$K$5:$K$2500,0))="","",INDEX(Pledges!$B$5:$B$2500,MATCH($G1368,Pledges!$K$5:$K$2500,0)))),"⚠ phone not in Pledges"))</f>
      </c>
      <c r="C1368" s="12"/>
      <c r="D1368" s="13"/>
      <c r="E1368" s="22"/>
      <c r="F1368" s="23"/>
      <c r="G1368">
        <f>IF($A1368="","","#"&amp;TRIM(SUBSTITUTE(SUBSTITUTE(SUBSTITUTE(SUBSTITUTE(SUBSTITUTE(SUBSTITUTE($A1368,"-",""),"(",""),")",""),".",""),"+","")," ","")))</f>
      </c>
    </row>
    <row r="1369" spans="1:7" x14ac:dyDescent="0.3">
      <c r="A1369" s="11"/>
      <c r="B1369" s="38">
        <f>IF($A1369="","",IFERROR(IF(INDEX(Pledges!$D$5:$D$2500,MATCH($G1369,Pledges!$K$5:$K$2500,0))="","⚠ no amount on Pledges",IF(INDEX(Pledges!$B$5:$B$2500,MATCH($G1369,Pledges!$K$5:$K$2500,0))="","",INDEX(Pledges!$B$5:$B$2500,MATCH($G1369,Pledges!$K$5:$K$2500,0)))),"⚠ phone not in Pledges"))</f>
      </c>
      <c r="C1369" s="12"/>
      <c r="D1369" s="13"/>
      <c r="E1369" s="22"/>
      <c r="F1369" s="23"/>
      <c r="G1369">
        <f>IF($A1369="","","#"&amp;TRIM(SUBSTITUTE(SUBSTITUTE(SUBSTITUTE(SUBSTITUTE(SUBSTITUTE(SUBSTITUTE($A1369,"-",""),"(",""),")",""),".",""),"+","")," ","")))</f>
      </c>
    </row>
    <row r="1370" spans="1:7" x14ac:dyDescent="0.3">
      <c r="A1370" s="11"/>
      <c r="B1370" s="38">
        <f>IF($A1370="","",IFERROR(IF(INDEX(Pledges!$D$5:$D$2500,MATCH($G1370,Pledges!$K$5:$K$2500,0))="","⚠ no amount on Pledges",IF(INDEX(Pledges!$B$5:$B$2500,MATCH($G1370,Pledges!$K$5:$K$2500,0))="","",INDEX(Pledges!$B$5:$B$2500,MATCH($G1370,Pledges!$K$5:$K$2500,0)))),"⚠ phone not in Pledges"))</f>
      </c>
      <c r="C1370" s="12"/>
      <c r="D1370" s="13"/>
      <c r="E1370" s="22"/>
      <c r="F1370" s="23"/>
      <c r="G1370">
        <f>IF($A1370="","","#"&amp;TRIM(SUBSTITUTE(SUBSTITUTE(SUBSTITUTE(SUBSTITUTE(SUBSTITUTE(SUBSTITUTE($A1370,"-",""),"(",""),")",""),".",""),"+","")," ","")))</f>
      </c>
    </row>
    <row r="1371" spans="1:7" x14ac:dyDescent="0.3">
      <c r="A1371" s="11"/>
      <c r="B1371" s="38">
        <f>IF($A1371="","",IFERROR(IF(INDEX(Pledges!$D$5:$D$2500,MATCH($G1371,Pledges!$K$5:$K$2500,0))="","⚠ no amount on Pledges",IF(INDEX(Pledges!$B$5:$B$2500,MATCH($G1371,Pledges!$K$5:$K$2500,0))="","",INDEX(Pledges!$B$5:$B$2500,MATCH($G1371,Pledges!$K$5:$K$2500,0)))),"⚠ phone not in Pledges"))</f>
      </c>
      <c r="C1371" s="12"/>
      <c r="D1371" s="13"/>
      <c r="E1371" s="22"/>
      <c r="F1371" s="23"/>
      <c r="G1371">
        <f>IF($A1371="","","#"&amp;TRIM(SUBSTITUTE(SUBSTITUTE(SUBSTITUTE(SUBSTITUTE(SUBSTITUTE(SUBSTITUTE($A1371,"-",""),"(",""),")",""),".",""),"+","")," ","")))</f>
      </c>
    </row>
    <row r="1372" spans="1:7" x14ac:dyDescent="0.3">
      <c r="A1372" s="11"/>
      <c r="B1372" s="38">
        <f>IF($A1372="","",IFERROR(IF(INDEX(Pledges!$D$5:$D$2500,MATCH($G1372,Pledges!$K$5:$K$2500,0))="","⚠ no amount on Pledges",IF(INDEX(Pledges!$B$5:$B$2500,MATCH($G1372,Pledges!$K$5:$K$2500,0))="","",INDEX(Pledges!$B$5:$B$2500,MATCH($G1372,Pledges!$K$5:$K$2500,0)))),"⚠ phone not in Pledges"))</f>
      </c>
      <c r="C1372" s="12"/>
      <c r="D1372" s="13"/>
      <c r="E1372" s="22"/>
      <c r="F1372" s="23"/>
      <c r="G1372">
        <f>IF($A1372="","","#"&amp;TRIM(SUBSTITUTE(SUBSTITUTE(SUBSTITUTE(SUBSTITUTE(SUBSTITUTE(SUBSTITUTE($A1372,"-",""),"(",""),")",""),".",""),"+","")," ","")))</f>
      </c>
    </row>
    <row r="1373" spans="1:7" x14ac:dyDescent="0.3">
      <c r="A1373" s="11"/>
      <c r="B1373" s="38">
        <f>IF($A1373="","",IFERROR(IF(INDEX(Pledges!$D$5:$D$2500,MATCH($G1373,Pledges!$K$5:$K$2500,0))="","⚠ no amount on Pledges",IF(INDEX(Pledges!$B$5:$B$2500,MATCH($G1373,Pledges!$K$5:$K$2500,0))="","",INDEX(Pledges!$B$5:$B$2500,MATCH($G1373,Pledges!$K$5:$K$2500,0)))),"⚠ phone not in Pledges"))</f>
      </c>
      <c r="C1373" s="12"/>
      <c r="D1373" s="13"/>
      <c r="E1373" s="22"/>
      <c r="F1373" s="23"/>
      <c r="G1373">
        <f>IF($A1373="","","#"&amp;TRIM(SUBSTITUTE(SUBSTITUTE(SUBSTITUTE(SUBSTITUTE(SUBSTITUTE(SUBSTITUTE($A1373,"-",""),"(",""),")",""),".",""),"+","")," ","")))</f>
      </c>
    </row>
    <row r="1374" spans="1:7" x14ac:dyDescent="0.3">
      <c r="A1374" s="11"/>
      <c r="B1374" s="38">
        <f>IF($A1374="","",IFERROR(IF(INDEX(Pledges!$D$5:$D$2500,MATCH($G1374,Pledges!$K$5:$K$2500,0))="","⚠ no amount on Pledges",IF(INDEX(Pledges!$B$5:$B$2500,MATCH($G1374,Pledges!$K$5:$K$2500,0))="","",INDEX(Pledges!$B$5:$B$2500,MATCH($G1374,Pledges!$K$5:$K$2500,0)))),"⚠ phone not in Pledges"))</f>
      </c>
      <c r="C1374" s="12"/>
      <c r="D1374" s="13"/>
      <c r="E1374" s="22"/>
      <c r="F1374" s="23"/>
      <c r="G1374">
        <f>IF($A1374="","","#"&amp;TRIM(SUBSTITUTE(SUBSTITUTE(SUBSTITUTE(SUBSTITUTE(SUBSTITUTE(SUBSTITUTE($A1374,"-",""),"(",""),")",""),".",""),"+","")," ","")))</f>
      </c>
    </row>
    <row r="1375" spans="1:7" x14ac:dyDescent="0.3">
      <c r="A1375" s="11"/>
      <c r="B1375" s="38">
        <f>IF($A1375="","",IFERROR(IF(INDEX(Pledges!$D$5:$D$2500,MATCH($G1375,Pledges!$K$5:$K$2500,0))="","⚠ no amount on Pledges",IF(INDEX(Pledges!$B$5:$B$2500,MATCH($G1375,Pledges!$K$5:$K$2500,0))="","",INDEX(Pledges!$B$5:$B$2500,MATCH($G1375,Pledges!$K$5:$K$2500,0)))),"⚠ phone not in Pledges"))</f>
      </c>
      <c r="C1375" s="12"/>
      <c r="D1375" s="13"/>
      <c r="E1375" s="22"/>
      <c r="F1375" s="23"/>
      <c r="G1375">
        <f>IF($A1375="","","#"&amp;TRIM(SUBSTITUTE(SUBSTITUTE(SUBSTITUTE(SUBSTITUTE(SUBSTITUTE(SUBSTITUTE($A1375,"-",""),"(",""),")",""),".",""),"+","")," ","")))</f>
      </c>
    </row>
    <row r="1376" spans="1:7" x14ac:dyDescent="0.3">
      <c r="A1376" s="11"/>
      <c r="B1376" s="38">
        <f>IF($A1376="","",IFERROR(IF(INDEX(Pledges!$D$5:$D$2500,MATCH($G1376,Pledges!$K$5:$K$2500,0))="","⚠ no amount on Pledges",IF(INDEX(Pledges!$B$5:$B$2500,MATCH($G1376,Pledges!$K$5:$K$2500,0))="","",INDEX(Pledges!$B$5:$B$2500,MATCH($G1376,Pledges!$K$5:$K$2500,0)))),"⚠ phone not in Pledges"))</f>
      </c>
      <c r="C1376" s="12"/>
      <c r="D1376" s="13"/>
      <c r="E1376" s="22"/>
      <c r="F1376" s="23"/>
      <c r="G1376">
        <f>IF($A1376="","","#"&amp;TRIM(SUBSTITUTE(SUBSTITUTE(SUBSTITUTE(SUBSTITUTE(SUBSTITUTE(SUBSTITUTE($A1376,"-",""),"(",""),")",""),".",""),"+","")," ","")))</f>
      </c>
    </row>
    <row r="1377" spans="1:7" x14ac:dyDescent="0.3">
      <c r="A1377" s="11"/>
      <c r="B1377" s="38">
        <f>IF($A1377="","",IFERROR(IF(INDEX(Pledges!$D$5:$D$2500,MATCH($G1377,Pledges!$K$5:$K$2500,0))="","⚠ no amount on Pledges",IF(INDEX(Pledges!$B$5:$B$2500,MATCH($G1377,Pledges!$K$5:$K$2500,0))="","",INDEX(Pledges!$B$5:$B$2500,MATCH($G1377,Pledges!$K$5:$K$2500,0)))),"⚠ phone not in Pledges"))</f>
      </c>
      <c r="C1377" s="12"/>
      <c r="D1377" s="13"/>
      <c r="E1377" s="22"/>
      <c r="F1377" s="23"/>
      <c r="G1377">
        <f>IF($A1377="","","#"&amp;TRIM(SUBSTITUTE(SUBSTITUTE(SUBSTITUTE(SUBSTITUTE(SUBSTITUTE(SUBSTITUTE($A1377,"-",""),"(",""),")",""),".",""),"+","")," ","")))</f>
      </c>
    </row>
    <row r="1378" spans="1:7" x14ac:dyDescent="0.3">
      <c r="A1378" s="11"/>
      <c r="B1378" s="38">
        <f>IF($A1378="","",IFERROR(IF(INDEX(Pledges!$D$5:$D$2500,MATCH($G1378,Pledges!$K$5:$K$2500,0))="","⚠ no amount on Pledges",IF(INDEX(Pledges!$B$5:$B$2500,MATCH($G1378,Pledges!$K$5:$K$2500,0))="","",INDEX(Pledges!$B$5:$B$2500,MATCH($G1378,Pledges!$K$5:$K$2500,0)))),"⚠ phone not in Pledges"))</f>
      </c>
      <c r="C1378" s="12"/>
      <c r="D1378" s="13"/>
      <c r="E1378" s="22"/>
      <c r="F1378" s="23"/>
      <c r="G1378">
        <f>IF($A1378="","","#"&amp;TRIM(SUBSTITUTE(SUBSTITUTE(SUBSTITUTE(SUBSTITUTE(SUBSTITUTE(SUBSTITUTE($A1378,"-",""),"(",""),")",""),".",""),"+","")," ","")))</f>
      </c>
    </row>
    <row r="1379" spans="1:7" x14ac:dyDescent="0.3">
      <c r="A1379" s="11"/>
      <c r="B1379" s="38">
        <f>IF($A1379="","",IFERROR(IF(INDEX(Pledges!$D$5:$D$2500,MATCH($G1379,Pledges!$K$5:$K$2500,0))="","⚠ no amount on Pledges",IF(INDEX(Pledges!$B$5:$B$2500,MATCH($G1379,Pledges!$K$5:$K$2500,0))="","",INDEX(Pledges!$B$5:$B$2500,MATCH($G1379,Pledges!$K$5:$K$2500,0)))),"⚠ phone not in Pledges"))</f>
      </c>
      <c r="C1379" s="12"/>
      <c r="D1379" s="13"/>
      <c r="E1379" s="22"/>
      <c r="F1379" s="23"/>
      <c r="G1379">
        <f>IF($A1379="","","#"&amp;TRIM(SUBSTITUTE(SUBSTITUTE(SUBSTITUTE(SUBSTITUTE(SUBSTITUTE(SUBSTITUTE($A1379,"-",""),"(",""),")",""),".",""),"+","")," ","")))</f>
      </c>
    </row>
    <row r="1380" spans="1:7" x14ac:dyDescent="0.3">
      <c r="A1380" s="11"/>
      <c r="B1380" s="38">
        <f>IF($A1380="","",IFERROR(IF(INDEX(Pledges!$D$5:$D$2500,MATCH($G1380,Pledges!$K$5:$K$2500,0))="","⚠ no amount on Pledges",IF(INDEX(Pledges!$B$5:$B$2500,MATCH($G1380,Pledges!$K$5:$K$2500,0))="","",INDEX(Pledges!$B$5:$B$2500,MATCH($G1380,Pledges!$K$5:$K$2500,0)))),"⚠ phone not in Pledges"))</f>
      </c>
      <c r="C1380" s="12"/>
      <c r="D1380" s="13"/>
      <c r="E1380" s="22"/>
      <c r="F1380" s="23"/>
      <c r="G1380">
        <f>IF($A1380="","","#"&amp;TRIM(SUBSTITUTE(SUBSTITUTE(SUBSTITUTE(SUBSTITUTE(SUBSTITUTE(SUBSTITUTE($A1380,"-",""),"(",""),")",""),".",""),"+","")," ","")))</f>
      </c>
    </row>
    <row r="1381" spans="1:7" x14ac:dyDescent="0.3">
      <c r="A1381" s="11"/>
      <c r="B1381" s="38">
        <f>IF($A1381="","",IFERROR(IF(INDEX(Pledges!$D$5:$D$2500,MATCH($G1381,Pledges!$K$5:$K$2500,0))="","⚠ no amount on Pledges",IF(INDEX(Pledges!$B$5:$B$2500,MATCH($G1381,Pledges!$K$5:$K$2500,0))="","",INDEX(Pledges!$B$5:$B$2500,MATCH($G1381,Pledges!$K$5:$K$2500,0)))),"⚠ phone not in Pledges"))</f>
      </c>
      <c r="C1381" s="12"/>
      <c r="D1381" s="13"/>
      <c r="E1381" s="22"/>
      <c r="F1381" s="23"/>
      <c r="G1381">
        <f>IF($A1381="","","#"&amp;TRIM(SUBSTITUTE(SUBSTITUTE(SUBSTITUTE(SUBSTITUTE(SUBSTITUTE(SUBSTITUTE($A1381,"-",""),"(",""),")",""),".",""),"+","")," ","")))</f>
      </c>
    </row>
    <row r="1382" spans="1:7" x14ac:dyDescent="0.3">
      <c r="A1382" s="11"/>
      <c r="B1382" s="38">
        <f>IF($A1382="","",IFERROR(IF(INDEX(Pledges!$D$5:$D$2500,MATCH($G1382,Pledges!$K$5:$K$2500,0))="","⚠ no amount on Pledges",IF(INDEX(Pledges!$B$5:$B$2500,MATCH($G1382,Pledges!$K$5:$K$2500,0))="","",INDEX(Pledges!$B$5:$B$2500,MATCH($G1382,Pledges!$K$5:$K$2500,0)))),"⚠ phone not in Pledges"))</f>
      </c>
      <c r="C1382" s="12"/>
      <c r="D1382" s="13"/>
      <c r="E1382" s="22"/>
      <c r="F1382" s="23"/>
      <c r="G1382">
        <f>IF($A1382="","","#"&amp;TRIM(SUBSTITUTE(SUBSTITUTE(SUBSTITUTE(SUBSTITUTE(SUBSTITUTE(SUBSTITUTE($A1382,"-",""),"(",""),")",""),".",""),"+","")," ","")))</f>
      </c>
    </row>
    <row r="1383" spans="1:7" x14ac:dyDescent="0.3">
      <c r="A1383" s="11"/>
      <c r="B1383" s="38">
        <f>IF($A1383="","",IFERROR(IF(INDEX(Pledges!$D$5:$D$2500,MATCH($G1383,Pledges!$K$5:$K$2500,0))="","⚠ no amount on Pledges",IF(INDEX(Pledges!$B$5:$B$2500,MATCH($G1383,Pledges!$K$5:$K$2500,0))="","",INDEX(Pledges!$B$5:$B$2500,MATCH($G1383,Pledges!$K$5:$K$2500,0)))),"⚠ phone not in Pledges"))</f>
      </c>
      <c r="C1383" s="12"/>
      <c r="D1383" s="13"/>
      <c r="E1383" s="22"/>
      <c r="F1383" s="23"/>
      <c r="G1383">
        <f>IF($A1383="","","#"&amp;TRIM(SUBSTITUTE(SUBSTITUTE(SUBSTITUTE(SUBSTITUTE(SUBSTITUTE(SUBSTITUTE($A1383,"-",""),"(",""),")",""),".",""),"+","")," ","")))</f>
      </c>
    </row>
    <row r="1384" spans="1:7" x14ac:dyDescent="0.3">
      <c r="A1384" s="11"/>
      <c r="B1384" s="38">
        <f>IF($A1384="","",IFERROR(IF(INDEX(Pledges!$D$5:$D$2500,MATCH($G1384,Pledges!$K$5:$K$2500,0))="","⚠ no amount on Pledges",IF(INDEX(Pledges!$B$5:$B$2500,MATCH($G1384,Pledges!$K$5:$K$2500,0))="","",INDEX(Pledges!$B$5:$B$2500,MATCH($G1384,Pledges!$K$5:$K$2500,0)))),"⚠ phone not in Pledges"))</f>
      </c>
      <c r="C1384" s="12"/>
      <c r="D1384" s="13"/>
      <c r="E1384" s="22"/>
      <c r="F1384" s="23"/>
      <c r="G1384">
        <f>IF($A1384="","","#"&amp;TRIM(SUBSTITUTE(SUBSTITUTE(SUBSTITUTE(SUBSTITUTE(SUBSTITUTE(SUBSTITUTE($A1384,"-",""),"(",""),")",""),".",""),"+","")," ","")))</f>
      </c>
    </row>
    <row r="1385" spans="1:7" x14ac:dyDescent="0.3">
      <c r="A1385" s="11"/>
      <c r="B1385" s="38">
        <f>IF($A1385="","",IFERROR(IF(INDEX(Pledges!$D$5:$D$2500,MATCH($G1385,Pledges!$K$5:$K$2500,0))="","⚠ no amount on Pledges",IF(INDEX(Pledges!$B$5:$B$2500,MATCH($G1385,Pledges!$K$5:$K$2500,0))="","",INDEX(Pledges!$B$5:$B$2500,MATCH($G1385,Pledges!$K$5:$K$2500,0)))),"⚠ phone not in Pledges"))</f>
      </c>
      <c r="C1385" s="12"/>
      <c r="D1385" s="13"/>
      <c r="E1385" s="22"/>
      <c r="F1385" s="23"/>
      <c r="G1385">
        <f>IF($A1385="","","#"&amp;TRIM(SUBSTITUTE(SUBSTITUTE(SUBSTITUTE(SUBSTITUTE(SUBSTITUTE(SUBSTITUTE($A1385,"-",""),"(",""),")",""),".",""),"+","")," ","")))</f>
      </c>
    </row>
    <row r="1386" spans="1:7" x14ac:dyDescent="0.3">
      <c r="A1386" s="11"/>
      <c r="B1386" s="38">
        <f>IF($A1386="","",IFERROR(IF(INDEX(Pledges!$D$5:$D$2500,MATCH($G1386,Pledges!$K$5:$K$2500,0))="","⚠ no amount on Pledges",IF(INDEX(Pledges!$B$5:$B$2500,MATCH($G1386,Pledges!$K$5:$K$2500,0))="","",INDEX(Pledges!$B$5:$B$2500,MATCH($G1386,Pledges!$K$5:$K$2500,0)))),"⚠ phone not in Pledges"))</f>
      </c>
      <c r="C1386" s="12"/>
      <c r="D1386" s="13"/>
      <c r="E1386" s="22"/>
      <c r="F1386" s="23"/>
      <c r="G1386">
        <f>IF($A1386="","","#"&amp;TRIM(SUBSTITUTE(SUBSTITUTE(SUBSTITUTE(SUBSTITUTE(SUBSTITUTE(SUBSTITUTE($A1386,"-",""),"(",""),")",""),".",""),"+","")," ","")))</f>
      </c>
    </row>
    <row r="1387" spans="1:7" x14ac:dyDescent="0.3">
      <c r="A1387" s="11"/>
      <c r="B1387" s="38">
        <f>IF($A1387="","",IFERROR(IF(INDEX(Pledges!$D$5:$D$2500,MATCH($G1387,Pledges!$K$5:$K$2500,0))="","⚠ no amount on Pledges",IF(INDEX(Pledges!$B$5:$B$2500,MATCH($G1387,Pledges!$K$5:$K$2500,0))="","",INDEX(Pledges!$B$5:$B$2500,MATCH($G1387,Pledges!$K$5:$K$2500,0)))),"⚠ phone not in Pledges"))</f>
      </c>
      <c r="C1387" s="12"/>
      <c r="D1387" s="13"/>
      <c r="E1387" s="22"/>
      <c r="F1387" s="23"/>
      <c r="G1387">
        <f>IF($A1387="","","#"&amp;TRIM(SUBSTITUTE(SUBSTITUTE(SUBSTITUTE(SUBSTITUTE(SUBSTITUTE(SUBSTITUTE($A1387,"-",""),"(",""),")",""),".",""),"+","")," ","")))</f>
      </c>
    </row>
    <row r="1388" spans="1:7" x14ac:dyDescent="0.3">
      <c r="A1388" s="11"/>
      <c r="B1388" s="38">
        <f>IF($A1388="","",IFERROR(IF(INDEX(Pledges!$D$5:$D$2500,MATCH($G1388,Pledges!$K$5:$K$2500,0))="","⚠ no amount on Pledges",IF(INDEX(Pledges!$B$5:$B$2500,MATCH($G1388,Pledges!$K$5:$K$2500,0))="","",INDEX(Pledges!$B$5:$B$2500,MATCH($G1388,Pledges!$K$5:$K$2500,0)))),"⚠ phone not in Pledges"))</f>
      </c>
      <c r="C1388" s="12"/>
      <c r="D1388" s="13"/>
      <c r="E1388" s="22"/>
      <c r="F1388" s="23"/>
      <c r="G1388">
        <f>IF($A1388="","","#"&amp;TRIM(SUBSTITUTE(SUBSTITUTE(SUBSTITUTE(SUBSTITUTE(SUBSTITUTE(SUBSTITUTE($A1388,"-",""),"(",""),")",""),".",""),"+","")," ","")))</f>
      </c>
    </row>
    <row r="1389" spans="1:7" x14ac:dyDescent="0.3">
      <c r="A1389" s="11"/>
      <c r="B1389" s="38">
        <f>IF($A1389="","",IFERROR(IF(INDEX(Pledges!$D$5:$D$2500,MATCH($G1389,Pledges!$K$5:$K$2500,0))="","⚠ no amount on Pledges",IF(INDEX(Pledges!$B$5:$B$2500,MATCH($G1389,Pledges!$K$5:$K$2500,0))="","",INDEX(Pledges!$B$5:$B$2500,MATCH($G1389,Pledges!$K$5:$K$2500,0)))),"⚠ phone not in Pledges"))</f>
      </c>
      <c r="C1389" s="12"/>
      <c r="D1389" s="13"/>
      <c r="E1389" s="22"/>
      <c r="F1389" s="23"/>
      <c r="G1389">
        <f>IF($A1389="","","#"&amp;TRIM(SUBSTITUTE(SUBSTITUTE(SUBSTITUTE(SUBSTITUTE(SUBSTITUTE(SUBSTITUTE($A1389,"-",""),"(",""),")",""),".",""),"+","")," ","")))</f>
      </c>
    </row>
    <row r="1390" spans="1:7" x14ac:dyDescent="0.3">
      <c r="A1390" s="11"/>
      <c r="B1390" s="38">
        <f>IF($A1390="","",IFERROR(IF(INDEX(Pledges!$D$5:$D$2500,MATCH($G1390,Pledges!$K$5:$K$2500,0))="","⚠ no amount on Pledges",IF(INDEX(Pledges!$B$5:$B$2500,MATCH($G1390,Pledges!$K$5:$K$2500,0))="","",INDEX(Pledges!$B$5:$B$2500,MATCH($G1390,Pledges!$K$5:$K$2500,0)))),"⚠ phone not in Pledges"))</f>
      </c>
      <c r="C1390" s="12"/>
      <c r="D1390" s="13"/>
      <c r="E1390" s="22"/>
      <c r="F1390" s="23"/>
      <c r="G1390">
        <f>IF($A1390="","","#"&amp;TRIM(SUBSTITUTE(SUBSTITUTE(SUBSTITUTE(SUBSTITUTE(SUBSTITUTE(SUBSTITUTE($A1390,"-",""),"(",""),")",""),".",""),"+","")," ","")))</f>
      </c>
    </row>
    <row r="1391" spans="1:7" x14ac:dyDescent="0.3">
      <c r="A1391" s="11"/>
      <c r="B1391" s="38">
        <f>IF($A1391="","",IFERROR(IF(INDEX(Pledges!$D$5:$D$2500,MATCH($G1391,Pledges!$K$5:$K$2500,0))="","⚠ no amount on Pledges",IF(INDEX(Pledges!$B$5:$B$2500,MATCH($G1391,Pledges!$K$5:$K$2500,0))="","",INDEX(Pledges!$B$5:$B$2500,MATCH($G1391,Pledges!$K$5:$K$2500,0)))),"⚠ phone not in Pledges"))</f>
      </c>
      <c r="C1391" s="12"/>
      <c r="D1391" s="13"/>
      <c r="E1391" s="22"/>
      <c r="F1391" s="23"/>
      <c r="G1391">
        <f>IF($A1391="","","#"&amp;TRIM(SUBSTITUTE(SUBSTITUTE(SUBSTITUTE(SUBSTITUTE(SUBSTITUTE(SUBSTITUTE($A1391,"-",""),"(",""),")",""),".",""),"+","")," ","")))</f>
      </c>
    </row>
    <row r="1392" spans="1:7" x14ac:dyDescent="0.3">
      <c r="A1392" s="11"/>
      <c r="B1392" s="38">
        <f>IF($A1392="","",IFERROR(IF(INDEX(Pledges!$D$5:$D$2500,MATCH($G1392,Pledges!$K$5:$K$2500,0))="","⚠ no amount on Pledges",IF(INDEX(Pledges!$B$5:$B$2500,MATCH($G1392,Pledges!$K$5:$K$2500,0))="","",INDEX(Pledges!$B$5:$B$2500,MATCH($G1392,Pledges!$K$5:$K$2500,0)))),"⚠ phone not in Pledges"))</f>
      </c>
      <c r="C1392" s="12"/>
      <c r="D1392" s="13"/>
      <c r="E1392" s="22"/>
      <c r="F1392" s="23"/>
      <c r="G1392">
        <f>IF($A1392="","","#"&amp;TRIM(SUBSTITUTE(SUBSTITUTE(SUBSTITUTE(SUBSTITUTE(SUBSTITUTE(SUBSTITUTE($A1392,"-",""),"(",""),")",""),".",""),"+","")," ","")))</f>
      </c>
    </row>
    <row r="1393" spans="1:7" x14ac:dyDescent="0.3">
      <c r="A1393" s="11"/>
      <c r="B1393" s="38">
        <f>IF($A1393="","",IFERROR(IF(INDEX(Pledges!$D$5:$D$2500,MATCH($G1393,Pledges!$K$5:$K$2500,0))="","⚠ no amount on Pledges",IF(INDEX(Pledges!$B$5:$B$2500,MATCH($G1393,Pledges!$K$5:$K$2500,0))="","",INDEX(Pledges!$B$5:$B$2500,MATCH($G1393,Pledges!$K$5:$K$2500,0)))),"⚠ phone not in Pledges"))</f>
      </c>
      <c r="C1393" s="12"/>
      <c r="D1393" s="13"/>
      <c r="E1393" s="22"/>
      <c r="F1393" s="23"/>
      <c r="G1393">
        <f>IF($A1393="","","#"&amp;TRIM(SUBSTITUTE(SUBSTITUTE(SUBSTITUTE(SUBSTITUTE(SUBSTITUTE(SUBSTITUTE($A1393,"-",""),"(",""),")",""),".",""),"+","")," ","")))</f>
      </c>
    </row>
    <row r="1394" spans="1:7" x14ac:dyDescent="0.3">
      <c r="A1394" s="11"/>
      <c r="B1394" s="38">
        <f>IF($A1394="","",IFERROR(IF(INDEX(Pledges!$D$5:$D$2500,MATCH($G1394,Pledges!$K$5:$K$2500,0))="","⚠ no amount on Pledges",IF(INDEX(Pledges!$B$5:$B$2500,MATCH($G1394,Pledges!$K$5:$K$2500,0))="","",INDEX(Pledges!$B$5:$B$2500,MATCH($G1394,Pledges!$K$5:$K$2500,0)))),"⚠ phone not in Pledges"))</f>
      </c>
      <c r="C1394" s="12"/>
      <c r="D1394" s="13"/>
      <c r="E1394" s="22"/>
      <c r="F1394" s="23"/>
      <c r="G1394">
        <f>IF($A1394="","","#"&amp;TRIM(SUBSTITUTE(SUBSTITUTE(SUBSTITUTE(SUBSTITUTE(SUBSTITUTE(SUBSTITUTE($A1394,"-",""),"(",""),")",""),".",""),"+","")," ","")))</f>
      </c>
    </row>
    <row r="1395" spans="1:7" x14ac:dyDescent="0.3">
      <c r="A1395" s="11"/>
      <c r="B1395" s="38">
        <f>IF($A1395="","",IFERROR(IF(INDEX(Pledges!$D$5:$D$2500,MATCH($G1395,Pledges!$K$5:$K$2500,0))="","⚠ no amount on Pledges",IF(INDEX(Pledges!$B$5:$B$2500,MATCH($G1395,Pledges!$K$5:$K$2500,0))="","",INDEX(Pledges!$B$5:$B$2500,MATCH($G1395,Pledges!$K$5:$K$2500,0)))),"⚠ phone not in Pledges"))</f>
      </c>
      <c r="C1395" s="12"/>
      <c r="D1395" s="13"/>
      <c r="E1395" s="22"/>
      <c r="F1395" s="23"/>
      <c r="G1395">
        <f>IF($A1395="","","#"&amp;TRIM(SUBSTITUTE(SUBSTITUTE(SUBSTITUTE(SUBSTITUTE(SUBSTITUTE(SUBSTITUTE($A1395,"-",""),"(",""),")",""),".",""),"+","")," ","")))</f>
      </c>
    </row>
    <row r="1396" spans="1:7" x14ac:dyDescent="0.3">
      <c r="A1396" s="11"/>
      <c r="B1396" s="38">
        <f>IF($A1396="","",IFERROR(IF(INDEX(Pledges!$D$5:$D$2500,MATCH($G1396,Pledges!$K$5:$K$2500,0))="","⚠ no amount on Pledges",IF(INDEX(Pledges!$B$5:$B$2500,MATCH($G1396,Pledges!$K$5:$K$2500,0))="","",INDEX(Pledges!$B$5:$B$2500,MATCH($G1396,Pledges!$K$5:$K$2500,0)))),"⚠ phone not in Pledges"))</f>
      </c>
      <c r="C1396" s="12"/>
      <c r="D1396" s="13"/>
      <c r="E1396" s="22"/>
      <c r="F1396" s="23"/>
      <c r="G1396">
        <f>IF($A1396="","","#"&amp;TRIM(SUBSTITUTE(SUBSTITUTE(SUBSTITUTE(SUBSTITUTE(SUBSTITUTE(SUBSTITUTE($A1396,"-",""),"(",""),")",""),".",""),"+","")," ","")))</f>
      </c>
    </row>
    <row r="1397" spans="1:7" x14ac:dyDescent="0.3">
      <c r="A1397" s="11"/>
      <c r="B1397" s="38">
        <f>IF($A1397="","",IFERROR(IF(INDEX(Pledges!$D$5:$D$2500,MATCH($G1397,Pledges!$K$5:$K$2500,0))="","⚠ no amount on Pledges",IF(INDEX(Pledges!$B$5:$B$2500,MATCH($G1397,Pledges!$K$5:$K$2500,0))="","",INDEX(Pledges!$B$5:$B$2500,MATCH($G1397,Pledges!$K$5:$K$2500,0)))),"⚠ phone not in Pledges"))</f>
      </c>
      <c r="C1397" s="12"/>
      <c r="D1397" s="13"/>
      <c r="E1397" s="22"/>
      <c r="F1397" s="23"/>
      <c r="G1397">
        <f>IF($A1397="","","#"&amp;TRIM(SUBSTITUTE(SUBSTITUTE(SUBSTITUTE(SUBSTITUTE(SUBSTITUTE(SUBSTITUTE($A1397,"-",""),"(",""),")",""),".",""),"+","")," ","")))</f>
      </c>
    </row>
    <row r="1398" spans="1:7" x14ac:dyDescent="0.3">
      <c r="A1398" s="11"/>
      <c r="B1398" s="38">
        <f>IF($A1398="","",IFERROR(IF(INDEX(Pledges!$D$5:$D$2500,MATCH($G1398,Pledges!$K$5:$K$2500,0))="","⚠ no amount on Pledges",IF(INDEX(Pledges!$B$5:$B$2500,MATCH($G1398,Pledges!$K$5:$K$2500,0))="","",INDEX(Pledges!$B$5:$B$2500,MATCH($G1398,Pledges!$K$5:$K$2500,0)))),"⚠ phone not in Pledges"))</f>
      </c>
      <c r="C1398" s="12"/>
      <c r="D1398" s="13"/>
      <c r="E1398" s="22"/>
      <c r="F1398" s="23"/>
      <c r="G1398">
        <f>IF($A1398="","","#"&amp;TRIM(SUBSTITUTE(SUBSTITUTE(SUBSTITUTE(SUBSTITUTE(SUBSTITUTE(SUBSTITUTE($A1398,"-",""),"(",""),")",""),".",""),"+","")," ","")))</f>
      </c>
    </row>
    <row r="1399" spans="1:7" x14ac:dyDescent="0.3">
      <c r="A1399" s="11"/>
      <c r="B1399" s="38">
        <f>IF($A1399="","",IFERROR(IF(INDEX(Pledges!$D$5:$D$2500,MATCH($G1399,Pledges!$K$5:$K$2500,0))="","⚠ no amount on Pledges",IF(INDEX(Pledges!$B$5:$B$2500,MATCH($G1399,Pledges!$K$5:$K$2500,0))="","",INDEX(Pledges!$B$5:$B$2500,MATCH($G1399,Pledges!$K$5:$K$2500,0)))),"⚠ phone not in Pledges"))</f>
      </c>
      <c r="C1399" s="12"/>
      <c r="D1399" s="13"/>
      <c r="E1399" s="22"/>
      <c r="F1399" s="23"/>
      <c r="G1399">
        <f>IF($A1399="","","#"&amp;TRIM(SUBSTITUTE(SUBSTITUTE(SUBSTITUTE(SUBSTITUTE(SUBSTITUTE(SUBSTITUTE($A1399,"-",""),"(",""),")",""),".",""),"+","")," ","")))</f>
      </c>
    </row>
    <row r="1400" spans="1:7" x14ac:dyDescent="0.3">
      <c r="A1400" s="11"/>
      <c r="B1400" s="38">
        <f>IF($A1400="","",IFERROR(IF(INDEX(Pledges!$D$5:$D$2500,MATCH($G1400,Pledges!$K$5:$K$2500,0))="","⚠ no amount on Pledges",IF(INDEX(Pledges!$B$5:$B$2500,MATCH($G1400,Pledges!$K$5:$K$2500,0))="","",INDEX(Pledges!$B$5:$B$2500,MATCH($G1400,Pledges!$K$5:$K$2500,0)))),"⚠ phone not in Pledges"))</f>
      </c>
      <c r="C1400" s="12"/>
      <c r="D1400" s="13"/>
      <c r="E1400" s="22"/>
      <c r="F1400" s="23"/>
      <c r="G1400">
        <f>IF($A1400="","","#"&amp;TRIM(SUBSTITUTE(SUBSTITUTE(SUBSTITUTE(SUBSTITUTE(SUBSTITUTE(SUBSTITUTE($A1400,"-",""),"(",""),")",""),".",""),"+","")," ","")))</f>
      </c>
    </row>
    <row r="1401" spans="1:7" x14ac:dyDescent="0.3">
      <c r="A1401" s="11"/>
      <c r="B1401" s="38">
        <f>IF($A1401="","",IFERROR(IF(INDEX(Pledges!$D$5:$D$2500,MATCH($G1401,Pledges!$K$5:$K$2500,0))="","⚠ no amount on Pledges",IF(INDEX(Pledges!$B$5:$B$2500,MATCH($G1401,Pledges!$K$5:$K$2500,0))="","",INDEX(Pledges!$B$5:$B$2500,MATCH($G1401,Pledges!$K$5:$K$2500,0)))),"⚠ phone not in Pledges"))</f>
      </c>
      <c r="C1401" s="12"/>
      <c r="D1401" s="13"/>
      <c r="E1401" s="22"/>
      <c r="F1401" s="23"/>
      <c r="G1401">
        <f>IF($A1401="","","#"&amp;TRIM(SUBSTITUTE(SUBSTITUTE(SUBSTITUTE(SUBSTITUTE(SUBSTITUTE(SUBSTITUTE($A1401,"-",""),"(",""),")",""),".",""),"+","")," ","")))</f>
      </c>
    </row>
    <row r="1402" spans="1:7" x14ac:dyDescent="0.3">
      <c r="A1402" s="11"/>
      <c r="B1402" s="38">
        <f>IF($A1402="","",IFERROR(IF(INDEX(Pledges!$D$5:$D$2500,MATCH($G1402,Pledges!$K$5:$K$2500,0))="","⚠ no amount on Pledges",IF(INDEX(Pledges!$B$5:$B$2500,MATCH($G1402,Pledges!$K$5:$K$2500,0))="","",INDEX(Pledges!$B$5:$B$2500,MATCH($G1402,Pledges!$K$5:$K$2500,0)))),"⚠ phone not in Pledges"))</f>
      </c>
      <c r="C1402" s="12"/>
      <c r="D1402" s="13"/>
      <c r="E1402" s="22"/>
      <c r="F1402" s="23"/>
      <c r="G1402">
        <f>IF($A1402="","","#"&amp;TRIM(SUBSTITUTE(SUBSTITUTE(SUBSTITUTE(SUBSTITUTE(SUBSTITUTE(SUBSTITUTE($A1402,"-",""),"(",""),")",""),".",""),"+","")," ","")))</f>
      </c>
    </row>
    <row r="1403" spans="1:7" x14ac:dyDescent="0.3">
      <c r="A1403" s="11"/>
      <c r="B1403" s="38">
        <f>IF($A1403="","",IFERROR(IF(INDEX(Pledges!$D$5:$D$2500,MATCH($G1403,Pledges!$K$5:$K$2500,0))="","⚠ no amount on Pledges",IF(INDEX(Pledges!$B$5:$B$2500,MATCH($G1403,Pledges!$K$5:$K$2500,0))="","",INDEX(Pledges!$B$5:$B$2500,MATCH($G1403,Pledges!$K$5:$K$2500,0)))),"⚠ phone not in Pledges"))</f>
      </c>
      <c r="C1403" s="12"/>
      <c r="D1403" s="13"/>
      <c r="E1403" s="22"/>
      <c r="F1403" s="23"/>
      <c r="G1403">
        <f>IF($A1403="","","#"&amp;TRIM(SUBSTITUTE(SUBSTITUTE(SUBSTITUTE(SUBSTITUTE(SUBSTITUTE(SUBSTITUTE($A1403,"-",""),"(",""),")",""),".",""),"+","")," ","")))</f>
      </c>
    </row>
    <row r="1404" spans="1:7" x14ac:dyDescent="0.3">
      <c r="A1404" s="11"/>
      <c r="B1404" s="38">
        <f>IF($A1404="","",IFERROR(IF(INDEX(Pledges!$D$5:$D$2500,MATCH($G1404,Pledges!$K$5:$K$2500,0))="","⚠ no amount on Pledges",IF(INDEX(Pledges!$B$5:$B$2500,MATCH($G1404,Pledges!$K$5:$K$2500,0))="","",INDEX(Pledges!$B$5:$B$2500,MATCH($G1404,Pledges!$K$5:$K$2500,0)))),"⚠ phone not in Pledges"))</f>
      </c>
      <c r="C1404" s="12"/>
      <c r="D1404" s="13"/>
      <c r="E1404" s="22"/>
      <c r="F1404" s="23"/>
      <c r="G1404">
        <f>IF($A1404="","","#"&amp;TRIM(SUBSTITUTE(SUBSTITUTE(SUBSTITUTE(SUBSTITUTE(SUBSTITUTE(SUBSTITUTE($A1404,"-",""),"(",""),")",""),".",""),"+","")," ","")))</f>
      </c>
    </row>
    <row r="1405" spans="1:7" x14ac:dyDescent="0.3">
      <c r="A1405" s="11"/>
      <c r="B1405" s="38">
        <f>IF($A1405="","",IFERROR(IF(INDEX(Pledges!$D$5:$D$2500,MATCH($G1405,Pledges!$K$5:$K$2500,0))="","⚠ no amount on Pledges",IF(INDEX(Pledges!$B$5:$B$2500,MATCH($G1405,Pledges!$K$5:$K$2500,0))="","",INDEX(Pledges!$B$5:$B$2500,MATCH($G1405,Pledges!$K$5:$K$2500,0)))),"⚠ phone not in Pledges"))</f>
      </c>
      <c r="C1405" s="12"/>
      <c r="D1405" s="13"/>
      <c r="E1405" s="22"/>
      <c r="F1405" s="23"/>
      <c r="G1405">
        <f>IF($A1405="","","#"&amp;TRIM(SUBSTITUTE(SUBSTITUTE(SUBSTITUTE(SUBSTITUTE(SUBSTITUTE(SUBSTITUTE($A1405,"-",""),"(",""),")",""),".",""),"+","")," ","")))</f>
      </c>
    </row>
    <row r="1406" spans="1:7" x14ac:dyDescent="0.3">
      <c r="A1406" s="11"/>
      <c r="B1406" s="38">
        <f>IF($A1406="","",IFERROR(IF(INDEX(Pledges!$D$5:$D$2500,MATCH($G1406,Pledges!$K$5:$K$2500,0))="","⚠ no amount on Pledges",IF(INDEX(Pledges!$B$5:$B$2500,MATCH($G1406,Pledges!$K$5:$K$2500,0))="","",INDEX(Pledges!$B$5:$B$2500,MATCH($G1406,Pledges!$K$5:$K$2500,0)))),"⚠ phone not in Pledges"))</f>
      </c>
      <c r="C1406" s="12"/>
      <c r="D1406" s="13"/>
      <c r="E1406" s="22"/>
      <c r="F1406" s="23"/>
      <c r="G1406">
        <f>IF($A1406="","","#"&amp;TRIM(SUBSTITUTE(SUBSTITUTE(SUBSTITUTE(SUBSTITUTE(SUBSTITUTE(SUBSTITUTE($A1406,"-",""),"(",""),")",""),".",""),"+","")," ","")))</f>
      </c>
    </row>
    <row r="1407" spans="1:7" x14ac:dyDescent="0.3">
      <c r="A1407" s="11"/>
      <c r="B1407" s="38">
        <f>IF($A1407="","",IFERROR(IF(INDEX(Pledges!$D$5:$D$2500,MATCH($G1407,Pledges!$K$5:$K$2500,0))="","⚠ no amount on Pledges",IF(INDEX(Pledges!$B$5:$B$2500,MATCH($G1407,Pledges!$K$5:$K$2500,0))="","",INDEX(Pledges!$B$5:$B$2500,MATCH($G1407,Pledges!$K$5:$K$2500,0)))),"⚠ phone not in Pledges"))</f>
      </c>
      <c r="C1407" s="12"/>
      <c r="D1407" s="13"/>
      <c r="E1407" s="22"/>
      <c r="F1407" s="23"/>
      <c r="G1407">
        <f>IF($A1407="","","#"&amp;TRIM(SUBSTITUTE(SUBSTITUTE(SUBSTITUTE(SUBSTITUTE(SUBSTITUTE(SUBSTITUTE($A1407,"-",""),"(",""),")",""),".",""),"+","")," ","")))</f>
      </c>
    </row>
    <row r="1408" spans="1:7" x14ac:dyDescent="0.3">
      <c r="A1408" s="11"/>
      <c r="B1408" s="38">
        <f>IF($A1408="","",IFERROR(IF(INDEX(Pledges!$D$5:$D$2500,MATCH($G1408,Pledges!$K$5:$K$2500,0))="","⚠ no amount on Pledges",IF(INDEX(Pledges!$B$5:$B$2500,MATCH($G1408,Pledges!$K$5:$K$2500,0))="","",INDEX(Pledges!$B$5:$B$2500,MATCH($G1408,Pledges!$K$5:$K$2500,0)))),"⚠ phone not in Pledges"))</f>
      </c>
      <c r="C1408" s="12"/>
      <c r="D1408" s="13"/>
      <c r="E1408" s="22"/>
      <c r="F1408" s="23"/>
      <c r="G1408">
        <f>IF($A1408="","","#"&amp;TRIM(SUBSTITUTE(SUBSTITUTE(SUBSTITUTE(SUBSTITUTE(SUBSTITUTE(SUBSTITUTE($A1408,"-",""),"(",""),")",""),".",""),"+","")," ","")))</f>
      </c>
    </row>
    <row r="1409" spans="1:7" x14ac:dyDescent="0.3">
      <c r="A1409" s="11"/>
      <c r="B1409" s="38">
        <f>IF($A1409="","",IFERROR(IF(INDEX(Pledges!$D$5:$D$2500,MATCH($G1409,Pledges!$K$5:$K$2500,0))="","⚠ no amount on Pledges",IF(INDEX(Pledges!$B$5:$B$2500,MATCH($G1409,Pledges!$K$5:$K$2500,0))="","",INDEX(Pledges!$B$5:$B$2500,MATCH($G1409,Pledges!$K$5:$K$2500,0)))),"⚠ phone not in Pledges"))</f>
      </c>
      <c r="C1409" s="12"/>
      <c r="D1409" s="13"/>
      <c r="E1409" s="22"/>
      <c r="F1409" s="23"/>
      <c r="G1409">
        <f>IF($A1409="","","#"&amp;TRIM(SUBSTITUTE(SUBSTITUTE(SUBSTITUTE(SUBSTITUTE(SUBSTITUTE(SUBSTITUTE($A1409,"-",""),"(",""),")",""),".",""),"+","")," ","")))</f>
      </c>
    </row>
    <row r="1410" spans="1:7" x14ac:dyDescent="0.3">
      <c r="A1410" s="11"/>
      <c r="B1410" s="38">
        <f>IF($A1410="","",IFERROR(IF(INDEX(Pledges!$D$5:$D$2500,MATCH($G1410,Pledges!$K$5:$K$2500,0))="","⚠ no amount on Pledges",IF(INDEX(Pledges!$B$5:$B$2500,MATCH($G1410,Pledges!$K$5:$K$2500,0))="","",INDEX(Pledges!$B$5:$B$2500,MATCH($G1410,Pledges!$K$5:$K$2500,0)))),"⚠ phone not in Pledges"))</f>
      </c>
      <c r="C1410" s="12"/>
      <c r="D1410" s="13"/>
      <c r="E1410" s="22"/>
      <c r="F1410" s="23"/>
      <c r="G1410">
        <f>IF($A1410="","","#"&amp;TRIM(SUBSTITUTE(SUBSTITUTE(SUBSTITUTE(SUBSTITUTE(SUBSTITUTE(SUBSTITUTE($A1410,"-",""),"(",""),")",""),".",""),"+","")," ","")))</f>
      </c>
    </row>
    <row r="1411" spans="1:7" x14ac:dyDescent="0.3">
      <c r="A1411" s="11"/>
      <c r="B1411" s="38">
        <f>IF($A1411="","",IFERROR(IF(INDEX(Pledges!$D$5:$D$2500,MATCH($G1411,Pledges!$K$5:$K$2500,0))="","⚠ no amount on Pledges",IF(INDEX(Pledges!$B$5:$B$2500,MATCH($G1411,Pledges!$K$5:$K$2500,0))="","",INDEX(Pledges!$B$5:$B$2500,MATCH($G1411,Pledges!$K$5:$K$2500,0)))),"⚠ phone not in Pledges"))</f>
      </c>
      <c r="C1411" s="12"/>
      <c r="D1411" s="13"/>
      <c r="E1411" s="22"/>
      <c r="F1411" s="23"/>
      <c r="G1411">
        <f>IF($A1411="","","#"&amp;TRIM(SUBSTITUTE(SUBSTITUTE(SUBSTITUTE(SUBSTITUTE(SUBSTITUTE(SUBSTITUTE($A1411,"-",""),"(",""),")",""),".",""),"+","")," ","")))</f>
      </c>
    </row>
    <row r="1412" spans="1:7" x14ac:dyDescent="0.3">
      <c r="A1412" s="11"/>
      <c r="B1412" s="38">
        <f>IF($A1412="","",IFERROR(IF(INDEX(Pledges!$D$5:$D$2500,MATCH($G1412,Pledges!$K$5:$K$2500,0))="","⚠ no amount on Pledges",IF(INDEX(Pledges!$B$5:$B$2500,MATCH($G1412,Pledges!$K$5:$K$2500,0))="","",INDEX(Pledges!$B$5:$B$2500,MATCH($G1412,Pledges!$K$5:$K$2500,0)))),"⚠ phone not in Pledges"))</f>
      </c>
      <c r="C1412" s="12"/>
      <c r="D1412" s="13"/>
      <c r="E1412" s="22"/>
      <c r="F1412" s="23"/>
      <c r="G1412">
        <f>IF($A1412="","","#"&amp;TRIM(SUBSTITUTE(SUBSTITUTE(SUBSTITUTE(SUBSTITUTE(SUBSTITUTE(SUBSTITUTE($A1412,"-",""),"(",""),")",""),".",""),"+","")," ","")))</f>
      </c>
    </row>
    <row r="1413" spans="1:7" x14ac:dyDescent="0.3">
      <c r="A1413" s="11"/>
      <c r="B1413" s="38">
        <f>IF($A1413="","",IFERROR(IF(INDEX(Pledges!$D$5:$D$2500,MATCH($G1413,Pledges!$K$5:$K$2500,0))="","⚠ no amount on Pledges",IF(INDEX(Pledges!$B$5:$B$2500,MATCH($G1413,Pledges!$K$5:$K$2500,0))="","",INDEX(Pledges!$B$5:$B$2500,MATCH($G1413,Pledges!$K$5:$K$2500,0)))),"⚠ phone not in Pledges"))</f>
      </c>
      <c r="C1413" s="12"/>
      <c r="D1413" s="13"/>
      <c r="E1413" s="22"/>
      <c r="F1413" s="23"/>
      <c r="G1413">
        <f>IF($A1413="","","#"&amp;TRIM(SUBSTITUTE(SUBSTITUTE(SUBSTITUTE(SUBSTITUTE(SUBSTITUTE(SUBSTITUTE($A1413,"-",""),"(",""),")",""),".",""),"+","")," ","")))</f>
      </c>
    </row>
    <row r="1414" spans="1:7" x14ac:dyDescent="0.3">
      <c r="A1414" s="11"/>
      <c r="B1414" s="38">
        <f>IF($A1414="","",IFERROR(IF(INDEX(Pledges!$D$5:$D$2500,MATCH($G1414,Pledges!$K$5:$K$2500,0))="","⚠ no amount on Pledges",IF(INDEX(Pledges!$B$5:$B$2500,MATCH($G1414,Pledges!$K$5:$K$2500,0))="","",INDEX(Pledges!$B$5:$B$2500,MATCH($G1414,Pledges!$K$5:$K$2500,0)))),"⚠ phone not in Pledges"))</f>
      </c>
      <c r="C1414" s="12"/>
      <c r="D1414" s="13"/>
      <c r="E1414" s="22"/>
      <c r="F1414" s="23"/>
      <c r="G1414">
        <f>IF($A1414="","","#"&amp;TRIM(SUBSTITUTE(SUBSTITUTE(SUBSTITUTE(SUBSTITUTE(SUBSTITUTE(SUBSTITUTE($A1414,"-",""),"(",""),")",""),".",""),"+","")," ","")))</f>
      </c>
    </row>
    <row r="1415" spans="1:7" x14ac:dyDescent="0.3">
      <c r="A1415" s="11"/>
      <c r="B1415" s="38">
        <f>IF($A1415="","",IFERROR(IF(INDEX(Pledges!$D$5:$D$2500,MATCH($G1415,Pledges!$K$5:$K$2500,0))="","⚠ no amount on Pledges",IF(INDEX(Pledges!$B$5:$B$2500,MATCH($G1415,Pledges!$K$5:$K$2500,0))="","",INDEX(Pledges!$B$5:$B$2500,MATCH($G1415,Pledges!$K$5:$K$2500,0)))),"⚠ phone not in Pledges"))</f>
      </c>
      <c r="C1415" s="12"/>
      <c r="D1415" s="13"/>
      <c r="E1415" s="22"/>
      <c r="F1415" s="23"/>
      <c r="G1415">
        <f>IF($A1415="","","#"&amp;TRIM(SUBSTITUTE(SUBSTITUTE(SUBSTITUTE(SUBSTITUTE(SUBSTITUTE(SUBSTITUTE($A1415,"-",""),"(",""),")",""),".",""),"+","")," ","")))</f>
      </c>
    </row>
    <row r="1416" spans="1:7" x14ac:dyDescent="0.3">
      <c r="A1416" s="11"/>
      <c r="B1416" s="38">
        <f>IF($A1416="","",IFERROR(IF(INDEX(Pledges!$D$5:$D$2500,MATCH($G1416,Pledges!$K$5:$K$2500,0))="","⚠ no amount on Pledges",IF(INDEX(Pledges!$B$5:$B$2500,MATCH($G1416,Pledges!$K$5:$K$2500,0))="","",INDEX(Pledges!$B$5:$B$2500,MATCH($G1416,Pledges!$K$5:$K$2500,0)))),"⚠ phone not in Pledges"))</f>
      </c>
      <c r="C1416" s="12"/>
      <c r="D1416" s="13"/>
      <c r="E1416" s="22"/>
      <c r="F1416" s="23"/>
      <c r="G1416">
        <f>IF($A1416="","","#"&amp;TRIM(SUBSTITUTE(SUBSTITUTE(SUBSTITUTE(SUBSTITUTE(SUBSTITUTE(SUBSTITUTE($A1416,"-",""),"(",""),")",""),".",""),"+","")," ","")))</f>
      </c>
    </row>
    <row r="1417" spans="1:7" x14ac:dyDescent="0.3">
      <c r="A1417" s="11"/>
      <c r="B1417" s="38">
        <f>IF($A1417="","",IFERROR(IF(INDEX(Pledges!$D$5:$D$2500,MATCH($G1417,Pledges!$K$5:$K$2500,0))="","⚠ no amount on Pledges",IF(INDEX(Pledges!$B$5:$B$2500,MATCH($G1417,Pledges!$K$5:$K$2500,0))="","",INDEX(Pledges!$B$5:$B$2500,MATCH($G1417,Pledges!$K$5:$K$2500,0)))),"⚠ phone not in Pledges"))</f>
      </c>
      <c r="C1417" s="12"/>
      <c r="D1417" s="13"/>
      <c r="E1417" s="22"/>
      <c r="F1417" s="23"/>
      <c r="G1417">
        <f>IF($A1417="","","#"&amp;TRIM(SUBSTITUTE(SUBSTITUTE(SUBSTITUTE(SUBSTITUTE(SUBSTITUTE(SUBSTITUTE($A1417,"-",""),"(",""),")",""),".",""),"+","")," ","")))</f>
      </c>
    </row>
    <row r="1418" spans="1:7" x14ac:dyDescent="0.3">
      <c r="A1418" s="11"/>
      <c r="B1418" s="38">
        <f>IF($A1418="","",IFERROR(IF(INDEX(Pledges!$D$5:$D$2500,MATCH($G1418,Pledges!$K$5:$K$2500,0))="","⚠ no amount on Pledges",IF(INDEX(Pledges!$B$5:$B$2500,MATCH($G1418,Pledges!$K$5:$K$2500,0))="","",INDEX(Pledges!$B$5:$B$2500,MATCH($G1418,Pledges!$K$5:$K$2500,0)))),"⚠ phone not in Pledges"))</f>
      </c>
      <c r="C1418" s="12"/>
      <c r="D1418" s="13"/>
      <c r="E1418" s="22"/>
      <c r="F1418" s="23"/>
      <c r="G1418">
        <f>IF($A1418="","","#"&amp;TRIM(SUBSTITUTE(SUBSTITUTE(SUBSTITUTE(SUBSTITUTE(SUBSTITUTE(SUBSTITUTE($A1418,"-",""),"(",""),")",""),".",""),"+","")," ","")))</f>
      </c>
    </row>
    <row r="1419" spans="1:7" x14ac:dyDescent="0.3">
      <c r="A1419" s="11"/>
      <c r="B1419" s="38">
        <f>IF($A1419="","",IFERROR(IF(INDEX(Pledges!$D$5:$D$2500,MATCH($G1419,Pledges!$K$5:$K$2500,0))="","⚠ no amount on Pledges",IF(INDEX(Pledges!$B$5:$B$2500,MATCH($G1419,Pledges!$K$5:$K$2500,0))="","",INDEX(Pledges!$B$5:$B$2500,MATCH($G1419,Pledges!$K$5:$K$2500,0)))),"⚠ phone not in Pledges"))</f>
      </c>
      <c r="C1419" s="12"/>
      <c r="D1419" s="13"/>
      <c r="E1419" s="22"/>
      <c r="F1419" s="23"/>
      <c r="G1419">
        <f>IF($A1419="","","#"&amp;TRIM(SUBSTITUTE(SUBSTITUTE(SUBSTITUTE(SUBSTITUTE(SUBSTITUTE(SUBSTITUTE($A1419,"-",""),"(",""),")",""),".",""),"+","")," ","")))</f>
      </c>
    </row>
    <row r="1420" spans="1:7" x14ac:dyDescent="0.3">
      <c r="A1420" s="11"/>
      <c r="B1420" s="38">
        <f>IF($A1420="","",IFERROR(IF(INDEX(Pledges!$D$5:$D$2500,MATCH($G1420,Pledges!$K$5:$K$2500,0))="","⚠ no amount on Pledges",IF(INDEX(Pledges!$B$5:$B$2500,MATCH($G1420,Pledges!$K$5:$K$2500,0))="","",INDEX(Pledges!$B$5:$B$2500,MATCH($G1420,Pledges!$K$5:$K$2500,0)))),"⚠ phone not in Pledges"))</f>
      </c>
      <c r="C1420" s="12"/>
      <c r="D1420" s="13"/>
      <c r="E1420" s="22"/>
      <c r="F1420" s="23"/>
      <c r="G1420">
        <f>IF($A1420="","","#"&amp;TRIM(SUBSTITUTE(SUBSTITUTE(SUBSTITUTE(SUBSTITUTE(SUBSTITUTE(SUBSTITUTE($A1420,"-",""),"(",""),")",""),".",""),"+","")," ","")))</f>
      </c>
    </row>
    <row r="1421" spans="1:7" x14ac:dyDescent="0.3">
      <c r="A1421" s="11"/>
      <c r="B1421" s="38">
        <f>IF($A1421="","",IFERROR(IF(INDEX(Pledges!$D$5:$D$2500,MATCH($G1421,Pledges!$K$5:$K$2500,0))="","⚠ no amount on Pledges",IF(INDEX(Pledges!$B$5:$B$2500,MATCH($G1421,Pledges!$K$5:$K$2500,0))="","",INDEX(Pledges!$B$5:$B$2500,MATCH($G1421,Pledges!$K$5:$K$2500,0)))),"⚠ phone not in Pledges"))</f>
      </c>
      <c r="C1421" s="12"/>
      <c r="D1421" s="13"/>
      <c r="E1421" s="22"/>
      <c r="F1421" s="23"/>
      <c r="G1421">
        <f>IF($A1421="","","#"&amp;TRIM(SUBSTITUTE(SUBSTITUTE(SUBSTITUTE(SUBSTITUTE(SUBSTITUTE(SUBSTITUTE($A1421,"-",""),"(",""),")",""),".",""),"+","")," ","")))</f>
      </c>
    </row>
    <row r="1422" spans="1:7" x14ac:dyDescent="0.3">
      <c r="A1422" s="11"/>
      <c r="B1422" s="38">
        <f>IF($A1422="","",IFERROR(IF(INDEX(Pledges!$D$5:$D$2500,MATCH($G1422,Pledges!$K$5:$K$2500,0))="","⚠ no amount on Pledges",IF(INDEX(Pledges!$B$5:$B$2500,MATCH($G1422,Pledges!$K$5:$K$2500,0))="","",INDEX(Pledges!$B$5:$B$2500,MATCH($G1422,Pledges!$K$5:$K$2500,0)))),"⚠ phone not in Pledges"))</f>
      </c>
      <c r="C1422" s="12"/>
      <c r="D1422" s="13"/>
      <c r="E1422" s="22"/>
      <c r="F1422" s="23"/>
      <c r="G1422">
        <f>IF($A1422="","","#"&amp;TRIM(SUBSTITUTE(SUBSTITUTE(SUBSTITUTE(SUBSTITUTE(SUBSTITUTE(SUBSTITUTE($A1422,"-",""),"(",""),")",""),".",""),"+","")," ","")))</f>
      </c>
    </row>
    <row r="1423" spans="1:7" x14ac:dyDescent="0.3">
      <c r="A1423" s="11"/>
      <c r="B1423" s="38">
        <f>IF($A1423="","",IFERROR(IF(INDEX(Pledges!$D$5:$D$2500,MATCH($G1423,Pledges!$K$5:$K$2500,0))="","⚠ no amount on Pledges",IF(INDEX(Pledges!$B$5:$B$2500,MATCH($G1423,Pledges!$K$5:$K$2500,0))="","",INDEX(Pledges!$B$5:$B$2500,MATCH($G1423,Pledges!$K$5:$K$2500,0)))),"⚠ phone not in Pledges"))</f>
      </c>
      <c r="C1423" s="12"/>
      <c r="D1423" s="13"/>
      <c r="E1423" s="22"/>
      <c r="F1423" s="23"/>
      <c r="G1423">
        <f>IF($A1423="","","#"&amp;TRIM(SUBSTITUTE(SUBSTITUTE(SUBSTITUTE(SUBSTITUTE(SUBSTITUTE(SUBSTITUTE($A1423,"-",""),"(",""),")",""),".",""),"+","")," ","")))</f>
      </c>
    </row>
    <row r="1424" spans="1:7" x14ac:dyDescent="0.3">
      <c r="A1424" s="11"/>
      <c r="B1424" s="38">
        <f>IF($A1424="","",IFERROR(IF(INDEX(Pledges!$D$5:$D$2500,MATCH($G1424,Pledges!$K$5:$K$2500,0))="","⚠ no amount on Pledges",IF(INDEX(Pledges!$B$5:$B$2500,MATCH($G1424,Pledges!$K$5:$K$2500,0))="","",INDEX(Pledges!$B$5:$B$2500,MATCH($G1424,Pledges!$K$5:$K$2500,0)))),"⚠ phone not in Pledges"))</f>
      </c>
      <c r="C1424" s="12"/>
      <c r="D1424" s="13"/>
      <c r="E1424" s="22"/>
      <c r="F1424" s="23"/>
      <c r="G1424">
        <f>IF($A1424="","","#"&amp;TRIM(SUBSTITUTE(SUBSTITUTE(SUBSTITUTE(SUBSTITUTE(SUBSTITUTE(SUBSTITUTE($A1424,"-",""),"(",""),")",""),".",""),"+","")," ","")))</f>
      </c>
    </row>
    <row r="1425" spans="1:7" x14ac:dyDescent="0.3">
      <c r="A1425" s="11"/>
      <c r="B1425" s="38">
        <f>IF($A1425="","",IFERROR(IF(INDEX(Pledges!$D$5:$D$2500,MATCH($G1425,Pledges!$K$5:$K$2500,0))="","⚠ no amount on Pledges",IF(INDEX(Pledges!$B$5:$B$2500,MATCH($G1425,Pledges!$K$5:$K$2500,0))="","",INDEX(Pledges!$B$5:$B$2500,MATCH($G1425,Pledges!$K$5:$K$2500,0)))),"⚠ phone not in Pledges"))</f>
      </c>
      <c r="C1425" s="12"/>
      <c r="D1425" s="13"/>
      <c r="E1425" s="22"/>
      <c r="F1425" s="23"/>
      <c r="G1425">
        <f>IF($A1425="","","#"&amp;TRIM(SUBSTITUTE(SUBSTITUTE(SUBSTITUTE(SUBSTITUTE(SUBSTITUTE(SUBSTITUTE($A1425,"-",""),"(",""),")",""),".",""),"+","")," ","")))</f>
      </c>
    </row>
    <row r="1426" spans="1:7" x14ac:dyDescent="0.3">
      <c r="A1426" s="11"/>
      <c r="B1426" s="38">
        <f>IF($A1426="","",IFERROR(IF(INDEX(Pledges!$D$5:$D$2500,MATCH($G1426,Pledges!$K$5:$K$2500,0))="","⚠ no amount on Pledges",IF(INDEX(Pledges!$B$5:$B$2500,MATCH($G1426,Pledges!$K$5:$K$2500,0))="","",INDEX(Pledges!$B$5:$B$2500,MATCH($G1426,Pledges!$K$5:$K$2500,0)))),"⚠ phone not in Pledges"))</f>
      </c>
      <c r="C1426" s="12"/>
      <c r="D1426" s="13"/>
      <c r="E1426" s="22"/>
      <c r="F1426" s="23"/>
      <c r="G1426">
        <f>IF($A1426="","","#"&amp;TRIM(SUBSTITUTE(SUBSTITUTE(SUBSTITUTE(SUBSTITUTE(SUBSTITUTE(SUBSTITUTE($A1426,"-",""),"(",""),")",""),".",""),"+","")," ","")))</f>
      </c>
    </row>
    <row r="1427" spans="1:7" x14ac:dyDescent="0.3">
      <c r="A1427" s="11"/>
      <c r="B1427" s="38">
        <f>IF($A1427="","",IFERROR(IF(INDEX(Pledges!$D$5:$D$2500,MATCH($G1427,Pledges!$K$5:$K$2500,0))="","⚠ no amount on Pledges",IF(INDEX(Pledges!$B$5:$B$2500,MATCH($G1427,Pledges!$K$5:$K$2500,0))="","",INDEX(Pledges!$B$5:$B$2500,MATCH($G1427,Pledges!$K$5:$K$2500,0)))),"⚠ phone not in Pledges"))</f>
      </c>
      <c r="C1427" s="12"/>
      <c r="D1427" s="13"/>
      <c r="E1427" s="22"/>
      <c r="F1427" s="23"/>
      <c r="G1427">
        <f>IF($A1427="","","#"&amp;TRIM(SUBSTITUTE(SUBSTITUTE(SUBSTITUTE(SUBSTITUTE(SUBSTITUTE(SUBSTITUTE($A1427,"-",""),"(",""),")",""),".",""),"+","")," ","")))</f>
      </c>
    </row>
    <row r="1428" spans="1:7" x14ac:dyDescent="0.3">
      <c r="A1428" s="11"/>
      <c r="B1428" s="38">
        <f>IF($A1428="","",IFERROR(IF(INDEX(Pledges!$D$5:$D$2500,MATCH($G1428,Pledges!$K$5:$K$2500,0))="","⚠ no amount on Pledges",IF(INDEX(Pledges!$B$5:$B$2500,MATCH($G1428,Pledges!$K$5:$K$2500,0))="","",INDEX(Pledges!$B$5:$B$2500,MATCH($G1428,Pledges!$K$5:$K$2500,0)))),"⚠ phone not in Pledges"))</f>
      </c>
      <c r="C1428" s="12"/>
      <c r="D1428" s="13"/>
      <c r="E1428" s="22"/>
      <c r="F1428" s="23"/>
      <c r="G1428">
        <f>IF($A1428="","","#"&amp;TRIM(SUBSTITUTE(SUBSTITUTE(SUBSTITUTE(SUBSTITUTE(SUBSTITUTE(SUBSTITUTE($A1428,"-",""),"(",""),")",""),".",""),"+","")," ","")))</f>
      </c>
    </row>
    <row r="1429" spans="1:7" x14ac:dyDescent="0.3">
      <c r="A1429" s="11"/>
      <c r="B1429" s="38">
        <f>IF($A1429="","",IFERROR(IF(INDEX(Pledges!$D$5:$D$2500,MATCH($G1429,Pledges!$K$5:$K$2500,0))="","⚠ no amount on Pledges",IF(INDEX(Pledges!$B$5:$B$2500,MATCH($G1429,Pledges!$K$5:$K$2500,0))="","",INDEX(Pledges!$B$5:$B$2500,MATCH($G1429,Pledges!$K$5:$K$2500,0)))),"⚠ phone not in Pledges"))</f>
      </c>
      <c r="C1429" s="12"/>
      <c r="D1429" s="13"/>
      <c r="E1429" s="22"/>
      <c r="F1429" s="23"/>
      <c r="G1429">
        <f>IF($A1429="","","#"&amp;TRIM(SUBSTITUTE(SUBSTITUTE(SUBSTITUTE(SUBSTITUTE(SUBSTITUTE(SUBSTITUTE($A1429,"-",""),"(",""),")",""),".",""),"+","")," ","")))</f>
      </c>
    </row>
    <row r="1430" spans="1:7" x14ac:dyDescent="0.3">
      <c r="A1430" s="11"/>
      <c r="B1430" s="38">
        <f>IF($A1430="","",IFERROR(IF(INDEX(Pledges!$D$5:$D$2500,MATCH($G1430,Pledges!$K$5:$K$2500,0))="","⚠ no amount on Pledges",IF(INDEX(Pledges!$B$5:$B$2500,MATCH($G1430,Pledges!$K$5:$K$2500,0))="","",INDEX(Pledges!$B$5:$B$2500,MATCH($G1430,Pledges!$K$5:$K$2500,0)))),"⚠ phone not in Pledges"))</f>
      </c>
      <c r="C1430" s="12"/>
      <c r="D1430" s="13"/>
      <c r="E1430" s="22"/>
      <c r="F1430" s="23"/>
      <c r="G1430">
        <f>IF($A1430="","","#"&amp;TRIM(SUBSTITUTE(SUBSTITUTE(SUBSTITUTE(SUBSTITUTE(SUBSTITUTE(SUBSTITUTE($A1430,"-",""),"(",""),")",""),".",""),"+","")," ","")))</f>
      </c>
    </row>
    <row r="1431" spans="1:7" x14ac:dyDescent="0.3">
      <c r="A1431" s="11"/>
      <c r="B1431" s="38">
        <f>IF($A1431="","",IFERROR(IF(INDEX(Pledges!$D$5:$D$2500,MATCH($G1431,Pledges!$K$5:$K$2500,0))="","⚠ no amount on Pledges",IF(INDEX(Pledges!$B$5:$B$2500,MATCH($G1431,Pledges!$K$5:$K$2500,0))="","",INDEX(Pledges!$B$5:$B$2500,MATCH($G1431,Pledges!$K$5:$K$2500,0)))),"⚠ phone not in Pledges"))</f>
      </c>
      <c r="C1431" s="12"/>
      <c r="D1431" s="13"/>
      <c r="E1431" s="22"/>
      <c r="F1431" s="23"/>
      <c r="G1431">
        <f>IF($A1431="","","#"&amp;TRIM(SUBSTITUTE(SUBSTITUTE(SUBSTITUTE(SUBSTITUTE(SUBSTITUTE(SUBSTITUTE($A1431,"-",""),"(",""),")",""),".",""),"+","")," ","")))</f>
      </c>
    </row>
    <row r="1432" spans="1:7" x14ac:dyDescent="0.3">
      <c r="A1432" s="11"/>
      <c r="B1432" s="38">
        <f>IF($A1432="","",IFERROR(IF(INDEX(Pledges!$D$5:$D$2500,MATCH($G1432,Pledges!$K$5:$K$2500,0))="","⚠ no amount on Pledges",IF(INDEX(Pledges!$B$5:$B$2500,MATCH($G1432,Pledges!$K$5:$K$2500,0))="","",INDEX(Pledges!$B$5:$B$2500,MATCH($G1432,Pledges!$K$5:$K$2500,0)))),"⚠ phone not in Pledges"))</f>
      </c>
      <c r="C1432" s="12"/>
      <c r="D1432" s="13"/>
      <c r="E1432" s="22"/>
      <c r="F1432" s="23"/>
      <c r="G1432">
        <f>IF($A1432="","","#"&amp;TRIM(SUBSTITUTE(SUBSTITUTE(SUBSTITUTE(SUBSTITUTE(SUBSTITUTE(SUBSTITUTE($A1432,"-",""),"(",""),")",""),".",""),"+","")," ","")))</f>
      </c>
    </row>
    <row r="1433" spans="1:7" x14ac:dyDescent="0.3">
      <c r="A1433" s="11"/>
      <c r="B1433" s="38">
        <f>IF($A1433="","",IFERROR(IF(INDEX(Pledges!$D$5:$D$2500,MATCH($G1433,Pledges!$K$5:$K$2500,0))="","⚠ no amount on Pledges",IF(INDEX(Pledges!$B$5:$B$2500,MATCH($G1433,Pledges!$K$5:$K$2500,0))="","",INDEX(Pledges!$B$5:$B$2500,MATCH($G1433,Pledges!$K$5:$K$2500,0)))),"⚠ phone not in Pledges"))</f>
      </c>
      <c r="C1433" s="12"/>
      <c r="D1433" s="13"/>
      <c r="E1433" s="22"/>
      <c r="F1433" s="23"/>
      <c r="G1433">
        <f>IF($A1433="","","#"&amp;TRIM(SUBSTITUTE(SUBSTITUTE(SUBSTITUTE(SUBSTITUTE(SUBSTITUTE(SUBSTITUTE($A1433,"-",""),"(",""),")",""),".",""),"+","")," ","")))</f>
      </c>
    </row>
    <row r="1434" spans="1:7" x14ac:dyDescent="0.3">
      <c r="A1434" s="11"/>
      <c r="B1434" s="38">
        <f>IF($A1434="","",IFERROR(IF(INDEX(Pledges!$D$5:$D$2500,MATCH($G1434,Pledges!$K$5:$K$2500,0))="","⚠ no amount on Pledges",IF(INDEX(Pledges!$B$5:$B$2500,MATCH($G1434,Pledges!$K$5:$K$2500,0))="","",INDEX(Pledges!$B$5:$B$2500,MATCH($G1434,Pledges!$K$5:$K$2500,0)))),"⚠ phone not in Pledges"))</f>
      </c>
      <c r="C1434" s="12"/>
      <c r="D1434" s="13"/>
      <c r="E1434" s="22"/>
      <c r="F1434" s="23"/>
      <c r="G1434">
        <f>IF($A1434="","","#"&amp;TRIM(SUBSTITUTE(SUBSTITUTE(SUBSTITUTE(SUBSTITUTE(SUBSTITUTE(SUBSTITUTE($A1434,"-",""),"(",""),")",""),".",""),"+","")," ","")))</f>
      </c>
    </row>
    <row r="1435" spans="1:7" x14ac:dyDescent="0.3">
      <c r="A1435" s="11"/>
      <c r="B1435" s="38">
        <f>IF($A1435="","",IFERROR(IF(INDEX(Pledges!$D$5:$D$2500,MATCH($G1435,Pledges!$K$5:$K$2500,0))="","⚠ no amount on Pledges",IF(INDEX(Pledges!$B$5:$B$2500,MATCH($G1435,Pledges!$K$5:$K$2500,0))="","",INDEX(Pledges!$B$5:$B$2500,MATCH($G1435,Pledges!$K$5:$K$2500,0)))),"⚠ phone not in Pledges"))</f>
      </c>
      <c r="C1435" s="12"/>
      <c r="D1435" s="13"/>
      <c r="E1435" s="22"/>
      <c r="F1435" s="23"/>
      <c r="G1435">
        <f>IF($A1435="","","#"&amp;TRIM(SUBSTITUTE(SUBSTITUTE(SUBSTITUTE(SUBSTITUTE(SUBSTITUTE(SUBSTITUTE($A1435,"-",""),"(",""),")",""),".",""),"+","")," ","")))</f>
      </c>
    </row>
    <row r="1436" spans="1:7" x14ac:dyDescent="0.3">
      <c r="A1436" s="11"/>
      <c r="B1436" s="38">
        <f>IF($A1436="","",IFERROR(IF(INDEX(Pledges!$D$5:$D$2500,MATCH($G1436,Pledges!$K$5:$K$2500,0))="","⚠ no amount on Pledges",IF(INDEX(Pledges!$B$5:$B$2500,MATCH($G1436,Pledges!$K$5:$K$2500,0))="","",INDEX(Pledges!$B$5:$B$2500,MATCH($G1436,Pledges!$K$5:$K$2500,0)))),"⚠ phone not in Pledges"))</f>
      </c>
      <c r="C1436" s="12"/>
      <c r="D1436" s="13"/>
      <c r="E1436" s="22"/>
      <c r="F1436" s="23"/>
      <c r="G1436">
        <f>IF($A1436="","","#"&amp;TRIM(SUBSTITUTE(SUBSTITUTE(SUBSTITUTE(SUBSTITUTE(SUBSTITUTE(SUBSTITUTE($A1436,"-",""),"(",""),")",""),".",""),"+","")," ","")))</f>
      </c>
    </row>
    <row r="1437" spans="1:7" x14ac:dyDescent="0.3">
      <c r="A1437" s="11"/>
      <c r="B1437" s="38">
        <f>IF($A1437="","",IFERROR(IF(INDEX(Pledges!$D$5:$D$2500,MATCH($G1437,Pledges!$K$5:$K$2500,0))="","⚠ no amount on Pledges",IF(INDEX(Pledges!$B$5:$B$2500,MATCH($G1437,Pledges!$K$5:$K$2500,0))="","",INDEX(Pledges!$B$5:$B$2500,MATCH($G1437,Pledges!$K$5:$K$2500,0)))),"⚠ phone not in Pledges"))</f>
      </c>
      <c r="C1437" s="12"/>
      <c r="D1437" s="13"/>
      <c r="E1437" s="22"/>
      <c r="F1437" s="23"/>
      <c r="G1437">
        <f>IF($A1437="","","#"&amp;TRIM(SUBSTITUTE(SUBSTITUTE(SUBSTITUTE(SUBSTITUTE(SUBSTITUTE(SUBSTITUTE($A1437,"-",""),"(",""),")",""),".",""),"+","")," ","")))</f>
      </c>
    </row>
    <row r="1438" spans="1:7" x14ac:dyDescent="0.3">
      <c r="A1438" s="11"/>
      <c r="B1438" s="38">
        <f>IF($A1438="","",IFERROR(IF(INDEX(Pledges!$D$5:$D$2500,MATCH($G1438,Pledges!$K$5:$K$2500,0))="","⚠ no amount on Pledges",IF(INDEX(Pledges!$B$5:$B$2500,MATCH($G1438,Pledges!$K$5:$K$2500,0))="","",INDEX(Pledges!$B$5:$B$2500,MATCH($G1438,Pledges!$K$5:$K$2500,0)))),"⚠ phone not in Pledges"))</f>
      </c>
      <c r="C1438" s="12"/>
      <c r="D1438" s="13"/>
      <c r="E1438" s="22"/>
      <c r="F1438" s="23"/>
      <c r="G1438">
        <f>IF($A1438="","","#"&amp;TRIM(SUBSTITUTE(SUBSTITUTE(SUBSTITUTE(SUBSTITUTE(SUBSTITUTE(SUBSTITUTE($A1438,"-",""),"(",""),")",""),".",""),"+","")," ","")))</f>
      </c>
    </row>
    <row r="1439" spans="1:7" x14ac:dyDescent="0.3">
      <c r="A1439" s="11"/>
      <c r="B1439" s="38">
        <f>IF($A1439="","",IFERROR(IF(INDEX(Pledges!$D$5:$D$2500,MATCH($G1439,Pledges!$K$5:$K$2500,0))="","⚠ no amount on Pledges",IF(INDEX(Pledges!$B$5:$B$2500,MATCH($G1439,Pledges!$K$5:$K$2500,0))="","",INDEX(Pledges!$B$5:$B$2500,MATCH($G1439,Pledges!$K$5:$K$2500,0)))),"⚠ phone not in Pledges"))</f>
      </c>
      <c r="C1439" s="12"/>
      <c r="D1439" s="13"/>
      <c r="E1439" s="22"/>
      <c r="F1439" s="23"/>
      <c r="G1439">
        <f>IF($A1439="","","#"&amp;TRIM(SUBSTITUTE(SUBSTITUTE(SUBSTITUTE(SUBSTITUTE(SUBSTITUTE(SUBSTITUTE($A1439,"-",""),"(",""),")",""),".",""),"+","")," ","")))</f>
      </c>
    </row>
    <row r="1440" spans="1:7" x14ac:dyDescent="0.3">
      <c r="A1440" s="11"/>
      <c r="B1440" s="38">
        <f>IF($A1440="","",IFERROR(IF(INDEX(Pledges!$D$5:$D$2500,MATCH($G1440,Pledges!$K$5:$K$2500,0))="","⚠ no amount on Pledges",IF(INDEX(Pledges!$B$5:$B$2500,MATCH($G1440,Pledges!$K$5:$K$2500,0))="","",INDEX(Pledges!$B$5:$B$2500,MATCH($G1440,Pledges!$K$5:$K$2500,0)))),"⚠ phone not in Pledges"))</f>
      </c>
      <c r="C1440" s="12"/>
      <c r="D1440" s="13"/>
      <c r="E1440" s="22"/>
      <c r="F1440" s="23"/>
      <c r="G1440">
        <f>IF($A1440="","","#"&amp;TRIM(SUBSTITUTE(SUBSTITUTE(SUBSTITUTE(SUBSTITUTE(SUBSTITUTE(SUBSTITUTE($A1440,"-",""),"(",""),")",""),".",""),"+","")," ","")))</f>
      </c>
    </row>
    <row r="1441" spans="1:7" x14ac:dyDescent="0.3">
      <c r="A1441" s="11"/>
      <c r="B1441" s="38">
        <f>IF($A1441="","",IFERROR(IF(INDEX(Pledges!$D$5:$D$2500,MATCH($G1441,Pledges!$K$5:$K$2500,0))="","⚠ no amount on Pledges",IF(INDEX(Pledges!$B$5:$B$2500,MATCH($G1441,Pledges!$K$5:$K$2500,0))="","",INDEX(Pledges!$B$5:$B$2500,MATCH($G1441,Pledges!$K$5:$K$2500,0)))),"⚠ phone not in Pledges"))</f>
      </c>
      <c r="C1441" s="12"/>
      <c r="D1441" s="13"/>
      <c r="E1441" s="22"/>
      <c r="F1441" s="23"/>
      <c r="G1441">
        <f>IF($A1441="","","#"&amp;TRIM(SUBSTITUTE(SUBSTITUTE(SUBSTITUTE(SUBSTITUTE(SUBSTITUTE(SUBSTITUTE($A1441,"-",""),"(",""),")",""),".",""),"+","")," ","")))</f>
      </c>
    </row>
    <row r="1442" spans="1:7" x14ac:dyDescent="0.3">
      <c r="A1442" s="11"/>
      <c r="B1442" s="38">
        <f>IF($A1442="","",IFERROR(IF(INDEX(Pledges!$D$5:$D$2500,MATCH($G1442,Pledges!$K$5:$K$2500,0))="","⚠ no amount on Pledges",IF(INDEX(Pledges!$B$5:$B$2500,MATCH($G1442,Pledges!$K$5:$K$2500,0))="","",INDEX(Pledges!$B$5:$B$2500,MATCH($G1442,Pledges!$K$5:$K$2500,0)))),"⚠ phone not in Pledges"))</f>
      </c>
      <c r="C1442" s="12"/>
      <c r="D1442" s="13"/>
      <c r="E1442" s="22"/>
      <c r="F1442" s="23"/>
      <c r="G1442">
        <f>IF($A1442="","","#"&amp;TRIM(SUBSTITUTE(SUBSTITUTE(SUBSTITUTE(SUBSTITUTE(SUBSTITUTE(SUBSTITUTE($A1442,"-",""),"(",""),")",""),".",""),"+","")," ","")))</f>
      </c>
    </row>
    <row r="1443" spans="1:7" x14ac:dyDescent="0.3">
      <c r="A1443" s="11"/>
      <c r="B1443" s="38">
        <f>IF($A1443="","",IFERROR(IF(INDEX(Pledges!$D$5:$D$2500,MATCH($G1443,Pledges!$K$5:$K$2500,0))="","⚠ no amount on Pledges",IF(INDEX(Pledges!$B$5:$B$2500,MATCH($G1443,Pledges!$K$5:$K$2500,0))="","",INDEX(Pledges!$B$5:$B$2500,MATCH($G1443,Pledges!$K$5:$K$2500,0)))),"⚠ phone not in Pledges"))</f>
      </c>
      <c r="C1443" s="12"/>
      <c r="D1443" s="13"/>
      <c r="E1443" s="22"/>
      <c r="F1443" s="23"/>
      <c r="G1443">
        <f>IF($A1443="","","#"&amp;TRIM(SUBSTITUTE(SUBSTITUTE(SUBSTITUTE(SUBSTITUTE(SUBSTITUTE(SUBSTITUTE($A1443,"-",""),"(",""),")",""),".",""),"+","")," ","")))</f>
      </c>
    </row>
    <row r="1444" spans="1:7" x14ac:dyDescent="0.3">
      <c r="A1444" s="11"/>
      <c r="B1444" s="38">
        <f>IF($A1444="","",IFERROR(IF(INDEX(Pledges!$D$5:$D$2500,MATCH($G1444,Pledges!$K$5:$K$2500,0))="","⚠ no amount on Pledges",IF(INDEX(Pledges!$B$5:$B$2500,MATCH($G1444,Pledges!$K$5:$K$2500,0))="","",INDEX(Pledges!$B$5:$B$2500,MATCH($G1444,Pledges!$K$5:$K$2500,0)))),"⚠ phone not in Pledges"))</f>
      </c>
      <c r="C1444" s="12"/>
      <c r="D1444" s="13"/>
      <c r="E1444" s="22"/>
      <c r="F1444" s="23"/>
      <c r="G1444">
        <f>IF($A1444="","","#"&amp;TRIM(SUBSTITUTE(SUBSTITUTE(SUBSTITUTE(SUBSTITUTE(SUBSTITUTE(SUBSTITUTE($A1444,"-",""),"(",""),")",""),".",""),"+","")," ","")))</f>
      </c>
    </row>
    <row r="1445" spans="1:7" x14ac:dyDescent="0.3">
      <c r="A1445" s="11"/>
      <c r="B1445" s="38">
        <f>IF($A1445="","",IFERROR(IF(INDEX(Pledges!$D$5:$D$2500,MATCH($G1445,Pledges!$K$5:$K$2500,0))="","⚠ no amount on Pledges",IF(INDEX(Pledges!$B$5:$B$2500,MATCH($G1445,Pledges!$K$5:$K$2500,0))="","",INDEX(Pledges!$B$5:$B$2500,MATCH($G1445,Pledges!$K$5:$K$2500,0)))),"⚠ phone not in Pledges"))</f>
      </c>
      <c r="C1445" s="12"/>
      <c r="D1445" s="13"/>
      <c r="E1445" s="22"/>
      <c r="F1445" s="23"/>
      <c r="G1445">
        <f>IF($A1445="","","#"&amp;TRIM(SUBSTITUTE(SUBSTITUTE(SUBSTITUTE(SUBSTITUTE(SUBSTITUTE(SUBSTITUTE($A1445,"-",""),"(",""),")",""),".",""),"+","")," ","")))</f>
      </c>
    </row>
    <row r="1446" spans="1:7" x14ac:dyDescent="0.3">
      <c r="A1446" s="11"/>
      <c r="B1446" s="38">
        <f>IF($A1446="","",IFERROR(IF(INDEX(Pledges!$D$5:$D$2500,MATCH($G1446,Pledges!$K$5:$K$2500,0))="","⚠ no amount on Pledges",IF(INDEX(Pledges!$B$5:$B$2500,MATCH($G1446,Pledges!$K$5:$K$2500,0))="","",INDEX(Pledges!$B$5:$B$2500,MATCH($G1446,Pledges!$K$5:$K$2500,0)))),"⚠ phone not in Pledges"))</f>
      </c>
      <c r="C1446" s="12"/>
      <c r="D1446" s="13"/>
      <c r="E1446" s="22"/>
      <c r="F1446" s="23"/>
      <c r="G1446">
        <f>IF($A1446="","","#"&amp;TRIM(SUBSTITUTE(SUBSTITUTE(SUBSTITUTE(SUBSTITUTE(SUBSTITUTE(SUBSTITUTE($A1446,"-",""),"(",""),")",""),".",""),"+","")," ","")))</f>
      </c>
    </row>
    <row r="1447" spans="1:7" x14ac:dyDescent="0.3">
      <c r="A1447" s="11"/>
      <c r="B1447" s="38">
        <f>IF($A1447="","",IFERROR(IF(INDEX(Pledges!$D$5:$D$2500,MATCH($G1447,Pledges!$K$5:$K$2500,0))="","⚠ no amount on Pledges",IF(INDEX(Pledges!$B$5:$B$2500,MATCH($G1447,Pledges!$K$5:$K$2500,0))="","",INDEX(Pledges!$B$5:$B$2500,MATCH($G1447,Pledges!$K$5:$K$2500,0)))),"⚠ phone not in Pledges"))</f>
      </c>
      <c r="C1447" s="12"/>
      <c r="D1447" s="13"/>
      <c r="E1447" s="22"/>
      <c r="F1447" s="23"/>
      <c r="G1447">
        <f>IF($A1447="","","#"&amp;TRIM(SUBSTITUTE(SUBSTITUTE(SUBSTITUTE(SUBSTITUTE(SUBSTITUTE(SUBSTITUTE($A1447,"-",""),"(",""),")",""),".",""),"+","")," ","")))</f>
      </c>
    </row>
    <row r="1448" spans="1:7" x14ac:dyDescent="0.3">
      <c r="A1448" s="11"/>
      <c r="B1448" s="38">
        <f>IF($A1448="","",IFERROR(IF(INDEX(Pledges!$D$5:$D$2500,MATCH($G1448,Pledges!$K$5:$K$2500,0))="","⚠ no amount on Pledges",IF(INDEX(Pledges!$B$5:$B$2500,MATCH($G1448,Pledges!$K$5:$K$2500,0))="","",INDEX(Pledges!$B$5:$B$2500,MATCH($G1448,Pledges!$K$5:$K$2500,0)))),"⚠ phone not in Pledges"))</f>
      </c>
      <c r="C1448" s="12"/>
      <c r="D1448" s="13"/>
      <c r="E1448" s="22"/>
      <c r="F1448" s="23"/>
      <c r="G1448">
        <f>IF($A1448="","","#"&amp;TRIM(SUBSTITUTE(SUBSTITUTE(SUBSTITUTE(SUBSTITUTE(SUBSTITUTE(SUBSTITUTE($A1448,"-",""),"(",""),")",""),".",""),"+","")," ","")))</f>
      </c>
    </row>
    <row r="1449" spans="1:7" x14ac:dyDescent="0.3">
      <c r="A1449" s="11"/>
      <c r="B1449" s="38">
        <f>IF($A1449="","",IFERROR(IF(INDEX(Pledges!$D$5:$D$2500,MATCH($G1449,Pledges!$K$5:$K$2500,0))="","⚠ no amount on Pledges",IF(INDEX(Pledges!$B$5:$B$2500,MATCH($G1449,Pledges!$K$5:$K$2500,0))="","",INDEX(Pledges!$B$5:$B$2500,MATCH($G1449,Pledges!$K$5:$K$2500,0)))),"⚠ phone not in Pledges"))</f>
      </c>
      <c r="C1449" s="12"/>
      <c r="D1449" s="13"/>
      <c r="E1449" s="22"/>
      <c r="F1449" s="23"/>
      <c r="G1449">
        <f>IF($A1449="","","#"&amp;TRIM(SUBSTITUTE(SUBSTITUTE(SUBSTITUTE(SUBSTITUTE(SUBSTITUTE(SUBSTITUTE($A1449,"-",""),"(",""),")",""),".",""),"+","")," ","")))</f>
      </c>
    </row>
    <row r="1450" spans="1:7" x14ac:dyDescent="0.3">
      <c r="A1450" s="11"/>
      <c r="B1450" s="38">
        <f>IF($A1450="","",IFERROR(IF(INDEX(Pledges!$D$5:$D$2500,MATCH($G1450,Pledges!$K$5:$K$2500,0))="","⚠ no amount on Pledges",IF(INDEX(Pledges!$B$5:$B$2500,MATCH($G1450,Pledges!$K$5:$K$2500,0))="","",INDEX(Pledges!$B$5:$B$2500,MATCH($G1450,Pledges!$K$5:$K$2500,0)))),"⚠ phone not in Pledges"))</f>
      </c>
      <c r="C1450" s="12"/>
      <c r="D1450" s="13"/>
      <c r="E1450" s="22"/>
      <c r="F1450" s="23"/>
      <c r="G1450">
        <f>IF($A1450="","","#"&amp;TRIM(SUBSTITUTE(SUBSTITUTE(SUBSTITUTE(SUBSTITUTE(SUBSTITUTE(SUBSTITUTE($A1450,"-",""),"(",""),")",""),".",""),"+","")," ","")))</f>
      </c>
    </row>
    <row r="1451" spans="1:7" x14ac:dyDescent="0.3">
      <c r="A1451" s="11"/>
      <c r="B1451" s="38">
        <f>IF($A1451="","",IFERROR(IF(INDEX(Pledges!$D$5:$D$2500,MATCH($G1451,Pledges!$K$5:$K$2500,0))="","⚠ no amount on Pledges",IF(INDEX(Pledges!$B$5:$B$2500,MATCH($G1451,Pledges!$K$5:$K$2500,0))="","",INDEX(Pledges!$B$5:$B$2500,MATCH($G1451,Pledges!$K$5:$K$2500,0)))),"⚠ phone not in Pledges"))</f>
      </c>
      <c r="C1451" s="12"/>
      <c r="D1451" s="13"/>
      <c r="E1451" s="22"/>
      <c r="F1451" s="23"/>
      <c r="G1451">
        <f>IF($A1451="","","#"&amp;TRIM(SUBSTITUTE(SUBSTITUTE(SUBSTITUTE(SUBSTITUTE(SUBSTITUTE(SUBSTITUTE($A1451,"-",""),"(",""),")",""),".",""),"+","")," ","")))</f>
      </c>
    </row>
    <row r="1452" spans="1:7" x14ac:dyDescent="0.3">
      <c r="A1452" s="11"/>
      <c r="B1452" s="38">
        <f>IF($A1452="","",IFERROR(IF(INDEX(Pledges!$D$5:$D$2500,MATCH($G1452,Pledges!$K$5:$K$2500,0))="","⚠ no amount on Pledges",IF(INDEX(Pledges!$B$5:$B$2500,MATCH($G1452,Pledges!$K$5:$K$2500,0))="","",INDEX(Pledges!$B$5:$B$2500,MATCH($G1452,Pledges!$K$5:$K$2500,0)))),"⚠ phone not in Pledges"))</f>
      </c>
      <c r="C1452" s="12"/>
      <c r="D1452" s="13"/>
      <c r="E1452" s="22"/>
      <c r="F1452" s="23"/>
      <c r="G1452">
        <f>IF($A1452="","","#"&amp;TRIM(SUBSTITUTE(SUBSTITUTE(SUBSTITUTE(SUBSTITUTE(SUBSTITUTE(SUBSTITUTE($A1452,"-",""),"(",""),")",""),".",""),"+","")," ","")))</f>
      </c>
    </row>
    <row r="1453" spans="1:7" x14ac:dyDescent="0.3">
      <c r="A1453" s="11"/>
      <c r="B1453" s="38">
        <f>IF($A1453="","",IFERROR(IF(INDEX(Pledges!$D$5:$D$2500,MATCH($G1453,Pledges!$K$5:$K$2500,0))="","⚠ no amount on Pledges",IF(INDEX(Pledges!$B$5:$B$2500,MATCH($G1453,Pledges!$K$5:$K$2500,0))="","",INDEX(Pledges!$B$5:$B$2500,MATCH($G1453,Pledges!$K$5:$K$2500,0)))),"⚠ phone not in Pledges"))</f>
      </c>
      <c r="C1453" s="12"/>
      <c r="D1453" s="13"/>
      <c r="E1453" s="22"/>
      <c r="F1453" s="23"/>
      <c r="G1453">
        <f>IF($A1453="","","#"&amp;TRIM(SUBSTITUTE(SUBSTITUTE(SUBSTITUTE(SUBSTITUTE(SUBSTITUTE(SUBSTITUTE($A1453,"-",""),"(",""),")",""),".",""),"+","")," ","")))</f>
      </c>
    </row>
    <row r="1454" spans="1:7" x14ac:dyDescent="0.3">
      <c r="A1454" s="11"/>
      <c r="B1454" s="38">
        <f>IF($A1454="","",IFERROR(IF(INDEX(Pledges!$D$5:$D$2500,MATCH($G1454,Pledges!$K$5:$K$2500,0))="","⚠ no amount on Pledges",IF(INDEX(Pledges!$B$5:$B$2500,MATCH($G1454,Pledges!$K$5:$K$2500,0))="","",INDEX(Pledges!$B$5:$B$2500,MATCH($G1454,Pledges!$K$5:$K$2500,0)))),"⚠ phone not in Pledges"))</f>
      </c>
      <c r="C1454" s="12"/>
      <c r="D1454" s="13"/>
      <c r="E1454" s="22"/>
      <c r="F1454" s="23"/>
      <c r="G1454">
        <f>IF($A1454="","","#"&amp;TRIM(SUBSTITUTE(SUBSTITUTE(SUBSTITUTE(SUBSTITUTE(SUBSTITUTE(SUBSTITUTE($A1454,"-",""),"(",""),")",""),".",""),"+","")," ","")))</f>
      </c>
    </row>
    <row r="1455" spans="1:7" x14ac:dyDescent="0.3">
      <c r="A1455" s="11"/>
      <c r="B1455" s="38">
        <f>IF($A1455="","",IFERROR(IF(INDEX(Pledges!$D$5:$D$2500,MATCH($G1455,Pledges!$K$5:$K$2500,0))="","⚠ no amount on Pledges",IF(INDEX(Pledges!$B$5:$B$2500,MATCH($G1455,Pledges!$K$5:$K$2500,0))="","",INDEX(Pledges!$B$5:$B$2500,MATCH($G1455,Pledges!$K$5:$K$2500,0)))),"⚠ phone not in Pledges"))</f>
      </c>
      <c r="C1455" s="12"/>
      <c r="D1455" s="13"/>
      <c r="E1455" s="22"/>
      <c r="F1455" s="23"/>
      <c r="G1455">
        <f>IF($A1455="","","#"&amp;TRIM(SUBSTITUTE(SUBSTITUTE(SUBSTITUTE(SUBSTITUTE(SUBSTITUTE(SUBSTITUTE($A1455,"-",""),"(",""),")",""),".",""),"+","")," ","")))</f>
      </c>
    </row>
    <row r="1456" spans="1:7" x14ac:dyDescent="0.3">
      <c r="A1456" s="11"/>
      <c r="B1456" s="38">
        <f>IF($A1456="","",IFERROR(IF(INDEX(Pledges!$D$5:$D$2500,MATCH($G1456,Pledges!$K$5:$K$2500,0))="","⚠ no amount on Pledges",IF(INDEX(Pledges!$B$5:$B$2500,MATCH($G1456,Pledges!$K$5:$K$2500,0))="","",INDEX(Pledges!$B$5:$B$2500,MATCH($G1456,Pledges!$K$5:$K$2500,0)))),"⚠ phone not in Pledges"))</f>
      </c>
      <c r="C1456" s="12"/>
      <c r="D1456" s="13"/>
      <c r="E1456" s="22"/>
      <c r="F1456" s="23"/>
      <c r="G1456">
        <f>IF($A1456="","","#"&amp;TRIM(SUBSTITUTE(SUBSTITUTE(SUBSTITUTE(SUBSTITUTE(SUBSTITUTE(SUBSTITUTE($A1456,"-",""),"(",""),")",""),".",""),"+","")," ","")))</f>
      </c>
    </row>
    <row r="1457" spans="1:7" x14ac:dyDescent="0.3">
      <c r="A1457" s="11"/>
      <c r="B1457" s="38">
        <f>IF($A1457="","",IFERROR(IF(INDEX(Pledges!$D$5:$D$2500,MATCH($G1457,Pledges!$K$5:$K$2500,0))="","⚠ no amount on Pledges",IF(INDEX(Pledges!$B$5:$B$2500,MATCH($G1457,Pledges!$K$5:$K$2500,0))="","",INDEX(Pledges!$B$5:$B$2500,MATCH($G1457,Pledges!$K$5:$K$2500,0)))),"⚠ phone not in Pledges"))</f>
      </c>
      <c r="C1457" s="12"/>
      <c r="D1457" s="13"/>
      <c r="E1457" s="22"/>
      <c r="F1457" s="23"/>
      <c r="G1457">
        <f>IF($A1457="","","#"&amp;TRIM(SUBSTITUTE(SUBSTITUTE(SUBSTITUTE(SUBSTITUTE(SUBSTITUTE(SUBSTITUTE($A1457,"-",""),"(",""),")",""),".",""),"+","")," ","")))</f>
      </c>
    </row>
    <row r="1458" spans="1:7" x14ac:dyDescent="0.3">
      <c r="A1458" s="11"/>
      <c r="B1458" s="38">
        <f>IF($A1458="","",IFERROR(IF(INDEX(Pledges!$D$5:$D$2500,MATCH($G1458,Pledges!$K$5:$K$2500,0))="","⚠ no amount on Pledges",IF(INDEX(Pledges!$B$5:$B$2500,MATCH($G1458,Pledges!$K$5:$K$2500,0))="","",INDEX(Pledges!$B$5:$B$2500,MATCH($G1458,Pledges!$K$5:$K$2500,0)))),"⚠ phone not in Pledges"))</f>
      </c>
      <c r="C1458" s="12"/>
      <c r="D1458" s="13"/>
      <c r="E1458" s="22"/>
      <c r="F1458" s="23"/>
      <c r="G1458">
        <f>IF($A1458="","","#"&amp;TRIM(SUBSTITUTE(SUBSTITUTE(SUBSTITUTE(SUBSTITUTE(SUBSTITUTE(SUBSTITUTE($A1458,"-",""),"(",""),")",""),".",""),"+","")," ","")))</f>
      </c>
    </row>
    <row r="1459" spans="1:7" x14ac:dyDescent="0.3">
      <c r="A1459" s="11"/>
      <c r="B1459" s="38">
        <f>IF($A1459="","",IFERROR(IF(INDEX(Pledges!$D$5:$D$2500,MATCH($G1459,Pledges!$K$5:$K$2500,0))="","⚠ no amount on Pledges",IF(INDEX(Pledges!$B$5:$B$2500,MATCH($G1459,Pledges!$K$5:$K$2500,0))="","",INDEX(Pledges!$B$5:$B$2500,MATCH($G1459,Pledges!$K$5:$K$2500,0)))),"⚠ phone not in Pledges"))</f>
      </c>
      <c r="C1459" s="12"/>
      <c r="D1459" s="13"/>
      <c r="E1459" s="22"/>
      <c r="F1459" s="23"/>
      <c r="G1459">
        <f>IF($A1459="","","#"&amp;TRIM(SUBSTITUTE(SUBSTITUTE(SUBSTITUTE(SUBSTITUTE(SUBSTITUTE(SUBSTITUTE($A1459,"-",""),"(",""),")",""),".",""),"+","")," ","")))</f>
      </c>
    </row>
    <row r="1460" spans="1:7" x14ac:dyDescent="0.3">
      <c r="A1460" s="11"/>
      <c r="B1460" s="38">
        <f>IF($A1460="","",IFERROR(IF(INDEX(Pledges!$D$5:$D$2500,MATCH($G1460,Pledges!$K$5:$K$2500,0))="","⚠ no amount on Pledges",IF(INDEX(Pledges!$B$5:$B$2500,MATCH($G1460,Pledges!$K$5:$K$2500,0))="","",INDEX(Pledges!$B$5:$B$2500,MATCH($G1460,Pledges!$K$5:$K$2500,0)))),"⚠ phone not in Pledges"))</f>
      </c>
      <c r="C1460" s="12"/>
      <c r="D1460" s="13"/>
      <c r="E1460" s="22"/>
      <c r="F1460" s="23"/>
      <c r="G1460">
        <f>IF($A1460="","","#"&amp;TRIM(SUBSTITUTE(SUBSTITUTE(SUBSTITUTE(SUBSTITUTE(SUBSTITUTE(SUBSTITUTE($A1460,"-",""),"(",""),")",""),".",""),"+","")," ","")))</f>
      </c>
    </row>
    <row r="1461" spans="1:7" x14ac:dyDescent="0.3">
      <c r="A1461" s="11"/>
      <c r="B1461" s="38">
        <f>IF($A1461="","",IFERROR(IF(INDEX(Pledges!$D$5:$D$2500,MATCH($G1461,Pledges!$K$5:$K$2500,0))="","⚠ no amount on Pledges",IF(INDEX(Pledges!$B$5:$B$2500,MATCH($G1461,Pledges!$K$5:$K$2500,0))="","",INDEX(Pledges!$B$5:$B$2500,MATCH($G1461,Pledges!$K$5:$K$2500,0)))),"⚠ phone not in Pledges"))</f>
      </c>
      <c r="C1461" s="12"/>
      <c r="D1461" s="13"/>
      <c r="E1461" s="22"/>
      <c r="F1461" s="23"/>
      <c r="G1461">
        <f>IF($A1461="","","#"&amp;TRIM(SUBSTITUTE(SUBSTITUTE(SUBSTITUTE(SUBSTITUTE(SUBSTITUTE(SUBSTITUTE($A1461,"-",""),"(",""),")",""),".",""),"+","")," ","")))</f>
      </c>
    </row>
    <row r="1462" spans="1:7" x14ac:dyDescent="0.3">
      <c r="A1462" s="11"/>
      <c r="B1462" s="38">
        <f>IF($A1462="","",IFERROR(IF(INDEX(Pledges!$D$5:$D$2500,MATCH($G1462,Pledges!$K$5:$K$2500,0))="","⚠ no amount on Pledges",IF(INDEX(Pledges!$B$5:$B$2500,MATCH($G1462,Pledges!$K$5:$K$2500,0))="","",INDEX(Pledges!$B$5:$B$2500,MATCH($G1462,Pledges!$K$5:$K$2500,0)))),"⚠ phone not in Pledges"))</f>
      </c>
      <c r="C1462" s="12"/>
      <c r="D1462" s="13"/>
      <c r="E1462" s="22"/>
      <c r="F1462" s="23"/>
      <c r="G1462">
        <f>IF($A1462="","","#"&amp;TRIM(SUBSTITUTE(SUBSTITUTE(SUBSTITUTE(SUBSTITUTE(SUBSTITUTE(SUBSTITUTE($A1462,"-",""),"(",""),")",""),".",""),"+","")," ","")))</f>
      </c>
    </row>
    <row r="1463" spans="1:7" x14ac:dyDescent="0.3">
      <c r="A1463" s="11"/>
      <c r="B1463" s="38">
        <f>IF($A1463="","",IFERROR(IF(INDEX(Pledges!$D$5:$D$2500,MATCH($G1463,Pledges!$K$5:$K$2500,0))="","⚠ no amount on Pledges",IF(INDEX(Pledges!$B$5:$B$2500,MATCH($G1463,Pledges!$K$5:$K$2500,0))="","",INDEX(Pledges!$B$5:$B$2500,MATCH($G1463,Pledges!$K$5:$K$2500,0)))),"⚠ phone not in Pledges"))</f>
      </c>
      <c r="C1463" s="12"/>
      <c r="D1463" s="13"/>
      <c r="E1463" s="22"/>
      <c r="F1463" s="23"/>
      <c r="G1463">
        <f>IF($A1463="","","#"&amp;TRIM(SUBSTITUTE(SUBSTITUTE(SUBSTITUTE(SUBSTITUTE(SUBSTITUTE(SUBSTITUTE($A1463,"-",""),"(",""),")",""),".",""),"+","")," ","")))</f>
      </c>
    </row>
    <row r="1464" spans="1:7" x14ac:dyDescent="0.3">
      <c r="A1464" s="11"/>
      <c r="B1464" s="38">
        <f>IF($A1464="","",IFERROR(IF(INDEX(Pledges!$D$5:$D$2500,MATCH($G1464,Pledges!$K$5:$K$2500,0))="","⚠ no amount on Pledges",IF(INDEX(Pledges!$B$5:$B$2500,MATCH($G1464,Pledges!$K$5:$K$2500,0))="","",INDEX(Pledges!$B$5:$B$2500,MATCH($G1464,Pledges!$K$5:$K$2500,0)))),"⚠ phone not in Pledges"))</f>
      </c>
      <c r="C1464" s="12"/>
      <c r="D1464" s="13"/>
      <c r="E1464" s="22"/>
      <c r="F1464" s="23"/>
      <c r="G1464">
        <f>IF($A1464="","","#"&amp;TRIM(SUBSTITUTE(SUBSTITUTE(SUBSTITUTE(SUBSTITUTE(SUBSTITUTE(SUBSTITUTE($A1464,"-",""),"(",""),")",""),".",""),"+","")," ","")))</f>
      </c>
    </row>
    <row r="1465" spans="1:7" x14ac:dyDescent="0.3">
      <c r="A1465" s="11"/>
      <c r="B1465" s="38">
        <f>IF($A1465="","",IFERROR(IF(INDEX(Pledges!$D$5:$D$2500,MATCH($G1465,Pledges!$K$5:$K$2500,0))="","⚠ no amount on Pledges",IF(INDEX(Pledges!$B$5:$B$2500,MATCH($G1465,Pledges!$K$5:$K$2500,0))="","",INDEX(Pledges!$B$5:$B$2500,MATCH($G1465,Pledges!$K$5:$K$2500,0)))),"⚠ phone not in Pledges"))</f>
      </c>
      <c r="C1465" s="12"/>
      <c r="D1465" s="13"/>
      <c r="E1465" s="22"/>
      <c r="F1465" s="23"/>
      <c r="G1465">
        <f>IF($A1465="","","#"&amp;TRIM(SUBSTITUTE(SUBSTITUTE(SUBSTITUTE(SUBSTITUTE(SUBSTITUTE(SUBSTITUTE($A1465,"-",""),"(",""),")",""),".",""),"+","")," ","")))</f>
      </c>
    </row>
    <row r="1466" spans="1:7" x14ac:dyDescent="0.3">
      <c r="A1466" s="11"/>
      <c r="B1466" s="38">
        <f>IF($A1466="","",IFERROR(IF(INDEX(Pledges!$D$5:$D$2500,MATCH($G1466,Pledges!$K$5:$K$2500,0))="","⚠ no amount on Pledges",IF(INDEX(Pledges!$B$5:$B$2500,MATCH($G1466,Pledges!$K$5:$K$2500,0))="","",INDEX(Pledges!$B$5:$B$2500,MATCH($G1466,Pledges!$K$5:$K$2500,0)))),"⚠ phone not in Pledges"))</f>
      </c>
      <c r="C1466" s="12"/>
      <c r="D1466" s="13"/>
      <c r="E1466" s="22"/>
      <c r="F1466" s="23"/>
      <c r="G1466">
        <f>IF($A1466="","","#"&amp;TRIM(SUBSTITUTE(SUBSTITUTE(SUBSTITUTE(SUBSTITUTE(SUBSTITUTE(SUBSTITUTE($A1466,"-",""),"(",""),")",""),".",""),"+","")," ","")))</f>
      </c>
    </row>
    <row r="1467" spans="1:7" x14ac:dyDescent="0.3">
      <c r="A1467" s="11"/>
      <c r="B1467" s="38">
        <f>IF($A1467="","",IFERROR(IF(INDEX(Pledges!$D$5:$D$2500,MATCH($G1467,Pledges!$K$5:$K$2500,0))="","⚠ no amount on Pledges",IF(INDEX(Pledges!$B$5:$B$2500,MATCH($G1467,Pledges!$K$5:$K$2500,0))="","",INDEX(Pledges!$B$5:$B$2500,MATCH($G1467,Pledges!$K$5:$K$2500,0)))),"⚠ phone not in Pledges"))</f>
      </c>
      <c r="C1467" s="12"/>
      <c r="D1467" s="13"/>
      <c r="E1467" s="22"/>
      <c r="F1467" s="23"/>
      <c r="G1467">
        <f>IF($A1467="","","#"&amp;TRIM(SUBSTITUTE(SUBSTITUTE(SUBSTITUTE(SUBSTITUTE(SUBSTITUTE(SUBSTITUTE($A1467,"-",""),"(",""),")",""),".",""),"+","")," ","")))</f>
      </c>
    </row>
    <row r="1468" spans="1:7" x14ac:dyDescent="0.3">
      <c r="A1468" s="11"/>
      <c r="B1468" s="38">
        <f>IF($A1468="","",IFERROR(IF(INDEX(Pledges!$D$5:$D$2500,MATCH($G1468,Pledges!$K$5:$K$2500,0))="","⚠ no amount on Pledges",IF(INDEX(Pledges!$B$5:$B$2500,MATCH($G1468,Pledges!$K$5:$K$2500,0))="","",INDEX(Pledges!$B$5:$B$2500,MATCH($G1468,Pledges!$K$5:$K$2500,0)))),"⚠ phone not in Pledges"))</f>
      </c>
      <c r="C1468" s="12"/>
      <c r="D1468" s="13"/>
      <c r="E1468" s="22"/>
      <c r="F1468" s="23"/>
      <c r="G1468">
        <f>IF($A1468="","","#"&amp;TRIM(SUBSTITUTE(SUBSTITUTE(SUBSTITUTE(SUBSTITUTE(SUBSTITUTE(SUBSTITUTE($A1468,"-",""),"(",""),")",""),".",""),"+","")," ","")))</f>
      </c>
    </row>
    <row r="1469" spans="1:7" x14ac:dyDescent="0.3">
      <c r="A1469" s="11"/>
      <c r="B1469" s="38">
        <f>IF($A1469="","",IFERROR(IF(INDEX(Pledges!$D$5:$D$2500,MATCH($G1469,Pledges!$K$5:$K$2500,0))="","⚠ no amount on Pledges",IF(INDEX(Pledges!$B$5:$B$2500,MATCH($G1469,Pledges!$K$5:$K$2500,0))="","",INDEX(Pledges!$B$5:$B$2500,MATCH($G1469,Pledges!$K$5:$K$2500,0)))),"⚠ phone not in Pledges"))</f>
      </c>
      <c r="C1469" s="12"/>
      <c r="D1469" s="13"/>
      <c r="E1469" s="22"/>
      <c r="F1469" s="23"/>
      <c r="G1469">
        <f>IF($A1469="","","#"&amp;TRIM(SUBSTITUTE(SUBSTITUTE(SUBSTITUTE(SUBSTITUTE(SUBSTITUTE(SUBSTITUTE($A1469,"-",""),"(",""),")",""),".",""),"+","")," ","")))</f>
      </c>
    </row>
    <row r="1470" spans="1:7" x14ac:dyDescent="0.3">
      <c r="A1470" s="11"/>
      <c r="B1470" s="38">
        <f>IF($A1470="","",IFERROR(IF(INDEX(Pledges!$D$5:$D$2500,MATCH($G1470,Pledges!$K$5:$K$2500,0))="","⚠ no amount on Pledges",IF(INDEX(Pledges!$B$5:$B$2500,MATCH($G1470,Pledges!$K$5:$K$2500,0))="","",INDEX(Pledges!$B$5:$B$2500,MATCH($G1470,Pledges!$K$5:$K$2500,0)))),"⚠ phone not in Pledges"))</f>
      </c>
      <c r="C1470" s="12"/>
      <c r="D1470" s="13"/>
      <c r="E1470" s="22"/>
      <c r="F1470" s="23"/>
      <c r="G1470">
        <f>IF($A1470="","","#"&amp;TRIM(SUBSTITUTE(SUBSTITUTE(SUBSTITUTE(SUBSTITUTE(SUBSTITUTE(SUBSTITUTE($A1470,"-",""),"(",""),")",""),".",""),"+","")," ","")))</f>
      </c>
    </row>
    <row r="1471" spans="1:7" x14ac:dyDescent="0.3">
      <c r="A1471" s="11"/>
      <c r="B1471" s="38">
        <f>IF($A1471="","",IFERROR(IF(INDEX(Pledges!$D$5:$D$2500,MATCH($G1471,Pledges!$K$5:$K$2500,0))="","⚠ no amount on Pledges",IF(INDEX(Pledges!$B$5:$B$2500,MATCH($G1471,Pledges!$K$5:$K$2500,0))="","",INDEX(Pledges!$B$5:$B$2500,MATCH($G1471,Pledges!$K$5:$K$2500,0)))),"⚠ phone not in Pledges"))</f>
      </c>
      <c r="C1471" s="12"/>
      <c r="D1471" s="13"/>
      <c r="E1471" s="22"/>
      <c r="F1471" s="23"/>
      <c r="G1471">
        <f>IF($A1471="","","#"&amp;TRIM(SUBSTITUTE(SUBSTITUTE(SUBSTITUTE(SUBSTITUTE(SUBSTITUTE(SUBSTITUTE($A1471,"-",""),"(",""),")",""),".",""),"+","")," ","")))</f>
      </c>
    </row>
    <row r="1472" spans="1:7" x14ac:dyDescent="0.3">
      <c r="A1472" s="11"/>
      <c r="B1472" s="38">
        <f>IF($A1472="","",IFERROR(IF(INDEX(Pledges!$D$5:$D$2500,MATCH($G1472,Pledges!$K$5:$K$2500,0))="","⚠ no amount on Pledges",IF(INDEX(Pledges!$B$5:$B$2500,MATCH($G1472,Pledges!$K$5:$K$2500,0))="","",INDEX(Pledges!$B$5:$B$2500,MATCH($G1472,Pledges!$K$5:$K$2500,0)))),"⚠ phone not in Pledges"))</f>
      </c>
      <c r="C1472" s="12"/>
      <c r="D1472" s="13"/>
      <c r="E1472" s="22"/>
      <c r="F1472" s="23"/>
      <c r="G1472">
        <f>IF($A1472="","","#"&amp;TRIM(SUBSTITUTE(SUBSTITUTE(SUBSTITUTE(SUBSTITUTE(SUBSTITUTE(SUBSTITUTE($A1472,"-",""),"(",""),")",""),".",""),"+","")," ","")))</f>
      </c>
    </row>
    <row r="1473" spans="1:7" x14ac:dyDescent="0.3">
      <c r="A1473" s="11"/>
      <c r="B1473" s="38">
        <f>IF($A1473="","",IFERROR(IF(INDEX(Pledges!$D$5:$D$2500,MATCH($G1473,Pledges!$K$5:$K$2500,0))="","⚠ no amount on Pledges",IF(INDEX(Pledges!$B$5:$B$2500,MATCH($G1473,Pledges!$K$5:$K$2500,0))="","",INDEX(Pledges!$B$5:$B$2500,MATCH($G1473,Pledges!$K$5:$K$2500,0)))),"⚠ phone not in Pledges"))</f>
      </c>
      <c r="C1473" s="12"/>
      <c r="D1473" s="13"/>
      <c r="E1473" s="22"/>
      <c r="F1473" s="23"/>
      <c r="G1473">
        <f>IF($A1473="","","#"&amp;TRIM(SUBSTITUTE(SUBSTITUTE(SUBSTITUTE(SUBSTITUTE(SUBSTITUTE(SUBSTITUTE($A1473,"-",""),"(",""),")",""),".",""),"+","")," ","")))</f>
      </c>
    </row>
    <row r="1474" spans="1:7" x14ac:dyDescent="0.3">
      <c r="A1474" s="11"/>
      <c r="B1474" s="38">
        <f>IF($A1474="","",IFERROR(IF(INDEX(Pledges!$D$5:$D$2500,MATCH($G1474,Pledges!$K$5:$K$2500,0))="","⚠ no amount on Pledges",IF(INDEX(Pledges!$B$5:$B$2500,MATCH($G1474,Pledges!$K$5:$K$2500,0))="","",INDEX(Pledges!$B$5:$B$2500,MATCH($G1474,Pledges!$K$5:$K$2500,0)))),"⚠ phone not in Pledges"))</f>
      </c>
      <c r="C1474" s="12"/>
      <c r="D1474" s="13"/>
      <c r="E1474" s="22"/>
      <c r="F1474" s="23"/>
      <c r="G1474">
        <f>IF($A1474="","","#"&amp;TRIM(SUBSTITUTE(SUBSTITUTE(SUBSTITUTE(SUBSTITUTE(SUBSTITUTE(SUBSTITUTE($A1474,"-",""),"(",""),")",""),".",""),"+","")," ","")))</f>
      </c>
    </row>
    <row r="1475" spans="1:7" x14ac:dyDescent="0.3">
      <c r="A1475" s="11"/>
      <c r="B1475" s="38">
        <f>IF($A1475="","",IFERROR(IF(INDEX(Pledges!$D$5:$D$2500,MATCH($G1475,Pledges!$K$5:$K$2500,0))="","⚠ no amount on Pledges",IF(INDEX(Pledges!$B$5:$B$2500,MATCH($G1475,Pledges!$K$5:$K$2500,0))="","",INDEX(Pledges!$B$5:$B$2500,MATCH($G1475,Pledges!$K$5:$K$2500,0)))),"⚠ phone not in Pledges"))</f>
      </c>
      <c r="C1475" s="12"/>
      <c r="D1475" s="13"/>
      <c r="E1475" s="22"/>
      <c r="F1475" s="23"/>
      <c r="G1475">
        <f>IF($A1475="","","#"&amp;TRIM(SUBSTITUTE(SUBSTITUTE(SUBSTITUTE(SUBSTITUTE(SUBSTITUTE(SUBSTITUTE($A1475,"-",""),"(",""),")",""),".",""),"+","")," ","")))</f>
      </c>
    </row>
    <row r="1476" spans="1:7" x14ac:dyDescent="0.3">
      <c r="A1476" s="11"/>
      <c r="B1476" s="38">
        <f>IF($A1476="","",IFERROR(IF(INDEX(Pledges!$D$5:$D$2500,MATCH($G1476,Pledges!$K$5:$K$2500,0))="","⚠ no amount on Pledges",IF(INDEX(Pledges!$B$5:$B$2500,MATCH($G1476,Pledges!$K$5:$K$2500,0))="","",INDEX(Pledges!$B$5:$B$2500,MATCH($G1476,Pledges!$K$5:$K$2500,0)))),"⚠ phone not in Pledges"))</f>
      </c>
      <c r="C1476" s="12"/>
      <c r="D1476" s="13"/>
      <c r="E1476" s="22"/>
      <c r="F1476" s="23"/>
      <c r="G1476">
        <f>IF($A1476="","","#"&amp;TRIM(SUBSTITUTE(SUBSTITUTE(SUBSTITUTE(SUBSTITUTE(SUBSTITUTE(SUBSTITUTE($A1476,"-",""),"(",""),")",""),".",""),"+","")," ","")))</f>
      </c>
    </row>
    <row r="1477" spans="1:7" x14ac:dyDescent="0.3">
      <c r="A1477" s="11"/>
      <c r="B1477" s="38">
        <f>IF($A1477="","",IFERROR(IF(INDEX(Pledges!$D$5:$D$2500,MATCH($G1477,Pledges!$K$5:$K$2500,0))="","⚠ no amount on Pledges",IF(INDEX(Pledges!$B$5:$B$2500,MATCH($G1477,Pledges!$K$5:$K$2500,0))="","",INDEX(Pledges!$B$5:$B$2500,MATCH($G1477,Pledges!$K$5:$K$2500,0)))),"⚠ phone not in Pledges"))</f>
      </c>
      <c r="C1477" s="12"/>
      <c r="D1477" s="13"/>
      <c r="E1477" s="22"/>
      <c r="F1477" s="23"/>
      <c r="G1477">
        <f>IF($A1477="","","#"&amp;TRIM(SUBSTITUTE(SUBSTITUTE(SUBSTITUTE(SUBSTITUTE(SUBSTITUTE(SUBSTITUTE($A1477,"-",""),"(",""),")",""),".",""),"+","")," ","")))</f>
      </c>
    </row>
    <row r="1478" spans="1:7" x14ac:dyDescent="0.3">
      <c r="A1478" s="11"/>
      <c r="B1478" s="38">
        <f>IF($A1478="","",IFERROR(IF(INDEX(Pledges!$D$5:$D$2500,MATCH($G1478,Pledges!$K$5:$K$2500,0))="","⚠ no amount on Pledges",IF(INDEX(Pledges!$B$5:$B$2500,MATCH($G1478,Pledges!$K$5:$K$2500,0))="","",INDEX(Pledges!$B$5:$B$2500,MATCH($G1478,Pledges!$K$5:$K$2500,0)))),"⚠ phone not in Pledges"))</f>
      </c>
      <c r="C1478" s="12"/>
      <c r="D1478" s="13"/>
      <c r="E1478" s="22"/>
      <c r="F1478" s="23"/>
      <c r="G1478">
        <f>IF($A1478="","","#"&amp;TRIM(SUBSTITUTE(SUBSTITUTE(SUBSTITUTE(SUBSTITUTE(SUBSTITUTE(SUBSTITUTE($A1478,"-",""),"(",""),")",""),".",""),"+","")," ","")))</f>
      </c>
    </row>
    <row r="1479" spans="1:7" x14ac:dyDescent="0.3">
      <c r="A1479" s="11"/>
      <c r="B1479" s="38">
        <f>IF($A1479="","",IFERROR(IF(INDEX(Pledges!$D$5:$D$2500,MATCH($G1479,Pledges!$K$5:$K$2500,0))="","⚠ no amount on Pledges",IF(INDEX(Pledges!$B$5:$B$2500,MATCH($G1479,Pledges!$K$5:$K$2500,0))="","",INDEX(Pledges!$B$5:$B$2500,MATCH($G1479,Pledges!$K$5:$K$2500,0)))),"⚠ phone not in Pledges"))</f>
      </c>
      <c r="C1479" s="12"/>
      <c r="D1479" s="13"/>
      <c r="E1479" s="22"/>
      <c r="F1479" s="23"/>
      <c r="G1479">
        <f>IF($A1479="","","#"&amp;TRIM(SUBSTITUTE(SUBSTITUTE(SUBSTITUTE(SUBSTITUTE(SUBSTITUTE(SUBSTITUTE($A1479,"-",""),"(",""),")",""),".",""),"+","")," ","")))</f>
      </c>
    </row>
    <row r="1480" spans="1:7" x14ac:dyDescent="0.3">
      <c r="A1480" s="11"/>
      <c r="B1480" s="38">
        <f>IF($A1480="","",IFERROR(IF(INDEX(Pledges!$D$5:$D$2500,MATCH($G1480,Pledges!$K$5:$K$2500,0))="","⚠ no amount on Pledges",IF(INDEX(Pledges!$B$5:$B$2500,MATCH($G1480,Pledges!$K$5:$K$2500,0))="","",INDEX(Pledges!$B$5:$B$2500,MATCH($G1480,Pledges!$K$5:$K$2500,0)))),"⚠ phone not in Pledges"))</f>
      </c>
      <c r="C1480" s="12"/>
      <c r="D1480" s="13"/>
      <c r="E1480" s="22"/>
      <c r="F1480" s="23"/>
      <c r="G1480">
        <f>IF($A1480="","","#"&amp;TRIM(SUBSTITUTE(SUBSTITUTE(SUBSTITUTE(SUBSTITUTE(SUBSTITUTE(SUBSTITUTE($A1480,"-",""),"(",""),")",""),".",""),"+","")," ","")))</f>
      </c>
    </row>
    <row r="1481" spans="1:7" x14ac:dyDescent="0.3">
      <c r="A1481" s="11"/>
      <c r="B1481" s="38">
        <f>IF($A1481="","",IFERROR(IF(INDEX(Pledges!$D$5:$D$2500,MATCH($G1481,Pledges!$K$5:$K$2500,0))="","⚠ no amount on Pledges",IF(INDEX(Pledges!$B$5:$B$2500,MATCH($G1481,Pledges!$K$5:$K$2500,0))="","",INDEX(Pledges!$B$5:$B$2500,MATCH($G1481,Pledges!$K$5:$K$2500,0)))),"⚠ phone not in Pledges"))</f>
      </c>
      <c r="C1481" s="12"/>
      <c r="D1481" s="13"/>
      <c r="E1481" s="22"/>
      <c r="F1481" s="23"/>
      <c r="G1481">
        <f>IF($A1481="","","#"&amp;TRIM(SUBSTITUTE(SUBSTITUTE(SUBSTITUTE(SUBSTITUTE(SUBSTITUTE(SUBSTITUTE($A1481,"-",""),"(",""),")",""),".",""),"+","")," ","")))</f>
      </c>
    </row>
    <row r="1482" spans="1:7" x14ac:dyDescent="0.3">
      <c r="A1482" s="11"/>
      <c r="B1482" s="38">
        <f>IF($A1482="","",IFERROR(IF(INDEX(Pledges!$D$5:$D$2500,MATCH($G1482,Pledges!$K$5:$K$2500,0))="","⚠ no amount on Pledges",IF(INDEX(Pledges!$B$5:$B$2500,MATCH($G1482,Pledges!$K$5:$K$2500,0))="","",INDEX(Pledges!$B$5:$B$2500,MATCH($G1482,Pledges!$K$5:$K$2500,0)))),"⚠ phone not in Pledges"))</f>
      </c>
      <c r="C1482" s="12"/>
      <c r="D1482" s="13"/>
      <c r="E1482" s="22"/>
      <c r="F1482" s="23"/>
      <c r="G1482">
        <f>IF($A1482="","","#"&amp;TRIM(SUBSTITUTE(SUBSTITUTE(SUBSTITUTE(SUBSTITUTE(SUBSTITUTE(SUBSTITUTE($A1482,"-",""),"(",""),")",""),".",""),"+","")," ","")))</f>
      </c>
    </row>
    <row r="1483" spans="1:7" x14ac:dyDescent="0.3">
      <c r="A1483" s="11"/>
      <c r="B1483" s="38">
        <f>IF($A1483="","",IFERROR(IF(INDEX(Pledges!$D$5:$D$2500,MATCH($G1483,Pledges!$K$5:$K$2500,0))="","⚠ no amount on Pledges",IF(INDEX(Pledges!$B$5:$B$2500,MATCH($G1483,Pledges!$K$5:$K$2500,0))="","",INDEX(Pledges!$B$5:$B$2500,MATCH($G1483,Pledges!$K$5:$K$2500,0)))),"⚠ phone not in Pledges"))</f>
      </c>
      <c r="C1483" s="12"/>
      <c r="D1483" s="13"/>
      <c r="E1483" s="22"/>
      <c r="F1483" s="23"/>
      <c r="G1483">
        <f>IF($A1483="","","#"&amp;TRIM(SUBSTITUTE(SUBSTITUTE(SUBSTITUTE(SUBSTITUTE(SUBSTITUTE(SUBSTITUTE($A1483,"-",""),"(",""),")",""),".",""),"+","")," ","")))</f>
      </c>
    </row>
    <row r="1484" spans="1:7" x14ac:dyDescent="0.3">
      <c r="A1484" s="11"/>
      <c r="B1484" s="38">
        <f>IF($A1484="","",IFERROR(IF(INDEX(Pledges!$D$5:$D$2500,MATCH($G1484,Pledges!$K$5:$K$2500,0))="","⚠ no amount on Pledges",IF(INDEX(Pledges!$B$5:$B$2500,MATCH($G1484,Pledges!$K$5:$K$2500,0))="","",INDEX(Pledges!$B$5:$B$2500,MATCH($G1484,Pledges!$K$5:$K$2500,0)))),"⚠ phone not in Pledges"))</f>
      </c>
      <c r="C1484" s="12"/>
      <c r="D1484" s="13"/>
      <c r="E1484" s="22"/>
      <c r="F1484" s="23"/>
      <c r="G1484">
        <f>IF($A1484="","","#"&amp;TRIM(SUBSTITUTE(SUBSTITUTE(SUBSTITUTE(SUBSTITUTE(SUBSTITUTE(SUBSTITUTE($A1484,"-",""),"(",""),")",""),".",""),"+","")," ","")))</f>
      </c>
    </row>
    <row r="1485" spans="1:7" x14ac:dyDescent="0.3">
      <c r="A1485" s="11"/>
      <c r="B1485" s="38">
        <f>IF($A1485="","",IFERROR(IF(INDEX(Pledges!$D$5:$D$2500,MATCH($G1485,Pledges!$K$5:$K$2500,0))="","⚠ no amount on Pledges",IF(INDEX(Pledges!$B$5:$B$2500,MATCH($G1485,Pledges!$K$5:$K$2500,0))="","",INDEX(Pledges!$B$5:$B$2500,MATCH($G1485,Pledges!$K$5:$K$2500,0)))),"⚠ phone not in Pledges"))</f>
      </c>
      <c r="C1485" s="12"/>
      <c r="D1485" s="13"/>
      <c r="E1485" s="22"/>
      <c r="F1485" s="23"/>
      <c r="G1485">
        <f>IF($A1485="","","#"&amp;TRIM(SUBSTITUTE(SUBSTITUTE(SUBSTITUTE(SUBSTITUTE(SUBSTITUTE(SUBSTITUTE($A1485,"-",""),"(",""),")",""),".",""),"+","")," ","")))</f>
      </c>
    </row>
    <row r="1486" spans="1:7" x14ac:dyDescent="0.3">
      <c r="A1486" s="11"/>
      <c r="B1486" s="38">
        <f>IF($A1486="","",IFERROR(IF(INDEX(Pledges!$D$5:$D$2500,MATCH($G1486,Pledges!$K$5:$K$2500,0))="","⚠ no amount on Pledges",IF(INDEX(Pledges!$B$5:$B$2500,MATCH($G1486,Pledges!$K$5:$K$2500,0))="","",INDEX(Pledges!$B$5:$B$2500,MATCH($G1486,Pledges!$K$5:$K$2500,0)))),"⚠ phone not in Pledges"))</f>
      </c>
      <c r="C1486" s="12"/>
      <c r="D1486" s="13"/>
      <c r="E1486" s="22"/>
      <c r="F1486" s="23"/>
      <c r="G1486">
        <f>IF($A1486="","","#"&amp;TRIM(SUBSTITUTE(SUBSTITUTE(SUBSTITUTE(SUBSTITUTE(SUBSTITUTE(SUBSTITUTE($A1486,"-",""),"(",""),")",""),".",""),"+","")," ","")))</f>
      </c>
    </row>
    <row r="1487" spans="1:7" x14ac:dyDescent="0.3">
      <c r="A1487" s="11"/>
      <c r="B1487" s="38">
        <f>IF($A1487="","",IFERROR(IF(INDEX(Pledges!$D$5:$D$2500,MATCH($G1487,Pledges!$K$5:$K$2500,0))="","⚠ no amount on Pledges",IF(INDEX(Pledges!$B$5:$B$2500,MATCH($G1487,Pledges!$K$5:$K$2500,0))="","",INDEX(Pledges!$B$5:$B$2500,MATCH($G1487,Pledges!$K$5:$K$2500,0)))),"⚠ phone not in Pledges"))</f>
      </c>
      <c r="C1487" s="12"/>
      <c r="D1487" s="13"/>
      <c r="E1487" s="22"/>
      <c r="F1487" s="23"/>
      <c r="G1487">
        <f>IF($A1487="","","#"&amp;TRIM(SUBSTITUTE(SUBSTITUTE(SUBSTITUTE(SUBSTITUTE(SUBSTITUTE(SUBSTITUTE($A1487,"-",""),"(",""),")",""),".",""),"+","")," ","")))</f>
      </c>
    </row>
    <row r="1488" spans="1:7" x14ac:dyDescent="0.3">
      <c r="A1488" s="11"/>
      <c r="B1488" s="38">
        <f>IF($A1488="","",IFERROR(IF(INDEX(Pledges!$D$5:$D$2500,MATCH($G1488,Pledges!$K$5:$K$2500,0))="","⚠ no amount on Pledges",IF(INDEX(Pledges!$B$5:$B$2500,MATCH($G1488,Pledges!$K$5:$K$2500,0))="","",INDEX(Pledges!$B$5:$B$2500,MATCH($G1488,Pledges!$K$5:$K$2500,0)))),"⚠ phone not in Pledges"))</f>
      </c>
      <c r="C1488" s="12"/>
      <c r="D1488" s="13"/>
      <c r="E1488" s="22"/>
      <c r="F1488" s="23"/>
      <c r="G1488">
        <f>IF($A1488="","","#"&amp;TRIM(SUBSTITUTE(SUBSTITUTE(SUBSTITUTE(SUBSTITUTE(SUBSTITUTE(SUBSTITUTE($A1488,"-",""),"(",""),")",""),".",""),"+","")," ","")))</f>
      </c>
    </row>
    <row r="1489" spans="1:7" x14ac:dyDescent="0.3">
      <c r="A1489" s="11"/>
      <c r="B1489" s="38">
        <f>IF($A1489="","",IFERROR(IF(INDEX(Pledges!$D$5:$D$2500,MATCH($G1489,Pledges!$K$5:$K$2500,0))="","⚠ no amount on Pledges",IF(INDEX(Pledges!$B$5:$B$2500,MATCH($G1489,Pledges!$K$5:$K$2500,0))="","",INDEX(Pledges!$B$5:$B$2500,MATCH($G1489,Pledges!$K$5:$K$2500,0)))),"⚠ phone not in Pledges"))</f>
      </c>
      <c r="C1489" s="12"/>
      <c r="D1489" s="13"/>
      <c r="E1489" s="22"/>
      <c r="F1489" s="23"/>
      <c r="G1489">
        <f>IF($A1489="","","#"&amp;TRIM(SUBSTITUTE(SUBSTITUTE(SUBSTITUTE(SUBSTITUTE(SUBSTITUTE(SUBSTITUTE($A1489,"-",""),"(",""),")",""),".",""),"+","")," ","")))</f>
      </c>
    </row>
    <row r="1490" spans="1:7" x14ac:dyDescent="0.3">
      <c r="A1490" s="11"/>
      <c r="B1490" s="38">
        <f>IF($A1490="","",IFERROR(IF(INDEX(Pledges!$D$5:$D$2500,MATCH($G1490,Pledges!$K$5:$K$2500,0))="","⚠ no amount on Pledges",IF(INDEX(Pledges!$B$5:$B$2500,MATCH($G1490,Pledges!$K$5:$K$2500,0))="","",INDEX(Pledges!$B$5:$B$2500,MATCH($G1490,Pledges!$K$5:$K$2500,0)))),"⚠ phone not in Pledges"))</f>
      </c>
      <c r="C1490" s="12"/>
      <c r="D1490" s="13"/>
      <c r="E1490" s="22"/>
      <c r="F1490" s="23"/>
      <c r="G1490">
        <f>IF($A1490="","","#"&amp;TRIM(SUBSTITUTE(SUBSTITUTE(SUBSTITUTE(SUBSTITUTE(SUBSTITUTE(SUBSTITUTE($A1490,"-",""),"(",""),")",""),".",""),"+","")," ","")))</f>
      </c>
    </row>
    <row r="1491" spans="1:7" x14ac:dyDescent="0.3">
      <c r="A1491" s="11"/>
      <c r="B1491" s="38">
        <f>IF($A1491="","",IFERROR(IF(INDEX(Pledges!$D$5:$D$2500,MATCH($G1491,Pledges!$K$5:$K$2500,0))="","⚠ no amount on Pledges",IF(INDEX(Pledges!$B$5:$B$2500,MATCH($G1491,Pledges!$K$5:$K$2500,0))="","",INDEX(Pledges!$B$5:$B$2500,MATCH($G1491,Pledges!$K$5:$K$2500,0)))),"⚠ phone not in Pledges"))</f>
      </c>
      <c r="C1491" s="12"/>
      <c r="D1491" s="13"/>
      <c r="E1491" s="22"/>
      <c r="F1491" s="23"/>
      <c r="G1491">
        <f>IF($A1491="","","#"&amp;TRIM(SUBSTITUTE(SUBSTITUTE(SUBSTITUTE(SUBSTITUTE(SUBSTITUTE(SUBSTITUTE($A1491,"-",""),"(",""),")",""),".",""),"+","")," ","")))</f>
      </c>
    </row>
    <row r="1492" spans="1:7" x14ac:dyDescent="0.3">
      <c r="A1492" s="11"/>
      <c r="B1492" s="38">
        <f>IF($A1492="","",IFERROR(IF(INDEX(Pledges!$D$5:$D$2500,MATCH($G1492,Pledges!$K$5:$K$2500,0))="","⚠ no amount on Pledges",IF(INDEX(Pledges!$B$5:$B$2500,MATCH($G1492,Pledges!$K$5:$K$2500,0))="","",INDEX(Pledges!$B$5:$B$2500,MATCH($G1492,Pledges!$K$5:$K$2500,0)))),"⚠ phone not in Pledges"))</f>
      </c>
      <c r="C1492" s="12"/>
      <c r="D1492" s="13"/>
      <c r="E1492" s="22"/>
      <c r="F1492" s="23"/>
      <c r="G1492">
        <f>IF($A1492="","","#"&amp;TRIM(SUBSTITUTE(SUBSTITUTE(SUBSTITUTE(SUBSTITUTE(SUBSTITUTE(SUBSTITUTE($A1492,"-",""),"(",""),")",""),".",""),"+","")," ","")))</f>
      </c>
    </row>
    <row r="1493" spans="1:7" x14ac:dyDescent="0.3">
      <c r="A1493" s="11"/>
      <c r="B1493" s="38">
        <f>IF($A1493="","",IFERROR(IF(INDEX(Pledges!$D$5:$D$2500,MATCH($G1493,Pledges!$K$5:$K$2500,0))="","⚠ no amount on Pledges",IF(INDEX(Pledges!$B$5:$B$2500,MATCH($G1493,Pledges!$K$5:$K$2500,0))="","",INDEX(Pledges!$B$5:$B$2500,MATCH($G1493,Pledges!$K$5:$K$2500,0)))),"⚠ phone not in Pledges"))</f>
      </c>
      <c r="C1493" s="12"/>
      <c r="D1493" s="13"/>
      <c r="E1493" s="22"/>
      <c r="F1493" s="23"/>
      <c r="G1493">
        <f>IF($A1493="","","#"&amp;TRIM(SUBSTITUTE(SUBSTITUTE(SUBSTITUTE(SUBSTITUTE(SUBSTITUTE(SUBSTITUTE($A1493,"-",""),"(",""),")",""),".",""),"+","")," ","")))</f>
      </c>
    </row>
    <row r="1494" spans="1:7" x14ac:dyDescent="0.3">
      <c r="A1494" s="11"/>
      <c r="B1494" s="38">
        <f>IF($A1494="","",IFERROR(IF(INDEX(Pledges!$D$5:$D$2500,MATCH($G1494,Pledges!$K$5:$K$2500,0))="","⚠ no amount on Pledges",IF(INDEX(Pledges!$B$5:$B$2500,MATCH($G1494,Pledges!$K$5:$K$2500,0))="","",INDEX(Pledges!$B$5:$B$2500,MATCH($G1494,Pledges!$K$5:$K$2500,0)))),"⚠ phone not in Pledges"))</f>
      </c>
      <c r="C1494" s="12"/>
      <c r="D1494" s="13"/>
      <c r="E1494" s="22"/>
      <c r="F1494" s="23"/>
      <c r="G1494">
        <f>IF($A1494="","","#"&amp;TRIM(SUBSTITUTE(SUBSTITUTE(SUBSTITUTE(SUBSTITUTE(SUBSTITUTE(SUBSTITUTE($A1494,"-",""),"(",""),")",""),".",""),"+","")," ","")))</f>
      </c>
    </row>
    <row r="1495" spans="1:7" x14ac:dyDescent="0.3">
      <c r="A1495" s="11"/>
      <c r="B1495" s="38">
        <f>IF($A1495="","",IFERROR(IF(INDEX(Pledges!$D$5:$D$2500,MATCH($G1495,Pledges!$K$5:$K$2500,0))="","⚠ no amount on Pledges",IF(INDEX(Pledges!$B$5:$B$2500,MATCH($G1495,Pledges!$K$5:$K$2500,0))="","",INDEX(Pledges!$B$5:$B$2500,MATCH($G1495,Pledges!$K$5:$K$2500,0)))),"⚠ phone not in Pledges"))</f>
      </c>
      <c r="C1495" s="12"/>
      <c r="D1495" s="13"/>
      <c r="E1495" s="22"/>
      <c r="F1495" s="23"/>
      <c r="G1495">
        <f>IF($A1495="","","#"&amp;TRIM(SUBSTITUTE(SUBSTITUTE(SUBSTITUTE(SUBSTITUTE(SUBSTITUTE(SUBSTITUTE($A1495,"-",""),"(",""),")",""),".",""),"+","")," ","")))</f>
      </c>
    </row>
    <row r="1496" spans="1:7" x14ac:dyDescent="0.3">
      <c r="A1496" s="11"/>
      <c r="B1496" s="38">
        <f>IF($A1496="","",IFERROR(IF(INDEX(Pledges!$D$5:$D$2500,MATCH($G1496,Pledges!$K$5:$K$2500,0))="","⚠ no amount on Pledges",IF(INDEX(Pledges!$B$5:$B$2500,MATCH($G1496,Pledges!$K$5:$K$2500,0))="","",INDEX(Pledges!$B$5:$B$2500,MATCH($G1496,Pledges!$K$5:$K$2500,0)))),"⚠ phone not in Pledges"))</f>
      </c>
      <c r="C1496" s="12"/>
      <c r="D1496" s="13"/>
      <c r="E1496" s="22"/>
      <c r="F1496" s="23"/>
      <c r="G1496">
        <f>IF($A1496="","","#"&amp;TRIM(SUBSTITUTE(SUBSTITUTE(SUBSTITUTE(SUBSTITUTE(SUBSTITUTE(SUBSTITUTE($A1496,"-",""),"(",""),")",""),".",""),"+","")," ","")))</f>
      </c>
    </row>
    <row r="1497" spans="1:7" x14ac:dyDescent="0.3">
      <c r="A1497" s="11"/>
      <c r="B1497" s="38">
        <f>IF($A1497="","",IFERROR(IF(INDEX(Pledges!$D$5:$D$2500,MATCH($G1497,Pledges!$K$5:$K$2500,0))="","⚠ no amount on Pledges",IF(INDEX(Pledges!$B$5:$B$2500,MATCH($G1497,Pledges!$K$5:$K$2500,0))="","",INDEX(Pledges!$B$5:$B$2500,MATCH($G1497,Pledges!$K$5:$K$2500,0)))),"⚠ phone not in Pledges"))</f>
      </c>
      <c r="C1497" s="12"/>
      <c r="D1497" s="13"/>
      <c r="E1497" s="22"/>
      <c r="F1497" s="23"/>
      <c r="G1497">
        <f>IF($A1497="","","#"&amp;TRIM(SUBSTITUTE(SUBSTITUTE(SUBSTITUTE(SUBSTITUTE(SUBSTITUTE(SUBSTITUTE($A1497,"-",""),"(",""),")",""),".",""),"+","")," ","")))</f>
      </c>
    </row>
    <row r="1498" spans="1:7" x14ac:dyDescent="0.3">
      <c r="A1498" s="11"/>
      <c r="B1498" s="38">
        <f>IF($A1498="","",IFERROR(IF(INDEX(Pledges!$D$5:$D$2500,MATCH($G1498,Pledges!$K$5:$K$2500,0))="","⚠ no amount on Pledges",IF(INDEX(Pledges!$B$5:$B$2500,MATCH($G1498,Pledges!$K$5:$K$2500,0))="","",INDEX(Pledges!$B$5:$B$2500,MATCH($G1498,Pledges!$K$5:$K$2500,0)))),"⚠ phone not in Pledges"))</f>
      </c>
      <c r="C1498" s="12"/>
      <c r="D1498" s="13"/>
      <c r="E1498" s="22"/>
      <c r="F1498" s="23"/>
      <c r="G1498">
        <f>IF($A1498="","","#"&amp;TRIM(SUBSTITUTE(SUBSTITUTE(SUBSTITUTE(SUBSTITUTE(SUBSTITUTE(SUBSTITUTE($A1498,"-",""),"(",""),")",""),".",""),"+","")," ","")))</f>
      </c>
    </row>
    <row r="1499" spans="1:7" x14ac:dyDescent="0.3">
      <c r="A1499" s="11"/>
      <c r="B1499" s="38">
        <f>IF($A1499="","",IFERROR(IF(INDEX(Pledges!$D$5:$D$2500,MATCH($G1499,Pledges!$K$5:$K$2500,0))="","⚠ no amount on Pledges",IF(INDEX(Pledges!$B$5:$B$2500,MATCH($G1499,Pledges!$K$5:$K$2500,0))="","",INDEX(Pledges!$B$5:$B$2500,MATCH($G1499,Pledges!$K$5:$K$2500,0)))),"⚠ phone not in Pledges"))</f>
      </c>
      <c r="C1499" s="12"/>
      <c r="D1499" s="13"/>
      <c r="E1499" s="22"/>
      <c r="F1499" s="23"/>
      <c r="G1499">
        <f>IF($A1499="","","#"&amp;TRIM(SUBSTITUTE(SUBSTITUTE(SUBSTITUTE(SUBSTITUTE(SUBSTITUTE(SUBSTITUTE($A1499,"-",""),"(",""),")",""),".",""),"+","")," ","")))</f>
      </c>
    </row>
    <row r="1500" spans="1:7" x14ac:dyDescent="0.3">
      <c r="A1500" s="11"/>
      <c r="B1500" s="38">
        <f>IF($A1500="","",IFERROR(IF(INDEX(Pledges!$D$5:$D$2500,MATCH($G1500,Pledges!$K$5:$K$2500,0))="","⚠ no amount on Pledges",IF(INDEX(Pledges!$B$5:$B$2500,MATCH($G1500,Pledges!$K$5:$K$2500,0))="","",INDEX(Pledges!$B$5:$B$2500,MATCH($G1500,Pledges!$K$5:$K$2500,0)))),"⚠ phone not in Pledges"))</f>
      </c>
      <c r="C1500" s="12"/>
      <c r="D1500" s="13"/>
      <c r="E1500" s="22"/>
      <c r="F1500" s="23"/>
      <c r="G1500">
        <f>IF($A1500="","","#"&amp;TRIM(SUBSTITUTE(SUBSTITUTE(SUBSTITUTE(SUBSTITUTE(SUBSTITUTE(SUBSTITUTE($A1500,"-",""),"(",""),")",""),".",""),"+","")," ","")))</f>
      </c>
    </row>
    <row r="1501" spans="1:7" x14ac:dyDescent="0.3">
      <c r="A1501" s="11"/>
      <c r="B1501" s="38">
        <f>IF($A1501="","",IFERROR(IF(INDEX(Pledges!$D$5:$D$2500,MATCH($G1501,Pledges!$K$5:$K$2500,0))="","⚠ no amount on Pledges",IF(INDEX(Pledges!$B$5:$B$2500,MATCH($G1501,Pledges!$K$5:$K$2500,0))="","",INDEX(Pledges!$B$5:$B$2500,MATCH($G1501,Pledges!$K$5:$K$2500,0)))),"⚠ phone not in Pledges"))</f>
      </c>
      <c r="C1501" s="12"/>
      <c r="D1501" s="13"/>
      <c r="E1501" s="22"/>
      <c r="F1501" s="23"/>
      <c r="G1501">
        <f>IF($A1501="","","#"&amp;TRIM(SUBSTITUTE(SUBSTITUTE(SUBSTITUTE(SUBSTITUTE(SUBSTITUTE(SUBSTITUTE($A1501,"-",""),"(",""),")",""),".",""),"+","")," ","")))</f>
      </c>
    </row>
    <row r="1502" spans="1:7" x14ac:dyDescent="0.3">
      <c r="A1502" s="11"/>
      <c r="B1502" s="38">
        <f>IF($A1502="","",IFERROR(IF(INDEX(Pledges!$D$5:$D$2500,MATCH($G1502,Pledges!$K$5:$K$2500,0))="","⚠ no amount on Pledges",IF(INDEX(Pledges!$B$5:$B$2500,MATCH($G1502,Pledges!$K$5:$K$2500,0))="","",INDEX(Pledges!$B$5:$B$2500,MATCH($G1502,Pledges!$K$5:$K$2500,0)))),"⚠ phone not in Pledges"))</f>
      </c>
      <c r="C1502" s="12"/>
      <c r="D1502" s="13"/>
      <c r="E1502" s="22"/>
      <c r="F1502" s="23"/>
      <c r="G1502">
        <f>IF($A1502="","","#"&amp;TRIM(SUBSTITUTE(SUBSTITUTE(SUBSTITUTE(SUBSTITUTE(SUBSTITUTE(SUBSTITUTE($A1502,"-",""),"(",""),")",""),".",""),"+","")," ","")))</f>
      </c>
    </row>
    <row r="1503" spans="1:7" x14ac:dyDescent="0.3">
      <c r="A1503" s="11"/>
      <c r="B1503" s="38">
        <f>IF($A1503="","",IFERROR(IF(INDEX(Pledges!$D$5:$D$2500,MATCH($G1503,Pledges!$K$5:$K$2500,0))="","⚠ no amount on Pledges",IF(INDEX(Pledges!$B$5:$B$2500,MATCH($G1503,Pledges!$K$5:$K$2500,0))="","",INDEX(Pledges!$B$5:$B$2500,MATCH($G1503,Pledges!$K$5:$K$2500,0)))),"⚠ phone not in Pledges"))</f>
      </c>
      <c r="C1503" s="12"/>
      <c r="D1503" s="13"/>
      <c r="E1503" s="22"/>
      <c r="F1503" s="23"/>
      <c r="G1503">
        <f>IF($A1503="","","#"&amp;TRIM(SUBSTITUTE(SUBSTITUTE(SUBSTITUTE(SUBSTITUTE(SUBSTITUTE(SUBSTITUTE($A1503,"-",""),"(",""),")",""),".",""),"+","")," ","")))</f>
      </c>
    </row>
    <row r="1504" spans="1:7" x14ac:dyDescent="0.3">
      <c r="A1504" s="11"/>
      <c r="B1504" s="38">
        <f>IF($A1504="","",IFERROR(IF(INDEX(Pledges!$D$5:$D$2500,MATCH($G1504,Pledges!$K$5:$K$2500,0))="","⚠ no amount on Pledges",IF(INDEX(Pledges!$B$5:$B$2500,MATCH($G1504,Pledges!$K$5:$K$2500,0))="","",INDEX(Pledges!$B$5:$B$2500,MATCH($G1504,Pledges!$K$5:$K$2500,0)))),"⚠ phone not in Pledges"))</f>
      </c>
      <c r="C1504" s="12"/>
      <c r="D1504" s="13"/>
      <c r="E1504" s="22"/>
      <c r="F1504" s="23"/>
      <c r="G1504">
        <f>IF($A1504="","","#"&amp;TRIM(SUBSTITUTE(SUBSTITUTE(SUBSTITUTE(SUBSTITUTE(SUBSTITUTE(SUBSTITUTE($A1504,"-",""),"(",""),")",""),".",""),"+","")," ","")))</f>
      </c>
    </row>
    <row r="1505" spans="1:7" x14ac:dyDescent="0.3">
      <c r="A1505" s="11"/>
      <c r="B1505" s="38">
        <f>IF($A1505="","",IFERROR(IF(INDEX(Pledges!$D$5:$D$2500,MATCH($G1505,Pledges!$K$5:$K$2500,0))="","⚠ no amount on Pledges",IF(INDEX(Pledges!$B$5:$B$2500,MATCH($G1505,Pledges!$K$5:$K$2500,0))="","",INDEX(Pledges!$B$5:$B$2500,MATCH($G1505,Pledges!$K$5:$K$2500,0)))),"⚠ phone not in Pledges"))</f>
      </c>
      <c r="C1505" s="12"/>
      <c r="D1505" s="13"/>
      <c r="E1505" s="22"/>
      <c r="F1505" s="23"/>
      <c r="G1505">
        <f>IF($A1505="","","#"&amp;TRIM(SUBSTITUTE(SUBSTITUTE(SUBSTITUTE(SUBSTITUTE(SUBSTITUTE(SUBSTITUTE($A1505,"-",""),"(",""),")",""),".",""),"+","")," ","")))</f>
      </c>
    </row>
    <row r="1506" spans="1:7" x14ac:dyDescent="0.3">
      <c r="A1506" s="11"/>
      <c r="B1506" s="38">
        <f>IF($A1506="","",IFERROR(IF(INDEX(Pledges!$D$5:$D$2500,MATCH($G1506,Pledges!$K$5:$K$2500,0))="","⚠ no amount on Pledges",IF(INDEX(Pledges!$B$5:$B$2500,MATCH($G1506,Pledges!$K$5:$K$2500,0))="","",INDEX(Pledges!$B$5:$B$2500,MATCH($G1506,Pledges!$K$5:$K$2500,0)))),"⚠ phone not in Pledges"))</f>
      </c>
      <c r="C1506" s="12"/>
      <c r="D1506" s="13"/>
      <c r="E1506" s="22"/>
      <c r="F1506" s="23"/>
      <c r="G1506">
        <f>IF($A1506="","","#"&amp;TRIM(SUBSTITUTE(SUBSTITUTE(SUBSTITUTE(SUBSTITUTE(SUBSTITUTE(SUBSTITUTE($A1506,"-",""),"(",""),")",""),".",""),"+","")," ","")))</f>
      </c>
    </row>
    <row r="1507" spans="1:7" x14ac:dyDescent="0.3">
      <c r="A1507" s="11"/>
      <c r="B1507" s="38">
        <f>IF($A1507="","",IFERROR(IF(INDEX(Pledges!$D$5:$D$2500,MATCH($G1507,Pledges!$K$5:$K$2500,0))="","⚠ no amount on Pledges",IF(INDEX(Pledges!$B$5:$B$2500,MATCH($G1507,Pledges!$K$5:$K$2500,0))="","",INDEX(Pledges!$B$5:$B$2500,MATCH($G1507,Pledges!$K$5:$K$2500,0)))),"⚠ phone not in Pledges"))</f>
      </c>
      <c r="C1507" s="12"/>
      <c r="D1507" s="13"/>
      <c r="E1507" s="22"/>
      <c r="F1507" s="23"/>
      <c r="G1507">
        <f>IF($A1507="","","#"&amp;TRIM(SUBSTITUTE(SUBSTITUTE(SUBSTITUTE(SUBSTITUTE(SUBSTITUTE(SUBSTITUTE($A1507,"-",""),"(",""),")",""),".",""),"+","")," ","")))</f>
      </c>
    </row>
    <row r="1508" spans="1:7" x14ac:dyDescent="0.3">
      <c r="A1508" s="11"/>
      <c r="B1508" s="38">
        <f>IF($A1508="","",IFERROR(IF(INDEX(Pledges!$D$5:$D$2500,MATCH($G1508,Pledges!$K$5:$K$2500,0))="","⚠ no amount on Pledges",IF(INDEX(Pledges!$B$5:$B$2500,MATCH($G1508,Pledges!$K$5:$K$2500,0))="","",INDEX(Pledges!$B$5:$B$2500,MATCH($G1508,Pledges!$K$5:$K$2500,0)))),"⚠ phone not in Pledges"))</f>
      </c>
      <c r="C1508" s="12"/>
      <c r="D1508" s="13"/>
      <c r="E1508" s="22"/>
      <c r="F1508" s="23"/>
      <c r="G1508">
        <f>IF($A1508="","","#"&amp;TRIM(SUBSTITUTE(SUBSTITUTE(SUBSTITUTE(SUBSTITUTE(SUBSTITUTE(SUBSTITUTE($A1508,"-",""),"(",""),")",""),".",""),"+","")," ","")))</f>
      </c>
    </row>
    <row r="1509" spans="1:7" x14ac:dyDescent="0.3">
      <c r="A1509" s="11"/>
      <c r="B1509" s="38">
        <f>IF($A1509="","",IFERROR(IF(INDEX(Pledges!$D$5:$D$2500,MATCH($G1509,Pledges!$K$5:$K$2500,0))="","⚠ no amount on Pledges",IF(INDEX(Pledges!$B$5:$B$2500,MATCH($G1509,Pledges!$K$5:$K$2500,0))="","",INDEX(Pledges!$B$5:$B$2500,MATCH($G1509,Pledges!$K$5:$K$2500,0)))),"⚠ phone not in Pledges"))</f>
      </c>
      <c r="C1509" s="12"/>
      <c r="D1509" s="13"/>
      <c r="E1509" s="22"/>
      <c r="F1509" s="23"/>
      <c r="G1509">
        <f>IF($A1509="","","#"&amp;TRIM(SUBSTITUTE(SUBSTITUTE(SUBSTITUTE(SUBSTITUTE(SUBSTITUTE(SUBSTITUTE($A1509,"-",""),"(",""),")",""),".",""),"+","")," ","")))</f>
      </c>
    </row>
    <row r="1510" spans="1:7" x14ac:dyDescent="0.3">
      <c r="A1510" s="11"/>
      <c r="B1510" s="38">
        <f>IF($A1510="","",IFERROR(IF(INDEX(Pledges!$D$5:$D$2500,MATCH($G1510,Pledges!$K$5:$K$2500,0))="","⚠ no amount on Pledges",IF(INDEX(Pledges!$B$5:$B$2500,MATCH($G1510,Pledges!$K$5:$K$2500,0))="","",INDEX(Pledges!$B$5:$B$2500,MATCH($G1510,Pledges!$K$5:$K$2500,0)))),"⚠ phone not in Pledges"))</f>
      </c>
      <c r="C1510" s="12"/>
      <c r="D1510" s="13"/>
      <c r="E1510" s="22"/>
      <c r="F1510" s="23"/>
      <c r="G1510">
        <f>IF($A1510="","","#"&amp;TRIM(SUBSTITUTE(SUBSTITUTE(SUBSTITUTE(SUBSTITUTE(SUBSTITUTE(SUBSTITUTE($A1510,"-",""),"(",""),")",""),".",""),"+","")," ","")))</f>
      </c>
    </row>
    <row r="1511" spans="1:7" x14ac:dyDescent="0.3">
      <c r="A1511" s="11"/>
      <c r="B1511" s="38">
        <f>IF($A1511="","",IFERROR(IF(INDEX(Pledges!$D$5:$D$2500,MATCH($G1511,Pledges!$K$5:$K$2500,0))="","⚠ no amount on Pledges",IF(INDEX(Pledges!$B$5:$B$2500,MATCH($G1511,Pledges!$K$5:$K$2500,0))="","",INDEX(Pledges!$B$5:$B$2500,MATCH($G1511,Pledges!$K$5:$K$2500,0)))),"⚠ phone not in Pledges"))</f>
      </c>
      <c r="C1511" s="12"/>
      <c r="D1511" s="13"/>
      <c r="E1511" s="22"/>
      <c r="F1511" s="23"/>
      <c r="G1511">
        <f>IF($A1511="","","#"&amp;TRIM(SUBSTITUTE(SUBSTITUTE(SUBSTITUTE(SUBSTITUTE(SUBSTITUTE(SUBSTITUTE($A1511,"-",""),"(",""),")",""),".",""),"+","")," ","")))</f>
      </c>
    </row>
    <row r="1512" spans="1:7" x14ac:dyDescent="0.3">
      <c r="A1512" s="11"/>
      <c r="B1512" s="38">
        <f>IF($A1512="","",IFERROR(IF(INDEX(Pledges!$D$5:$D$2500,MATCH($G1512,Pledges!$K$5:$K$2500,0))="","⚠ no amount on Pledges",IF(INDEX(Pledges!$B$5:$B$2500,MATCH($G1512,Pledges!$K$5:$K$2500,0))="","",INDEX(Pledges!$B$5:$B$2500,MATCH($G1512,Pledges!$K$5:$K$2500,0)))),"⚠ phone not in Pledges"))</f>
      </c>
      <c r="C1512" s="12"/>
      <c r="D1512" s="13"/>
      <c r="E1512" s="22"/>
      <c r="F1512" s="23"/>
      <c r="G1512">
        <f>IF($A1512="","","#"&amp;TRIM(SUBSTITUTE(SUBSTITUTE(SUBSTITUTE(SUBSTITUTE(SUBSTITUTE(SUBSTITUTE($A1512,"-",""),"(",""),")",""),".",""),"+","")," ","")))</f>
      </c>
    </row>
    <row r="1513" spans="1:7" x14ac:dyDescent="0.3">
      <c r="A1513" s="11"/>
      <c r="B1513" s="38">
        <f>IF($A1513="","",IFERROR(IF(INDEX(Pledges!$D$5:$D$2500,MATCH($G1513,Pledges!$K$5:$K$2500,0))="","⚠ no amount on Pledges",IF(INDEX(Pledges!$B$5:$B$2500,MATCH($G1513,Pledges!$K$5:$K$2500,0))="","",INDEX(Pledges!$B$5:$B$2500,MATCH($G1513,Pledges!$K$5:$K$2500,0)))),"⚠ phone not in Pledges"))</f>
      </c>
      <c r="C1513" s="12"/>
      <c r="D1513" s="13"/>
      <c r="E1513" s="22"/>
      <c r="F1513" s="23"/>
      <c r="G1513">
        <f>IF($A1513="","","#"&amp;TRIM(SUBSTITUTE(SUBSTITUTE(SUBSTITUTE(SUBSTITUTE(SUBSTITUTE(SUBSTITUTE($A1513,"-",""),"(",""),")",""),".",""),"+","")," ","")))</f>
      </c>
    </row>
    <row r="1514" spans="1:7" x14ac:dyDescent="0.3">
      <c r="A1514" s="11"/>
      <c r="B1514" s="38">
        <f>IF($A1514="","",IFERROR(IF(INDEX(Pledges!$D$5:$D$2500,MATCH($G1514,Pledges!$K$5:$K$2500,0))="","⚠ no amount on Pledges",IF(INDEX(Pledges!$B$5:$B$2500,MATCH($G1514,Pledges!$K$5:$K$2500,0))="","",INDEX(Pledges!$B$5:$B$2500,MATCH($G1514,Pledges!$K$5:$K$2500,0)))),"⚠ phone not in Pledges"))</f>
      </c>
      <c r="C1514" s="12"/>
      <c r="D1514" s="13"/>
      <c r="E1514" s="22"/>
      <c r="F1514" s="23"/>
      <c r="G1514">
        <f>IF($A1514="","","#"&amp;TRIM(SUBSTITUTE(SUBSTITUTE(SUBSTITUTE(SUBSTITUTE(SUBSTITUTE(SUBSTITUTE($A1514,"-",""),"(",""),")",""),".",""),"+","")," ","")))</f>
      </c>
    </row>
    <row r="1515" spans="1:7" x14ac:dyDescent="0.3">
      <c r="A1515" s="11"/>
      <c r="B1515" s="38">
        <f>IF($A1515="","",IFERROR(IF(INDEX(Pledges!$D$5:$D$2500,MATCH($G1515,Pledges!$K$5:$K$2500,0))="","⚠ no amount on Pledges",IF(INDEX(Pledges!$B$5:$B$2500,MATCH($G1515,Pledges!$K$5:$K$2500,0))="","",INDEX(Pledges!$B$5:$B$2500,MATCH($G1515,Pledges!$K$5:$K$2500,0)))),"⚠ phone not in Pledges"))</f>
      </c>
      <c r="C1515" s="12"/>
      <c r="D1515" s="13"/>
      <c r="E1515" s="22"/>
      <c r="F1515" s="23"/>
      <c r="G1515">
        <f>IF($A1515="","","#"&amp;TRIM(SUBSTITUTE(SUBSTITUTE(SUBSTITUTE(SUBSTITUTE(SUBSTITUTE(SUBSTITUTE($A1515,"-",""),"(",""),")",""),".",""),"+","")," ","")))</f>
      </c>
    </row>
    <row r="1516" spans="1:7" x14ac:dyDescent="0.3">
      <c r="A1516" s="11"/>
      <c r="B1516" s="38">
        <f>IF($A1516="","",IFERROR(IF(INDEX(Pledges!$D$5:$D$2500,MATCH($G1516,Pledges!$K$5:$K$2500,0))="","⚠ no amount on Pledges",IF(INDEX(Pledges!$B$5:$B$2500,MATCH($G1516,Pledges!$K$5:$K$2500,0))="","",INDEX(Pledges!$B$5:$B$2500,MATCH($G1516,Pledges!$K$5:$K$2500,0)))),"⚠ phone not in Pledges"))</f>
      </c>
      <c r="C1516" s="12"/>
      <c r="D1516" s="13"/>
      <c r="E1516" s="22"/>
      <c r="F1516" s="23"/>
      <c r="G1516">
        <f>IF($A1516="","","#"&amp;TRIM(SUBSTITUTE(SUBSTITUTE(SUBSTITUTE(SUBSTITUTE(SUBSTITUTE(SUBSTITUTE($A1516,"-",""),"(",""),")",""),".",""),"+","")," ","")))</f>
      </c>
    </row>
    <row r="1517" spans="1:7" x14ac:dyDescent="0.3">
      <c r="A1517" s="11"/>
      <c r="B1517" s="38">
        <f>IF($A1517="","",IFERROR(IF(INDEX(Pledges!$D$5:$D$2500,MATCH($G1517,Pledges!$K$5:$K$2500,0))="","⚠ no amount on Pledges",IF(INDEX(Pledges!$B$5:$B$2500,MATCH($G1517,Pledges!$K$5:$K$2500,0))="","",INDEX(Pledges!$B$5:$B$2500,MATCH($G1517,Pledges!$K$5:$K$2500,0)))),"⚠ phone not in Pledges"))</f>
      </c>
      <c r="C1517" s="12"/>
      <c r="D1517" s="13"/>
      <c r="E1517" s="22"/>
      <c r="F1517" s="23"/>
      <c r="G1517">
        <f>IF($A1517="","","#"&amp;TRIM(SUBSTITUTE(SUBSTITUTE(SUBSTITUTE(SUBSTITUTE(SUBSTITUTE(SUBSTITUTE($A1517,"-",""),"(",""),")",""),".",""),"+","")," ","")))</f>
      </c>
    </row>
    <row r="1518" spans="1:7" x14ac:dyDescent="0.3">
      <c r="A1518" s="11"/>
      <c r="B1518" s="38">
        <f>IF($A1518="","",IFERROR(IF(INDEX(Pledges!$D$5:$D$2500,MATCH($G1518,Pledges!$K$5:$K$2500,0))="","⚠ no amount on Pledges",IF(INDEX(Pledges!$B$5:$B$2500,MATCH($G1518,Pledges!$K$5:$K$2500,0))="","",INDEX(Pledges!$B$5:$B$2500,MATCH($G1518,Pledges!$K$5:$K$2500,0)))),"⚠ phone not in Pledges"))</f>
      </c>
      <c r="C1518" s="12"/>
      <c r="D1518" s="13"/>
      <c r="E1518" s="22"/>
      <c r="F1518" s="23"/>
      <c r="G1518">
        <f>IF($A1518="","","#"&amp;TRIM(SUBSTITUTE(SUBSTITUTE(SUBSTITUTE(SUBSTITUTE(SUBSTITUTE(SUBSTITUTE($A1518,"-",""),"(",""),")",""),".",""),"+","")," ","")))</f>
      </c>
    </row>
    <row r="1519" spans="1:7" x14ac:dyDescent="0.3">
      <c r="A1519" s="11"/>
      <c r="B1519" s="38">
        <f>IF($A1519="","",IFERROR(IF(INDEX(Pledges!$D$5:$D$2500,MATCH($G1519,Pledges!$K$5:$K$2500,0))="","⚠ no amount on Pledges",IF(INDEX(Pledges!$B$5:$B$2500,MATCH($G1519,Pledges!$K$5:$K$2500,0))="","",INDEX(Pledges!$B$5:$B$2500,MATCH($G1519,Pledges!$K$5:$K$2500,0)))),"⚠ phone not in Pledges"))</f>
      </c>
      <c r="C1519" s="12"/>
      <c r="D1519" s="13"/>
      <c r="E1519" s="22"/>
      <c r="F1519" s="23"/>
      <c r="G1519">
        <f>IF($A1519="","","#"&amp;TRIM(SUBSTITUTE(SUBSTITUTE(SUBSTITUTE(SUBSTITUTE(SUBSTITUTE(SUBSTITUTE($A1519,"-",""),"(",""),")",""),".",""),"+","")," ","")))</f>
      </c>
    </row>
    <row r="1520" spans="1:7" x14ac:dyDescent="0.3">
      <c r="A1520" s="11"/>
      <c r="B1520" s="38">
        <f>IF($A1520="","",IFERROR(IF(INDEX(Pledges!$D$5:$D$2500,MATCH($G1520,Pledges!$K$5:$K$2500,0))="","⚠ no amount on Pledges",IF(INDEX(Pledges!$B$5:$B$2500,MATCH($G1520,Pledges!$K$5:$K$2500,0))="","",INDEX(Pledges!$B$5:$B$2500,MATCH($G1520,Pledges!$K$5:$K$2500,0)))),"⚠ phone not in Pledges"))</f>
      </c>
      <c r="C1520" s="12"/>
      <c r="D1520" s="13"/>
      <c r="E1520" s="22"/>
      <c r="F1520" s="23"/>
      <c r="G1520">
        <f>IF($A1520="","","#"&amp;TRIM(SUBSTITUTE(SUBSTITUTE(SUBSTITUTE(SUBSTITUTE(SUBSTITUTE(SUBSTITUTE($A1520,"-",""),"(",""),")",""),".",""),"+","")," ","")))</f>
      </c>
    </row>
    <row r="1521" spans="1:7" x14ac:dyDescent="0.3">
      <c r="A1521" s="11"/>
      <c r="B1521" s="38">
        <f>IF($A1521="","",IFERROR(IF(INDEX(Pledges!$D$5:$D$2500,MATCH($G1521,Pledges!$K$5:$K$2500,0))="","⚠ no amount on Pledges",IF(INDEX(Pledges!$B$5:$B$2500,MATCH($G1521,Pledges!$K$5:$K$2500,0))="","",INDEX(Pledges!$B$5:$B$2500,MATCH($G1521,Pledges!$K$5:$K$2500,0)))),"⚠ phone not in Pledges"))</f>
      </c>
      <c r="C1521" s="12"/>
      <c r="D1521" s="13"/>
      <c r="E1521" s="22"/>
      <c r="F1521" s="23"/>
      <c r="G1521">
        <f>IF($A1521="","","#"&amp;TRIM(SUBSTITUTE(SUBSTITUTE(SUBSTITUTE(SUBSTITUTE(SUBSTITUTE(SUBSTITUTE($A1521,"-",""),"(",""),")",""),".",""),"+","")," ","")))</f>
      </c>
    </row>
    <row r="1522" spans="1:7" x14ac:dyDescent="0.3">
      <c r="A1522" s="11"/>
      <c r="B1522" s="38">
        <f>IF($A1522="","",IFERROR(IF(INDEX(Pledges!$D$5:$D$2500,MATCH($G1522,Pledges!$K$5:$K$2500,0))="","⚠ no amount on Pledges",IF(INDEX(Pledges!$B$5:$B$2500,MATCH($G1522,Pledges!$K$5:$K$2500,0))="","",INDEX(Pledges!$B$5:$B$2500,MATCH($G1522,Pledges!$K$5:$K$2500,0)))),"⚠ phone not in Pledges"))</f>
      </c>
      <c r="C1522" s="12"/>
      <c r="D1522" s="13"/>
      <c r="E1522" s="22"/>
      <c r="F1522" s="23"/>
      <c r="G1522">
        <f>IF($A1522="","","#"&amp;TRIM(SUBSTITUTE(SUBSTITUTE(SUBSTITUTE(SUBSTITUTE(SUBSTITUTE(SUBSTITUTE($A1522,"-",""),"(",""),")",""),".",""),"+","")," ","")))</f>
      </c>
    </row>
    <row r="1523" spans="1:7" x14ac:dyDescent="0.3">
      <c r="A1523" s="11"/>
      <c r="B1523" s="38">
        <f>IF($A1523="","",IFERROR(IF(INDEX(Pledges!$D$5:$D$2500,MATCH($G1523,Pledges!$K$5:$K$2500,0))="","⚠ no amount on Pledges",IF(INDEX(Pledges!$B$5:$B$2500,MATCH($G1523,Pledges!$K$5:$K$2500,0))="","",INDEX(Pledges!$B$5:$B$2500,MATCH($G1523,Pledges!$K$5:$K$2500,0)))),"⚠ phone not in Pledges"))</f>
      </c>
      <c r="C1523" s="12"/>
      <c r="D1523" s="13"/>
      <c r="E1523" s="22"/>
      <c r="F1523" s="23"/>
      <c r="G1523">
        <f>IF($A1523="","","#"&amp;TRIM(SUBSTITUTE(SUBSTITUTE(SUBSTITUTE(SUBSTITUTE(SUBSTITUTE(SUBSTITUTE($A1523,"-",""),"(",""),")",""),".",""),"+","")," ","")))</f>
      </c>
    </row>
    <row r="1524" spans="1:7" x14ac:dyDescent="0.3">
      <c r="A1524" s="11"/>
      <c r="B1524" s="38">
        <f>IF($A1524="","",IFERROR(IF(INDEX(Pledges!$D$5:$D$2500,MATCH($G1524,Pledges!$K$5:$K$2500,0))="","⚠ no amount on Pledges",IF(INDEX(Pledges!$B$5:$B$2500,MATCH($G1524,Pledges!$K$5:$K$2500,0))="","",INDEX(Pledges!$B$5:$B$2500,MATCH($G1524,Pledges!$K$5:$K$2500,0)))),"⚠ phone not in Pledges"))</f>
      </c>
      <c r="C1524" s="12"/>
      <c r="D1524" s="13"/>
      <c r="E1524" s="22"/>
      <c r="F1524" s="23"/>
      <c r="G1524">
        <f>IF($A1524="","","#"&amp;TRIM(SUBSTITUTE(SUBSTITUTE(SUBSTITUTE(SUBSTITUTE(SUBSTITUTE(SUBSTITUTE($A1524,"-",""),"(",""),")",""),".",""),"+","")," ","")))</f>
      </c>
    </row>
    <row r="1525" spans="1:7" x14ac:dyDescent="0.3">
      <c r="A1525" s="11"/>
      <c r="B1525" s="38">
        <f>IF($A1525="","",IFERROR(IF(INDEX(Pledges!$D$5:$D$2500,MATCH($G1525,Pledges!$K$5:$K$2500,0))="","⚠ no amount on Pledges",IF(INDEX(Pledges!$B$5:$B$2500,MATCH($G1525,Pledges!$K$5:$K$2500,0))="","",INDEX(Pledges!$B$5:$B$2500,MATCH($G1525,Pledges!$K$5:$K$2500,0)))),"⚠ phone not in Pledges"))</f>
      </c>
      <c r="C1525" s="12"/>
      <c r="D1525" s="13"/>
      <c r="E1525" s="22"/>
      <c r="F1525" s="23"/>
      <c r="G1525">
        <f>IF($A1525="","","#"&amp;TRIM(SUBSTITUTE(SUBSTITUTE(SUBSTITUTE(SUBSTITUTE(SUBSTITUTE(SUBSTITUTE($A1525,"-",""),"(",""),")",""),".",""),"+","")," ","")))</f>
      </c>
    </row>
    <row r="1526" spans="1:7" x14ac:dyDescent="0.3">
      <c r="A1526" s="11"/>
      <c r="B1526" s="38">
        <f>IF($A1526="","",IFERROR(IF(INDEX(Pledges!$D$5:$D$2500,MATCH($G1526,Pledges!$K$5:$K$2500,0))="","⚠ no amount on Pledges",IF(INDEX(Pledges!$B$5:$B$2500,MATCH($G1526,Pledges!$K$5:$K$2500,0))="","",INDEX(Pledges!$B$5:$B$2500,MATCH($G1526,Pledges!$K$5:$K$2500,0)))),"⚠ phone not in Pledges"))</f>
      </c>
      <c r="C1526" s="12"/>
      <c r="D1526" s="13"/>
      <c r="E1526" s="22"/>
      <c r="F1526" s="23"/>
      <c r="G1526">
        <f>IF($A1526="","","#"&amp;TRIM(SUBSTITUTE(SUBSTITUTE(SUBSTITUTE(SUBSTITUTE(SUBSTITUTE(SUBSTITUTE($A1526,"-",""),"(",""),")",""),".",""),"+","")," ","")))</f>
      </c>
    </row>
    <row r="1527" spans="1:7" x14ac:dyDescent="0.3">
      <c r="A1527" s="11"/>
      <c r="B1527" s="38">
        <f>IF($A1527="","",IFERROR(IF(INDEX(Pledges!$D$5:$D$2500,MATCH($G1527,Pledges!$K$5:$K$2500,0))="","⚠ no amount on Pledges",IF(INDEX(Pledges!$B$5:$B$2500,MATCH($G1527,Pledges!$K$5:$K$2500,0))="","",INDEX(Pledges!$B$5:$B$2500,MATCH($G1527,Pledges!$K$5:$K$2500,0)))),"⚠ phone not in Pledges"))</f>
      </c>
      <c r="C1527" s="12"/>
      <c r="D1527" s="13"/>
      <c r="E1527" s="22"/>
      <c r="F1527" s="23"/>
      <c r="G1527">
        <f>IF($A1527="","","#"&amp;TRIM(SUBSTITUTE(SUBSTITUTE(SUBSTITUTE(SUBSTITUTE(SUBSTITUTE(SUBSTITUTE($A1527,"-",""),"(",""),")",""),".",""),"+","")," ","")))</f>
      </c>
    </row>
    <row r="1528" spans="1:7" x14ac:dyDescent="0.3">
      <c r="A1528" s="11"/>
      <c r="B1528" s="38">
        <f>IF($A1528="","",IFERROR(IF(INDEX(Pledges!$D$5:$D$2500,MATCH($G1528,Pledges!$K$5:$K$2500,0))="","⚠ no amount on Pledges",IF(INDEX(Pledges!$B$5:$B$2500,MATCH($G1528,Pledges!$K$5:$K$2500,0))="","",INDEX(Pledges!$B$5:$B$2500,MATCH($G1528,Pledges!$K$5:$K$2500,0)))),"⚠ phone not in Pledges"))</f>
      </c>
      <c r="C1528" s="12"/>
      <c r="D1528" s="13"/>
      <c r="E1528" s="22"/>
      <c r="F1528" s="23"/>
      <c r="G1528">
        <f>IF($A1528="","","#"&amp;TRIM(SUBSTITUTE(SUBSTITUTE(SUBSTITUTE(SUBSTITUTE(SUBSTITUTE(SUBSTITUTE($A1528,"-",""),"(",""),")",""),".",""),"+","")," ","")))</f>
      </c>
    </row>
    <row r="1529" spans="1:7" x14ac:dyDescent="0.3">
      <c r="A1529" s="11"/>
      <c r="B1529" s="38">
        <f>IF($A1529="","",IFERROR(IF(INDEX(Pledges!$D$5:$D$2500,MATCH($G1529,Pledges!$K$5:$K$2500,0))="","⚠ no amount on Pledges",IF(INDEX(Pledges!$B$5:$B$2500,MATCH($G1529,Pledges!$K$5:$K$2500,0))="","",INDEX(Pledges!$B$5:$B$2500,MATCH($G1529,Pledges!$K$5:$K$2500,0)))),"⚠ phone not in Pledges"))</f>
      </c>
      <c r="C1529" s="12"/>
      <c r="D1529" s="13"/>
      <c r="E1529" s="22"/>
      <c r="F1529" s="23"/>
      <c r="G1529">
        <f>IF($A1529="","","#"&amp;TRIM(SUBSTITUTE(SUBSTITUTE(SUBSTITUTE(SUBSTITUTE(SUBSTITUTE(SUBSTITUTE($A1529,"-",""),"(",""),")",""),".",""),"+","")," ","")))</f>
      </c>
    </row>
    <row r="1530" spans="1:7" x14ac:dyDescent="0.3">
      <c r="A1530" s="11"/>
      <c r="B1530" s="38">
        <f>IF($A1530="","",IFERROR(IF(INDEX(Pledges!$D$5:$D$2500,MATCH($G1530,Pledges!$K$5:$K$2500,0))="","⚠ no amount on Pledges",IF(INDEX(Pledges!$B$5:$B$2500,MATCH($G1530,Pledges!$K$5:$K$2500,0))="","",INDEX(Pledges!$B$5:$B$2500,MATCH($G1530,Pledges!$K$5:$K$2500,0)))),"⚠ phone not in Pledges"))</f>
      </c>
      <c r="C1530" s="12"/>
      <c r="D1530" s="13"/>
      <c r="E1530" s="22"/>
      <c r="F1530" s="23"/>
      <c r="G1530">
        <f>IF($A1530="","","#"&amp;TRIM(SUBSTITUTE(SUBSTITUTE(SUBSTITUTE(SUBSTITUTE(SUBSTITUTE(SUBSTITUTE($A1530,"-",""),"(",""),")",""),".",""),"+","")," ","")))</f>
      </c>
    </row>
    <row r="1531" spans="1:7" x14ac:dyDescent="0.3">
      <c r="A1531" s="11"/>
      <c r="B1531" s="38">
        <f>IF($A1531="","",IFERROR(IF(INDEX(Pledges!$D$5:$D$2500,MATCH($G1531,Pledges!$K$5:$K$2500,0))="","⚠ no amount on Pledges",IF(INDEX(Pledges!$B$5:$B$2500,MATCH($G1531,Pledges!$K$5:$K$2500,0))="","",INDEX(Pledges!$B$5:$B$2500,MATCH($G1531,Pledges!$K$5:$K$2500,0)))),"⚠ phone not in Pledges"))</f>
      </c>
      <c r="C1531" s="12"/>
      <c r="D1531" s="13"/>
      <c r="E1531" s="22"/>
      <c r="F1531" s="23"/>
      <c r="G1531">
        <f>IF($A1531="","","#"&amp;TRIM(SUBSTITUTE(SUBSTITUTE(SUBSTITUTE(SUBSTITUTE(SUBSTITUTE(SUBSTITUTE($A1531,"-",""),"(",""),")",""),".",""),"+","")," ","")))</f>
      </c>
    </row>
    <row r="1532" spans="1:7" x14ac:dyDescent="0.3">
      <c r="A1532" s="11"/>
      <c r="B1532" s="38">
        <f>IF($A1532="","",IFERROR(IF(INDEX(Pledges!$D$5:$D$2500,MATCH($G1532,Pledges!$K$5:$K$2500,0))="","⚠ no amount on Pledges",IF(INDEX(Pledges!$B$5:$B$2500,MATCH($G1532,Pledges!$K$5:$K$2500,0))="","",INDEX(Pledges!$B$5:$B$2500,MATCH($G1532,Pledges!$K$5:$K$2500,0)))),"⚠ phone not in Pledges"))</f>
      </c>
      <c r="C1532" s="12"/>
      <c r="D1532" s="13"/>
      <c r="E1532" s="22"/>
      <c r="F1532" s="23"/>
      <c r="G1532">
        <f>IF($A1532="","","#"&amp;TRIM(SUBSTITUTE(SUBSTITUTE(SUBSTITUTE(SUBSTITUTE(SUBSTITUTE(SUBSTITUTE($A1532,"-",""),"(",""),")",""),".",""),"+","")," ","")))</f>
      </c>
    </row>
    <row r="1533" spans="1:7" x14ac:dyDescent="0.3">
      <c r="A1533" s="11"/>
      <c r="B1533" s="38">
        <f>IF($A1533="","",IFERROR(IF(INDEX(Pledges!$D$5:$D$2500,MATCH($G1533,Pledges!$K$5:$K$2500,0))="","⚠ no amount on Pledges",IF(INDEX(Pledges!$B$5:$B$2500,MATCH($G1533,Pledges!$K$5:$K$2500,0))="","",INDEX(Pledges!$B$5:$B$2500,MATCH($G1533,Pledges!$K$5:$K$2500,0)))),"⚠ phone not in Pledges"))</f>
      </c>
      <c r="C1533" s="12"/>
      <c r="D1533" s="13"/>
      <c r="E1533" s="22"/>
      <c r="F1533" s="23"/>
      <c r="G1533">
        <f>IF($A1533="","","#"&amp;TRIM(SUBSTITUTE(SUBSTITUTE(SUBSTITUTE(SUBSTITUTE(SUBSTITUTE(SUBSTITUTE($A1533,"-",""),"(",""),")",""),".",""),"+","")," ","")))</f>
      </c>
    </row>
    <row r="1534" spans="1:7" x14ac:dyDescent="0.3">
      <c r="A1534" s="11"/>
      <c r="B1534" s="38">
        <f>IF($A1534="","",IFERROR(IF(INDEX(Pledges!$D$5:$D$2500,MATCH($G1534,Pledges!$K$5:$K$2500,0))="","⚠ no amount on Pledges",IF(INDEX(Pledges!$B$5:$B$2500,MATCH($G1534,Pledges!$K$5:$K$2500,0))="","",INDEX(Pledges!$B$5:$B$2500,MATCH($G1534,Pledges!$K$5:$K$2500,0)))),"⚠ phone not in Pledges"))</f>
      </c>
      <c r="C1534" s="12"/>
      <c r="D1534" s="13"/>
      <c r="E1534" s="22"/>
      <c r="F1534" s="23"/>
      <c r="G1534">
        <f>IF($A1534="","","#"&amp;TRIM(SUBSTITUTE(SUBSTITUTE(SUBSTITUTE(SUBSTITUTE(SUBSTITUTE(SUBSTITUTE($A1534,"-",""),"(",""),")",""),".",""),"+","")," ","")))</f>
      </c>
    </row>
    <row r="1535" spans="1:7" x14ac:dyDescent="0.3">
      <c r="A1535" s="11"/>
      <c r="B1535" s="38">
        <f>IF($A1535="","",IFERROR(IF(INDEX(Pledges!$D$5:$D$2500,MATCH($G1535,Pledges!$K$5:$K$2500,0))="","⚠ no amount on Pledges",IF(INDEX(Pledges!$B$5:$B$2500,MATCH($G1535,Pledges!$K$5:$K$2500,0))="","",INDEX(Pledges!$B$5:$B$2500,MATCH($G1535,Pledges!$K$5:$K$2500,0)))),"⚠ phone not in Pledges"))</f>
      </c>
      <c r="C1535" s="12"/>
      <c r="D1535" s="13"/>
      <c r="E1535" s="22"/>
      <c r="F1535" s="23"/>
      <c r="G1535">
        <f>IF($A1535="","","#"&amp;TRIM(SUBSTITUTE(SUBSTITUTE(SUBSTITUTE(SUBSTITUTE(SUBSTITUTE(SUBSTITUTE($A1535,"-",""),"(",""),")",""),".",""),"+","")," ","")))</f>
      </c>
    </row>
    <row r="1536" spans="1:7" x14ac:dyDescent="0.3">
      <c r="A1536" s="11"/>
      <c r="B1536" s="38">
        <f>IF($A1536="","",IFERROR(IF(INDEX(Pledges!$D$5:$D$2500,MATCH($G1536,Pledges!$K$5:$K$2500,0))="","⚠ no amount on Pledges",IF(INDEX(Pledges!$B$5:$B$2500,MATCH($G1536,Pledges!$K$5:$K$2500,0))="","",INDEX(Pledges!$B$5:$B$2500,MATCH($G1536,Pledges!$K$5:$K$2500,0)))),"⚠ phone not in Pledges"))</f>
      </c>
      <c r="C1536" s="12"/>
      <c r="D1536" s="13"/>
      <c r="E1536" s="22"/>
      <c r="F1536" s="23"/>
      <c r="G1536">
        <f>IF($A1536="","","#"&amp;TRIM(SUBSTITUTE(SUBSTITUTE(SUBSTITUTE(SUBSTITUTE(SUBSTITUTE(SUBSTITUTE($A1536,"-",""),"(",""),")",""),".",""),"+","")," ","")))</f>
      </c>
    </row>
    <row r="1537" spans="1:7" x14ac:dyDescent="0.3">
      <c r="A1537" s="11"/>
      <c r="B1537" s="38">
        <f>IF($A1537="","",IFERROR(IF(INDEX(Pledges!$D$5:$D$2500,MATCH($G1537,Pledges!$K$5:$K$2500,0))="","⚠ no amount on Pledges",IF(INDEX(Pledges!$B$5:$B$2500,MATCH($G1537,Pledges!$K$5:$K$2500,0))="","",INDEX(Pledges!$B$5:$B$2500,MATCH($G1537,Pledges!$K$5:$K$2500,0)))),"⚠ phone not in Pledges"))</f>
      </c>
      <c r="C1537" s="12"/>
      <c r="D1537" s="13"/>
      <c r="E1537" s="22"/>
      <c r="F1537" s="23"/>
      <c r="G1537">
        <f>IF($A1537="","","#"&amp;TRIM(SUBSTITUTE(SUBSTITUTE(SUBSTITUTE(SUBSTITUTE(SUBSTITUTE(SUBSTITUTE($A1537,"-",""),"(",""),")",""),".",""),"+","")," ","")))</f>
      </c>
    </row>
    <row r="1538" spans="1:7" x14ac:dyDescent="0.3">
      <c r="A1538" s="11"/>
      <c r="B1538" s="38">
        <f>IF($A1538="","",IFERROR(IF(INDEX(Pledges!$D$5:$D$2500,MATCH($G1538,Pledges!$K$5:$K$2500,0))="","⚠ no amount on Pledges",IF(INDEX(Pledges!$B$5:$B$2500,MATCH($G1538,Pledges!$K$5:$K$2500,0))="","",INDEX(Pledges!$B$5:$B$2500,MATCH($G1538,Pledges!$K$5:$K$2500,0)))),"⚠ phone not in Pledges"))</f>
      </c>
      <c r="C1538" s="12"/>
      <c r="D1538" s="13"/>
      <c r="E1538" s="22"/>
      <c r="F1538" s="23"/>
      <c r="G1538">
        <f>IF($A1538="","","#"&amp;TRIM(SUBSTITUTE(SUBSTITUTE(SUBSTITUTE(SUBSTITUTE(SUBSTITUTE(SUBSTITUTE($A1538,"-",""),"(",""),")",""),".",""),"+","")," ","")))</f>
      </c>
    </row>
    <row r="1539" spans="1:7" x14ac:dyDescent="0.3">
      <c r="A1539" s="11"/>
      <c r="B1539" s="38">
        <f>IF($A1539="","",IFERROR(IF(INDEX(Pledges!$D$5:$D$2500,MATCH($G1539,Pledges!$K$5:$K$2500,0))="","⚠ no amount on Pledges",IF(INDEX(Pledges!$B$5:$B$2500,MATCH($G1539,Pledges!$K$5:$K$2500,0))="","",INDEX(Pledges!$B$5:$B$2500,MATCH($G1539,Pledges!$K$5:$K$2500,0)))),"⚠ phone not in Pledges"))</f>
      </c>
      <c r="C1539" s="12"/>
      <c r="D1539" s="13"/>
      <c r="E1539" s="22"/>
      <c r="F1539" s="23"/>
      <c r="G1539">
        <f>IF($A1539="","","#"&amp;TRIM(SUBSTITUTE(SUBSTITUTE(SUBSTITUTE(SUBSTITUTE(SUBSTITUTE(SUBSTITUTE($A1539,"-",""),"(",""),")",""),".",""),"+","")," ","")))</f>
      </c>
    </row>
    <row r="1540" spans="1:7" x14ac:dyDescent="0.3">
      <c r="A1540" s="11"/>
      <c r="B1540" s="38">
        <f>IF($A1540="","",IFERROR(IF(INDEX(Pledges!$D$5:$D$2500,MATCH($G1540,Pledges!$K$5:$K$2500,0))="","⚠ no amount on Pledges",IF(INDEX(Pledges!$B$5:$B$2500,MATCH($G1540,Pledges!$K$5:$K$2500,0))="","",INDEX(Pledges!$B$5:$B$2500,MATCH($G1540,Pledges!$K$5:$K$2500,0)))),"⚠ phone not in Pledges"))</f>
      </c>
      <c r="C1540" s="12"/>
      <c r="D1540" s="13"/>
      <c r="E1540" s="22"/>
      <c r="F1540" s="23"/>
      <c r="G1540">
        <f>IF($A1540="","","#"&amp;TRIM(SUBSTITUTE(SUBSTITUTE(SUBSTITUTE(SUBSTITUTE(SUBSTITUTE(SUBSTITUTE($A1540,"-",""),"(",""),")",""),".",""),"+","")," ","")))</f>
      </c>
    </row>
    <row r="1541" spans="1:7" x14ac:dyDescent="0.3">
      <c r="A1541" s="11"/>
      <c r="B1541" s="38">
        <f>IF($A1541="","",IFERROR(IF(INDEX(Pledges!$D$5:$D$2500,MATCH($G1541,Pledges!$K$5:$K$2500,0))="","⚠ no amount on Pledges",IF(INDEX(Pledges!$B$5:$B$2500,MATCH($G1541,Pledges!$K$5:$K$2500,0))="","",INDEX(Pledges!$B$5:$B$2500,MATCH($G1541,Pledges!$K$5:$K$2500,0)))),"⚠ phone not in Pledges"))</f>
      </c>
      <c r="C1541" s="12"/>
      <c r="D1541" s="13"/>
      <c r="E1541" s="22"/>
      <c r="F1541" s="23"/>
      <c r="G1541">
        <f>IF($A1541="","","#"&amp;TRIM(SUBSTITUTE(SUBSTITUTE(SUBSTITUTE(SUBSTITUTE(SUBSTITUTE(SUBSTITUTE($A1541,"-",""),"(",""),")",""),".",""),"+","")," ","")))</f>
      </c>
    </row>
    <row r="1542" spans="1:7" x14ac:dyDescent="0.3">
      <c r="A1542" s="11"/>
      <c r="B1542" s="38">
        <f>IF($A1542="","",IFERROR(IF(INDEX(Pledges!$D$5:$D$2500,MATCH($G1542,Pledges!$K$5:$K$2500,0))="","⚠ no amount on Pledges",IF(INDEX(Pledges!$B$5:$B$2500,MATCH($G1542,Pledges!$K$5:$K$2500,0))="","",INDEX(Pledges!$B$5:$B$2500,MATCH($G1542,Pledges!$K$5:$K$2500,0)))),"⚠ phone not in Pledges"))</f>
      </c>
      <c r="C1542" s="12"/>
      <c r="D1542" s="13"/>
      <c r="E1542" s="22"/>
      <c r="F1542" s="23"/>
      <c r="G1542">
        <f>IF($A1542="","","#"&amp;TRIM(SUBSTITUTE(SUBSTITUTE(SUBSTITUTE(SUBSTITUTE(SUBSTITUTE(SUBSTITUTE($A1542,"-",""),"(",""),")",""),".",""),"+","")," ","")))</f>
      </c>
    </row>
    <row r="1543" spans="1:7" x14ac:dyDescent="0.3">
      <c r="A1543" s="11"/>
      <c r="B1543" s="38">
        <f>IF($A1543="","",IFERROR(IF(INDEX(Pledges!$D$5:$D$2500,MATCH($G1543,Pledges!$K$5:$K$2500,0))="","⚠ no amount on Pledges",IF(INDEX(Pledges!$B$5:$B$2500,MATCH($G1543,Pledges!$K$5:$K$2500,0))="","",INDEX(Pledges!$B$5:$B$2500,MATCH($G1543,Pledges!$K$5:$K$2500,0)))),"⚠ phone not in Pledges"))</f>
      </c>
      <c r="C1543" s="12"/>
      <c r="D1543" s="13"/>
      <c r="E1543" s="22"/>
      <c r="F1543" s="23"/>
      <c r="G1543">
        <f>IF($A1543="","","#"&amp;TRIM(SUBSTITUTE(SUBSTITUTE(SUBSTITUTE(SUBSTITUTE(SUBSTITUTE(SUBSTITUTE($A1543,"-",""),"(",""),")",""),".",""),"+","")," ","")))</f>
      </c>
    </row>
    <row r="1544" spans="1:7" x14ac:dyDescent="0.3">
      <c r="A1544" s="11"/>
      <c r="B1544" s="38">
        <f>IF($A1544="","",IFERROR(IF(INDEX(Pledges!$D$5:$D$2500,MATCH($G1544,Pledges!$K$5:$K$2500,0))="","⚠ no amount on Pledges",IF(INDEX(Pledges!$B$5:$B$2500,MATCH($G1544,Pledges!$K$5:$K$2500,0))="","",INDEX(Pledges!$B$5:$B$2500,MATCH($G1544,Pledges!$K$5:$K$2500,0)))),"⚠ phone not in Pledges"))</f>
      </c>
      <c r="C1544" s="12"/>
      <c r="D1544" s="13"/>
      <c r="E1544" s="22"/>
      <c r="F1544" s="23"/>
      <c r="G1544">
        <f>IF($A1544="","","#"&amp;TRIM(SUBSTITUTE(SUBSTITUTE(SUBSTITUTE(SUBSTITUTE(SUBSTITUTE(SUBSTITUTE($A1544,"-",""),"(",""),")",""),".",""),"+","")," ","")))</f>
      </c>
    </row>
    <row r="1545" spans="1:7" x14ac:dyDescent="0.3">
      <c r="A1545" s="11"/>
      <c r="B1545" s="38">
        <f>IF($A1545="","",IFERROR(IF(INDEX(Pledges!$D$5:$D$2500,MATCH($G1545,Pledges!$K$5:$K$2500,0))="","⚠ no amount on Pledges",IF(INDEX(Pledges!$B$5:$B$2500,MATCH($G1545,Pledges!$K$5:$K$2500,0))="","",INDEX(Pledges!$B$5:$B$2500,MATCH($G1545,Pledges!$K$5:$K$2500,0)))),"⚠ phone not in Pledges"))</f>
      </c>
      <c r="C1545" s="12"/>
      <c r="D1545" s="13"/>
      <c r="E1545" s="22"/>
      <c r="F1545" s="23"/>
      <c r="G1545">
        <f>IF($A1545="","","#"&amp;TRIM(SUBSTITUTE(SUBSTITUTE(SUBSTITUTE(SUBSTITUTE(SUBSTITUTE(SUBSTITUTE($A1545,"-",""),"(",""),")",""),".",""),"+","")," ","")))</f>
      </c>
    </row>
    <row r="1546" spans="1:7" x14ac:dyDescent="0.3">
      <c r="A1546" s="11"/>
      <c r="B1546" s="38">
        <f>IF($A1546="","",IFERROR(IF(INDEX(Pledges!$D$5:$D$2500,MATCH($G1546,Pledges!$K$5:$K$2500,0))="","⚠ no amount on Pledges",IF(INDEX(Pledges!$B$5:$B$2500,MATCH($G1546,Pledges!$K$5:$K$2500,0))="","",INDEX(Pledges!$B$5:$B$2500,MATCH($G1546,Pledges!$K$5:$K$2500,0)))),"⚠ phone not in Pledges"))</f>
      </c>
      <c r="C1546" s="12"/>
      <c r="D1546" s="13"/>
      <c r="E1546" s="22"/>
      <c r="F1546" s="23"/>
      <c r="G1546">
        <f>IF($A1546="","","#"&amp;TRIM(SUBSTITUTE(SUBSTITUTE(SUBSTITUTE(SUBSTITUTE(SUBSTITUTE(SUBSTITUTE($A1546,"-",""),"(",""),")",""),".",""),"+","")," ","")))</f>
      </c>
    </row>
    <row r="1547" spans="1:7" x14ac:dyDescent="0.3">
      <c r="A1547" s="11"/>
      <c r="B1547" s="38">
        <f>IF($A1547="","",IFERROR(IF(INDEX(Pledges!$D$5:$D$2500,MATCH($G1547,Pledges!$K$5:$K$2500,0))="","⚠ no amount on Pledges",IF(INDEX(Pledges!$B$5:$B$2500,MATCH($G1547,Pledges!$K$5:$K$2500,0))="","",INDEX(Pledges!$B$5:$B$2500,MATCH($G1547,Pledges!$K$5:$K$2500,0)))),"⚠ phone not in Pledges"))</f>
      </c>
      <c r="C1547" s="12"/>
      <c r="D1547" s="13"/>
      <c r="E1547" s="22"/>
      <c r="F1547" s="23"/>
      <c r="G1547">
        <f>IF($A1547="","","#"&amp;TRIM(SUBSTITUTE(SUBSTITUTE(SUBSTITUTE(SUBSTITUTE(SUBSTITUTE(SUBSTITUTE($A1547,"-",""),"(",""),")",""),".",""),"+","")," ","")))</f>
      </c>
    </row>
    <row r="1548" spans="1:7" x14ac:dyDescent="0.3">
      <c r="A1548" s="11"/>
      <c r="B1548" s="38">
        <f>IF($A1548="","",IFERROR(IF(INDEX(Pledges!$D$5:$D$2500,MATCH($G1548,Pledges!$K$5:$K$2500,0))="","⚠ no amount on Pledges",IF(INDEX(Pledges!$B$5:$B$2500,MATCH($G1548,Pledges!$K$5:$K$2500,0))="","",INDEX(Pledges!$B$5:$B$2500,MATCH($G1548,Pledges!$K$5:$K$2500,0)))),"⚠ phone not in Pledges"))</f>
      </c>
      <c r="C1548" s="12"/>
      <c r="D1548" s="13"/>
      <c r="E1548" s="22"/>
      <c r="F1548" s="23"/>
      <c r="G1548">
        <f>IF($A1548="","","#"&amp;TRIM(SUBSTITUTE(SUBSTITUTE(SUBSTITUTE(SUBSTITUTE(SUBSTITUTE(SUBSTITUTE($A1548,"-",""),"(",""),")",""),".",""),"+","")," ","")))</f>
      </c>
    </row>
    <row r="1549" spans="1:7" x14ac:dyDescent="0.3">
      <c r="A1549" s="11"/>
      <c r="B1549" s="38">
        <f>IF($A1549="","",IFERROR(IF(INDEX(Pledges!$D$5:$D$2500,MATCH($G1549,Pledges!$K$5:$K$2500,0))="","⚠ no amount on Pledges",IF(INDEX(Pledges!$B$5:$B$2500,MATCH($G1549,Pledges!$K$5:$K$2500,0))="","",INDEX(Pledges!$B$5:$B$2500,MATCH($G1549,Pledges!$K$5:$K$2500,0)))),"⚠ phone not in Pledges"))</f>
      </c>
      <c r="C1549" s="12"/>
      <c r="D1549" s="13"/>
      <c r="E1549" s="22"/>
      <c r="F1549" s="23"/>
      <c r="G1549">
        <f>IF($A1549="","","#"&amp;TRIM(SUBSTITUTE(SUBSTITUTE(SUBSTITUTE(SUBSTITUTE(SUBSTITUTE(SUBSTITUTE($A1549,"-",""),"(",""),")",""),".",""),"+","")," ","")))</f>
      </c>
    </row>
    <row r="1550" spans="1:7" x14ac:dyDescent="0.3">
      <c r="A1550" s="11"/>
      <c r="B1550" s="38">
        <f>IF($A1550="","",IFERROR(IF(INDEX(Pledges!$D$5:$D$2500,MATCH($G1550,Pledges!$K$5:$K$2500,0))="","⚠ no amount on Pledges",IF(INDEX(Pledges!$B$5:$B$2500,MATCH($G1550,Pledges!$K$5:$K$2500,0))="","",INDEX(Pledges!$B$5:$B$2500,MATCH($G1550,Pledges!$K$5:$K$2500,0)))),"⚠ phone not in Pledges"))</f>
      </c>
      <c r="C1550" s="12"/>
      <c r="D1550" s="13"/>
      <c r="E1550" s="22"/>
      <c r="F1550" s="23"/>
      <c r="G1550">
        <f>IF($A1550="","","#"&amp;TRIM(SUBSTITUTE(SUBSTITUTE(SUBSTITUTE(SUBSTITUTE(SUBSTITUTE(SUBSTITUTE($A1550,"-",""),"(",""),")",""),".",""),"+","")," ","")))</f>
      </c>
    </row>
    <row r="1551" spans="1:7" x14ac:dyDescent="0.3">
      <c r="A1551" s="11"/>
      <c r="B1551" s="38">
        <f>IF($A1551="","",IFERROR(IF(INDEX(Pledges!$D$5:$D$2500,MATCH($G1551,Pledges!$K$5:$K$2500,0))="","⚠ no amount on Pledges",IF(INDEX(Pledges!$B$5:$B$2500,MATCH($G1551,Pledges!$K$5:$K$2500,0))="","",INDEX(Pledges!$B$5:$B$2500,MATCH($G1551,Pledges!$K$5:$K$2500,0)))),"⚠ phone not in Pledges"))</f>
      </c>
      <c r="C1551" s="12"/>
      <c r="D1551" s="13"/>
      <c r="E1551" s="22"/>
      <c r="F1551" s="23"/>
      <c r="G1551">
        <f>IF($A1551="","","#"&amp;TRIM(SUBSTITUTE(SUBSTITUTE(SUBSTITUTE(SUBSTITUTE(SUBSTITUTE(SUBSTITUTE($A1551,"-",""),"(",""),")",""),".",""),"+","")," ","")))</f>
      </c>
    </row>
    <row r="1552" spans="1:7" x14ac:dyDescent="0.3">
      <c r="A1552" s="11"/>
      <c r="B1552" s="38">
        <f>IF($A1552="","",IFERROR(IF(INDEX(Pledges!$D$5:$D$2500,MATCH($G1552,Pledges!$K$5:$K$2500,0))="","⚠ no amount on Pledges",IF(INDEX(Pledges!$B$5:$B$2500,MATCH($G1552,Pledges!$K$5:$K$2500,0))="","",INDEX(Pledges!$B$5:$B$2500,MATCH($G1552,Pledges!$K$5:$K$2500,0)))),"⚠ phone not in Pledges"))</f>
      </c>
      <c r="C1552" s="12"/>
      <c r="D1552" s="13"/>
      <c r="E1552" s="22"/>
      <c r="F1552" s="23"/>
      <c r="G1552">
        <f>IF($A1552="","","#"&amp;TRIM(SUBSTITUTE(SUBSTITUTE(SUBSTITUTE(SUBSTITUTE(SUBSTITUTE(SUBSTITUTE($A1552,"-",""),"(",""),")",""),".",""),"+","")," ","")))</f>
      </c>
    </row>
    <row r="1553" spans="1:7" x14ac:dyDescent="0.3">
      <c r="A1553" s="11"/>
      <c r="B1553" s="38">
        <f>IF($A1553="","",IFERROR(IF(INDEX(Pledges!$D$5:$D$2500,MATCH($G1553,Pledges!$K$5:$K$2500,0))="","⚠ no amount on Pledges",IF(INDEX(Pledges!$B$5:$B$2500,MATCH($G1553,Pledges!$K$5:$K$2500,0))="","",INDEX(Pledges!$B$5:$B$2500,MATCH($G1553,Pledges!$K$5:$K$2500,0)))),"⚠ phone not in Pledges"))</f>
      </c>
      <c r="C1553" s="12"/>
      <c r="D1553" s="13"/>
      <c r="E1553" s="22"/>
      <c r="F1553" s="23"/>
      <c r="G1553">
        <f>IF($A1553="","","#"&amp;TRIM(SUBSTITUTE(SUBSTITUTE(SUBSTITUTE(SUBSTITUTE(SUBSTITUTE(SUBSTITUTE($A1553,"-",""),"(",""),")",""),".",""),"+","")," ","")))</f>
      </c>
    </row>
    <row r="1554" spans="1:7" x14ac:dyDescent="0.3">
      <c r="A1554" s="11"/>
      <c r="B1554" s="38">
        <f>IF($A1554="","",IFERROR(IF(INDEX(Pledges!$D$5:$D$2500,MATCH($G1554,Pledges!$K$5:$K$2500,0))="","⚠ no amount on Pledges",IF(INDEX(Pledges!$B$5:$B$2500,MATCH($G1554,Pledges!$K$5:$K$2500,0))="","",INDEX(Pledges!$B$5:$B$2500,MATCH($G1554,Pledges!$K$5:$K$2500,0)))),"⚠ phone not in Pledges"))</f>
      </c>
      <c r="C1554" s="12"/>
      <c r="D1554" s="13"/>
      <c r="E1554" s="22"/>
      <c r="F1554" s="23"/>
      <c r="G1554">
        <f>IF($A1554="","","#"&amp;TRIM(SUBSTITUTE(SUBSTITUTE(SUBSTITUTE(SUBSTITUTE(SUBSTITUTE(SUBSTITUTE($A1554,"-",""),"(",""),")",""),".",""),"+","")," ","")))</f>
      </c>
    </row>
    <row r="1555" spans="1:7" x14ac:dyDescent="0.3">
      <c r="A1555" s="11"/>
      <c r="B1555" s="38">
        <f>IF($A1555="","",IFERROR(IF(INDEX(Pledges!$D$5:$D$2500,MATCH($G1555,Pledges!$K$5:$K$2500,0))="","⚠ no amount on Pledges",IF(INDEX(Pledges!$B$5:$B$2500,MATCH($G1555,Pledges!$K$5:$K$2500,0))="","",INDEX(Pledges!$B$5:$B$2500,MATCH($G1555,Pledges!$K$5:$K$2500,0)))),"⚠ phone not in Pledges"))</f>
      </c>
      <c r="C1555" s="12"/>
      <c r="D1555" s="13"/>
      <c r="E1555" s="22"/>
      <c r="F1555" s="23"/>
      <c r="G1555">
        <f>IF($A1555="","","#"&amp;TRIM(SUBSTITUTE(SUBSTITUTE(SUBSTITUTE(SUBSTITUTE(SUBSTITUTE(SUBSTITUTE($A1555,"-",""),"(",""),")",""),".",""),"+","")," ","")))</f>
      </c>
    </row>
    <row r="1556" spans="1:7" x14ac:dyDescent="0.3">
      <c r="A1556" s="11"/>
      <c r="B1556" s="38">
        <f>IF($A1556="","",IFERROR(IF(INDEX(Pledges!$D$5:$D$2500,MATCH($G1556,Pledges!$K$5:$K$2500,0))="","⚠ no amount on Pledges",IF(INDEX(Pledges!$B$5:$B$2500,MATCH($G1556,Pledges!$K$5:$K$2500,0))="","",INDEX(Pledges!$B$5:$B$2500,MATCH($G1556,Pledges!$K$5:$K$2500,0)))),"⚠ phone not in Pledges"))</f>
      </c>
      <c r="C1556" s="12"/>
      <c r="D1556" s="13"/>
      <c r="E1556" s="22"/>
      <c r="F1556" s="23"/>
      <c r="G1556">
        <f>IF($A1556="","","#"&amp;TRIM(SUBSTITUTE(SUBSTITUTE(SUBSTITUTE(SUBSTITUTE(SUBSTITUTE(SUBSTITUTE($A1556,"-",""),"(",""),")",""),".",""),"+","")," ","")))</f>
      </c>
    </row>
    <row r="1557" spans="1:7" x14ac:dyDescent="0.3">
      <c r="A1557" s="11"/>
      <c r="B1557" s="38">
        <f>IF($A1557="","",IFERROR(IF(INDEX(Pledges!$D$5:$D$2500,MATCH($G1557,Pledges!$K$5:$K$2500,0))="","⚠ no amount on Pledges",IF(INDEX(Pledges!$B$5:$B$2500,MATCH($G1557,Pledges!$K$5:$K$2500,0))="","",INDEX(Pledges!$B$5:$B$2500,MATCH($G1557,Pledges!$K$5:$K$2500,0)))),"⚠ phone not in Pledges"))</f>
      </c>
      <c r="C1557" s="12"/>
      <c r="D1557" s="13"/>
      <c r="E1557" s="22"/>
      <c r="F1557" s="23"/>
      <c r="G1557">
        <f>IF($A1557="","","#"&amp;TRIM(SUBSTITUTE(SUBSTITUTE(SUBSTITUTE(SUBSTITUTE(SUBSTITUTE(SUBSTITUTE($A1557,"-",""),"(",""),")",""),".",""),"+","")," ","")))</f>
      </c>
    </row>
    <row r="1558" spans="1:7" x14ac:dyDescent="0.3">
      <c r="A1558" s="11"/>
      <c r="B1558" s="38">
        <f>IF($A1558="","",IFERROR(IF(INDEX(Pledges!$D$5:$D$2500,MATCH($G1558,Pledges!$K$5:$K$2500,0))="","⚠ no amount on Pledges",IF(INDEX(Pledges!$B$5:$B$2500,MATCH($G1558,Pledges!$K$5:$K$2500,0))="","",INDEX(Pledges!$B$5:$B$2500,MATCH($G1558,Pledges!$K$5:$K$2500,0)))),"⚠ phone not in Pledges"))</f>
      </c>
      <c r="C1558" s="12"/>
      <c r="D1558" s="13"/>
      <c r="E1558" s="22"/>
      <c r="F1558" s="23"/>
      <c r="G1558">
        <f>IF($A1558="","","#"&amp;TRIM(SUBSTITUTE(SUBSTITUTE(SUBSTITUTE(SUBSTITUTE(SUBSTITUTE(SUBSTITUTE($A1558,"-",""),"(",""),")",""),".",""),"+","")," ","")))</f>
      </c>
    </row>
    <row r="1559" spans="1:7" x14ac:dyDescent="0.3">
      <c r="A1559" s="11"/>
      <c r="B1559" s="38">
        <f>IF($A1559="","",IFERROR(IF(INDEX(Pledges!$D$5:$D$2500,MATCH($G1559,Pledges!$K$5:$K$2500,0))="","⚠ no amount on Pledges",IF(INDEX(Pledges!$B$5:$B$2500,MATCH($G1559,Pledges!$K$5:$K$2500,0))="","",INDEX(Pledges!$B$5:$B$2500,MATCH($G1559,Pledges!$K$5:$K$2500,0)))),"⚠ phone not in Pledges"))</f>
      </c>
      <c r="C1559" s="12"/>
      <c r="D1559" s="13"/>
      <c r="E1559" s="22"/>
      <c r="F1559" s="23"/>
      <c r="G1559">
        <f>IF($A1559="","","#"&amp;TRIM(SUBSTITUTE(SUBSTITUTE(SUBSTITUTE(SUBSTITUTE(SUBSTITUTE(SUBSTITUTE($A1559,"-",""),"(",""),")",""),".",""),"+","")," ","")))</f>
      </c>
    </row>
    <row r="1560" spans="1:7" x14ac:dyDescent="0.3">
      <c r="A1560" s="11"/>
      <c r="B1560" s="38">
        <f>IF($A1560="","",IFERROR(IF(INDEX(Pledges!$D$5:$D$2500,MATCH($G1560,Pledges!$K$5:$K$2500,0))="","⚠ no amount on Pledges",IF(INDEX(Pledges!$B$5:$B$2500,MATCH($G1560,Pledges!$K$5:$K$2500,0))="","",INDEX(Pledges!$B$5:$B$2500,MATCH($G1560,Pledges!$K$5:$K$2500,0)))),"⚠ phone not in Pledges"))</f>
      </c>
      <c r="C1560" s="12"/>
      <c r="D1560" s="13"/>
      <c r="E1560" s="22"/>
      <c r="F1560" s="23"/>
      <c r="G1560">
        <f>IF($A1560="","","#"&amp;TRIM(SUBSTITUTE(SUBSTITUTE(SUBSTITUTE(SUBSTITUTE(SUBSTITUTE(SUBSTITUTE($A1560,"-",""),"(",""),")",""),".",""),"+","")," ","")))</f>
      </c>
    </row>
    <row r="1561" spans="1:7" x14ac:dyDescent="0.3">
      <c r="A1561" s="11"/>
      <c r="B1561" s="38">
        <f>IF($A1561="","",IFERROR(IF(INDEX(Pledges!$D$5:$D$2500,MATCH($G1561,Pledges!$K$5:$K$2500,0))="","⚠ no amount on Pledges",IF(INDEX(Pledges!$B$5:$B$2500,MATCH($G1561,Pledges!$K$5:$K$2500,0))="","",INDEX(Pledges!$B$5:$B$2500,MATCH($G1561,Pledges!$K$5:$K$2500,0)))),"⚠ phone not in Pledges"))</f>
      </c>
      <c r="C1561" s="12"/>
      <c r="D1561" s="13"/>
      <c r="E1561" s="22"/>
      <c r="F1561" s="23"/>
      <c r="G1561">
        <f>IF($A1561="","","#"&amp;TRIM(SUBSTITUTE(SUBSTITUTE(SUBSTITUTE(SUBSTITUTE(SUBSTITUTE(SUBSTITUTE($A1561,"-",""),"(",""),")",""),".",""),"+","")," ","")))</f>
      </c>
    </row>
    <row r="1562" spans="1:7" x14ac:dyDescent="0.3">
      <c r="A1562" s="11"/>
      <c r="B1562" s="38">
        <f>IF($A1562="","",IFERROR(IF(INDEX(Pledges!$D$5:$D$2500,MATCH($G1562,Pledges!$K$5:$K$2500,0))="","⚠ no amount on Pledges",IF(INDEX(Pledges!$B$5:$B$2500,MATCH($G1562,Pledges!$K$5:$K$2500,0))="","",INDEX(Pledges!$B$5:$B$2500,MATCH($G1562,Pledges!$K$5:$K$2500,0)))),"⚠ phone not in Pledges"))</f>
      </c>
      <c r="C1562" s="12"/>
      <c r="D1562" s="13"/>
      <c r="E1562" s="22"/>
      <c r="F1562" s="23"/>
      <c r="G1562">
        <f>IF($A1562="","","#"&amp;TRIM(SUBSTITUTE(SUBSTITUTE(SUBSTITUTE(SUBSTITUTE(SUBSTITUTE(SUBSTITUTE($A1562,"-",""),"(",""),")",""),".",""),"+","")," ","")))</f>
      </c>
    </row>
    <row r="1563" spans="1:7" x14ac:dyDescent="0.3">
      <c r="A1563" s="11"/>
      <c r="B1563" s="38">
        <f>IF($A1563="","",IFERROR(IF(INDEX(Pledges!$D$5:$D$2500,MATCH($G1563,Pledges!$K$5:$K$2500,0))="","⚠ no amount on Pledges",IF(INDEX(Pledges!$B$5:$B$2500,MATCH($G1563,Pledges!$K$5:$K$2500,0))="","",INDEX(Pledges!$B$5:$B$2500,MATCH($G1563,Pledges!$K$5:$K$2500,0)))),"⚠ phone not in Pledges"))</f>
      </c>
      <c r="C1563" s="12"/>
      <c r="D1563" s="13"/>
      <c r="E1563" s="22"/>
      <c r="F1563" s="23"/>
      <c r="G1563">
        <f>IF($A1563="","","#"&amp;TRIM(SUBSTITUTE(SUBSTITUTE(SUBSTITUTE(SUBSTITUTE(SUBSTITUTE(SUBSTITUTE($A1563,"-",""),"(",""),")",""),".",""),"+","")," ","")))</f>
      </c>
    </row>
    <row r="1564" spans="1:7" x14ac:dyDescent="0.3">
      <c r="A1564" s="11"/>
      <c r="B1564" s="38">
        <f>IF($A1564="","",IFERROR(IF(INDEX(Pledges!$D$5:$D$2500,MATCH($G1564,Pledges!$K$5:$K$2500,0))="","⚠ no amount on Pledges",IF(INDEX(Pledges!$B$5:$B$2500,MATCH($G1564,Pledges!$K$5:$K$2500,0))="","",INDEX(Pledges!$B$5:$B$2500,MATCH($G1564,Pledges!$K$5:$K$2500,0)))),"⚠ phone not in Pledges"))</f>
      </c>
      <c r="C1564" s="12"/>
      <c r="D1564" s="13"/>
      <c r="E1564" s="22"/>
      <c r="F1564" s="23"/>
      <c r="G1564">
        <f>IF($A1564="","","#"&amp;TRIM(SUBSTITUTE(SUBSTITUTE(SUBSTITUTE(SUBSTITUTE(SUBSTITUTE(SUBSTITUTE($A1564,"-",""),"(",""),")",""),".",""),"+","")," ","")))</f>
      </c>
    </row>
    <row r="1565" spans="1:7" x14ac:dyDescent="0.3">
      <c r="A1565" s="11"/>
      <c r="B1565" s="38">
        <f>IF($A1565="","",IFERROR(IF(INDEX(Pledges!$D$5:$D$2500,MATCH($G1565,Pledges!$K$5:$K$2500,0))="","⚠ no amount on Pledges",IF(INDEX(Pledges!$B$5:$B$2500,MATCH($G1565,Pledges!$K$5:$K$2500,0))="","",INDEX(Pledges!$B$5:$B$2500,MATCH($G1565,Pledges!$K$5:$K$2500,0)))),"⚠ phone not in Pledges"))</f>
      </c>
      <c r="C1565" s="12"/>
      <c r="D1565" s="13"/>
      <c r="E1565" s="22"/>
      <c r="F1565" s="23"/>
      <c r="G1565">
        <f>IF($A1565="","","#"&amp;TRIM(SUBSTITUTE(SUBSTITUTE(SUBSTITUTE(SUBSTITUTE(SUBSTITUTE(SUBSTITUTE($A1565,"-",""),"(",""),")",""),".",""),"+","")," ","")))</f>
      </c>
    </row>
    <row r="1566" spans="1:7" x14ac:dyDescent="0.3">
      <c r="A1566" s="11"/>
      <c r="B1566" s="38">
        <f>IF($A1566="","",IFERROR(IF(INDEX(Pledges!$D$5:$D$2500,MATCH($G1566,Pledges!$K$5:$K$2500,0))="","⚠ no amount on Pledges",IF(INDEX(Pledges!$B$5:$B$2500,MATCH($G1566,Pledges!$K$5:$K$2500,0))="","",INDEX(Pledges!$B$5:$B$2500,MATCH($G1566,Pledges!$K$5:$K$2500,0)))),"⚠ phone not in Pledges"))</f>
      </c>
      <c r="C1566" s="12"/>
      <c r="D1566" s="13"/>
      <c r="E1566" s="22"/>
      <c r="F1566" s="23"/>
      <c r="G1566">
        <f>IF($A1566="","","#"&amp;TRIM(SUBSTITUTE(SUBSTITUTE(SUBSTITUTE(SUBSTITUTE(SUBSTITUTE(SUBSTITUTE($A1566,"-",""),"(",""),")",""),".",""),"+","")," ","")))</f>
      </c>
    </row>
    <row r="1567" spans="1:7" x14ac:dyDescent="0.3">
      <c r="A1567" s="11"/>
      <c r="B1567" s="38">
        <f>IF($A1567="","",IFERROR(IF(INDEX(Pledges!$D$5:$D$2500,MATCH($G1567,Pledges!$K$5:$K$2500,0))="","⚠ no amount on Pledges",IF(INDEX(Pledges!$B$5:$B$2500,MATCH($G1567,Pledges!$K$5:$K$2500,0))="","",INDEX(Pledges!$B$5:$B$2500,MATCH($G1567,Pledges!$K$5:$K$2500,0)))),"⚠ phone not in Pledges"))</f>
      </c>
      <c r="C1567" s="12"/>
      <c r="D1567" s="13"/>
      <c r="E1567" s="22"/>
      <c r="F1567" s="23"/>
      <c r="G1567">
        <f>IF($A1567="","","#"&amp;TRIM(SUBSTITUTE(SUBSTITUTE(SUBSTITUTE(SUBSTITUTE(SUBSTITUTE(SUBSTITUTE($A1567,"-",""),"(",""),")",""),".",""),"+","")," ","")))</f>
      </c>
    </row>
    <row r="1568" spans="1:7" x14ac:dyDescent="0.3">
      <c r="A1568" s="11"/>
      <c r="B1568" s="38">
        <f>IF($A1568="","",IFERROR(IF(INDEX(Pledges!$D$5:$D$2500,MATCH($G1568,Pledges!$K$5:$K$2500,0))="","⚠ no amount on Pledges",IF(INDEX(Pledges!$B$5:$B$2500,MATCH($G1568,Pledges!$K$5:$K$2500,0))="","",INDEX(Pledges!$B$5:$B$2500,MATCH($G1568,Pledges!$K$5:$K$2500,0)))),"⚠ phone not in Pledges"))</f>
      </c>
      <c r="C1568" s="12"/>
      <c r="D1568" s="13"/>
      <c r="E1568" s="22"/>
      <c r="F1568" s="23"/>
      <c r="G1568">
        <f>IF($A1568="","","#"&amp;TRIM(SUBSTITUTE(SUBSTITUTE(SUBSTITUTE(SUBSTITUTE(SUBSTITUTE(SUBSTITUTE($A1568,"-",""),"(",""),")",""),".",""),"+","")," ","")))</f>
      </c>
    </row>
    <row r="1569" spans="1:7" x14ac:dyDescent="0.3">
      <c r="A1569" s="11"/>
      <c r="B1569" s="38">
        <f>IF($A1569="","",IFERROR(IF(INDEX(Pledges!$D$5:$D$2500,MATCH($G1569,Pledges!$K$5:$K$2500,0))="","⚠ no amount on Pledges",IF(INDEX(Pledges!$B$5:$B$2500,MATCH($G1569,Pledges!$K$5:$K$2500,0))="","",INDEX(Pledges!$B$5:$B$2500,MATCH($G1569,Pledges!$K$5:$K$2500,0)))),"⚠ phone not in Pledges"))</f>
      </c>
      <c r="C1569" s="12"/>
      <c r="D1569" s="13"/>
      <c r="E1569" s="22"/>
      <c r="F1569" s="23"/>
      <c r="G1569">
        <f>IF($A1569="","","#"&amp;TRIM(SUBSTITUTE(SUBSTITUTE(SUBSTITUTE(SUBSTITUTE(SUBSTITUTE(SUBSTITUTE($A1569,"-",""),"(",""),")",""),".",""),"+","")," ","")))</f>
      </c>
    </row>
    <row r="1570" spans="1:7" x14ac:dyDescent="0.3">
      <c r="A1570" s="11"/>
      <c r="B1570" s="38">
        <f>IF($A1570="","",IFERROR(IF(INDEX(Pledges!$D$5:$D$2500,MATCH($G1570,Pledges!$K$5:$K$2500,0))="","⚠ no amount on Pledges",IF(INDEX(Pledges!$B$5:$B$2500,MATCH($G1570,Pledges!$K$5:$K$2500,0))="","",INDEX(Pledges!$B$5:$B$2500,MATCH($G1570,Pledges!$K$5:$K$2500,0)))),"⚠ phone not in Pledges"))</f>
      </c>
      <c r="C1570" s="12"/>
      <c r="D1570" s="13"/>
      <c r="E1570" s="22"/>
      <c r="F1570" s="23"/>
      <c r="G1570">
        <f>IF($A1570="","","#"&amp;TRIM(SUBSTITUTE(SUBSTITUTE(SUBSTITUTE(SUBSTITUTE(SUBSTITUTE(SUBSTITUTE($A1570,"-",""),"(",""),")",""),".",""),"+","")," ","")))</f>
      </c>
    </row>
    <row r="1571" spans="1:7" x14ac:dyDescent="0.3">
      <c r="A1571" s="11"/>
      <c r="B1571" s="38">
        <f>IF($A1571="","",IFERROR(IF(INDEX(Pledges!$D$5:$D$2500,MATCH($G1571,Pledges!$K$5:$K$2500,0))="","⚠ no amount on Pledges",IF(INDEX(Pledges!$B$5:$B$2500,MATCH($G1571,Pledges!$K$5:$K$2500,0))="","",INDEX(Pledges!$B$5:$B$2500,MATCH($G1571,Pledges!$K$5:$K$2500,0)))),"⚠ phone not in Pledges"))</f>
      </c>
      <c r="C1571" s="12"/>
      <c r="D1571" s="13"/>
      <c r="E1571" s="22"/>
      <c r="F1571" s="23"/>
      <c r="G1571">
        <f>IF($A1571="","","#"&amp;TRIM(SUBSTITUTE(SUBSTITUTE(SUBSTITUTE(SUBSTITUTE(SUBSTITUTE(SUBSTITUTE($A1571,"-",""),"(",""),")",""),".",""),"+","")," ","")))</f>
      </c>
    </row>
    <row r="1572" spans="1:7" x14ac:dyDescent="0.3">
      <c r="A1572" s="11"/>
      <c r="B1572" s="38">
        <f>IF($A1572="","",IFERROR(IF(INDEX(Pledges!$D$5:$D$2500,MATCH($G1572,Pledges!$K$5:$K$2500,0))="","⚠ no amount on Pledges",IF(INDEX(Pledges!$B$5:$B$2500,MATCH($G1572,Pledges!$K$5:$K$2500,0))="","",INDEX(Pledges!$B$5:$B$2500,MATCH($G1572,Pledges!$K$5:$K$2500,0)))),"⚠ phone not in Pledges"))</f>
      </c>
      <c r="C1572" s="12"/>
      <c r="D1572" s="13"/>
      <c r="E1572" s="22"/>
      <c r="F1572" s="23"/>
      <c r="G1572">
        <f>IF($A1572="","","#"&amp;TRIM(SUBSTITUTE(SUBSTITUTE(SUBSTITUTE(SUBSTITUTE(SUBSTITUTE(SUBSTITUTE($A1572,"-",""),"(",""),")",""),".",""),"+","")," ","")))</f>
      </c>
    </row>
    <row r="1573" spans="1:7" x14ac:dyDescent="0.3">
      <c r="A1573" s="11"/>
      <c r="B1573" s="38">
        <f>IF($A1573="","",IFERROR(IF(INDEX(Pledges!$D$5:$D$2500,MATCH($G1573,Pledges!$K$5:$K$2500,0))="","⚠ no amount on Pledges",IF(INDEX(Pledges!$B$5:$B$2500,MATCH($G1573,Pledges!$K$5:$K$2500,0))="","",INDEX(Pledges!$B$5:$B$2500,MATCH($G1573,Pledges!$K$5:$K$2500,0)))),"⚠ phone not in Pledges"))</f>
      </c>
      <c r="C1573" s="12"/>
      <c r="D1573" s="13"/>
      <c r="E1573" s="22"/>
      <c r="F1573" s="23"/>
      <c r="G1573">
        <f>IF($A1573="","","#"&amp;TRIM(SUBSTITUTE(SUBSTITUTE(SUBSTITUTE(SUBSTITUTE(SUBSTITUTE(SUBSTITUTE($A1573,"-",""),"(",""),")",""),".",""),"+","")," ","")))</f>
      </c>
    </row>
    <row r="1574" spans="1:7" x14ac:dyDescent="0.3">
      <c r="A1574" s="11"/>
      <c r="B1574" s="38">
        <f>IF($A1574="","",IFERROR(IF(INDEX(Pledges!$D$5:$D$2500,MATCH($G1574,Pledges!$K$5:$K$2500,0))="","⚠ no amount on Pledges",IF(INDEX(Pledges!$B$5:$B$2500,MATCH($G1574,Pledges!$K$5:$K$2500,0))="","",INDEX(Pledges!$B$5:$B$2500,MATCH($G1574,Pledges!$K$5:$K$2500,0)))),"⚠ phone not in Pledges"))</f>
      </c>
      <c r="C1574" s="12"/>
      <c r="D1574" s="13"/>
      <c r="E1574" s="22"/>
      <c r="F1574" s="23"/>
      <c r="G1574">
        <f>IF($A1574="","","#"&amp;TRIM(SUBSTITUTE(SUBSTITUTE(SUBSTITUTE(SUBSTITUTE(SUBSTITUTE(SUBSTITUTE($A1574,"-",""),"(",""),")",""),".",""),"+","")," ","")))</f>
      </c>
    </row>
    <row r="1575" spans="1:7" x14ac:dyDescent="0.3">
      <c r="A1575" s="11"/>
      <c r="B1575" s="38">
        <f>IF($A1575="","",IFERROR(IF(INDEX(Pledges!$D$5:$D$2500,MATCH($G1575,Pledges!$K$5:$K$2500,0))="","⚠ no amount on Pledges",IF(INDEX(Pledges!$B$5:$B$2500,MATCH($G1575,Pledges!$K$5:$K$2500,0))="","",INDEX(Pledges!$B$5:$B$2500,MATCH($G1575,Pledges!$K$5:$K$2500,0)))),"⚠ phone not in Pledges"))</f>
      </c>
      <c r="C1575" s="12"/>
      <c r="D1575" s="13"/>
      <c r="E1575" s="22"/>
      <c r="F1575" s="23"/>
      <c r="G1575">
        <f>IF($A1575="","","#"&amp;TRIM(SUBSTITUTE(SUBSTITUTE(SUBSTITUTE(SUBSTITUTE(SUBSTITUTE(SUBSTITUTE($A1575,"-",""),"(",""),")",""),".",""),"+","")," ","")))</f>
      </c>
    </row>
    <row r="1576" spans="1:7" x14ac:dyDescent="0.3">
      <c r="A1576" s="11"/>
      <c r="B1576" s="38">
        <f>IF($A1576="","",IFERROR(IF(INDEX(Pledges!$D$5:$D$2500,MATCH($G1576,Pledges!$K$5:$K$2500,0))="","⚠ no amount on Pledges",IF(INDEX(Pledges!$B$5:$B$2500,MATCH($G1576,Pledges!$K$5:$K$2500,0))="","",INDEX(Pledges!$B$5:$B$2500,MATCH($G1576,Pledges!$K$5:$K$2500,0)))),"⚠ phone not in Pledges"))</f>
      </c>
      <c r="C1576" s="12"/>
      <c r="D1576" s="13"/>
      <c r="E1576" s="22"/>
      <c r="F1576" s="23"/>
      <c r="G1576">
        <f>IF($A1576="","","#"&amp;TRIM(SUBSTITUTE(SUBSTITUTE(SUBSTITUTE(SUBSTITUTE(SUBSTITUTE(SUBSTITUTE($A1576,"-",""),"(",""),")",""),".",""),"+","")," ","")))</f>
      </c>
    </row>
    <row r="1577" spans="1:7" x14ac:dyDescent="0.3">
      <c r="A1577" s="11"/>
      <c r="B1577" s="38">
        <f>IF($A1577="","",IFERROR(IF(INDEX(Pledges!$D$5:$D$2500,MATCH($G1577,Pledges!$K$5:$K$2500,0))="","⚠ no amount on Pledges",IF(INDEX(Pledges!$B$5:$B$2500,MATCH($G1577,Pledges!$K$5:$K$2500,0))="","",INDEX(Pledges!$B$5:$B$2500,MATCH($G1577,Pledges!$K$5:$K$2500,0)))),"⚠ phone not in Pledges"))</f>
      </c>
      <c r="C1577" s="12"/>
      <c r="D1577" s="13"/>
      <c r="E1577" s="22"/>
      <c r="F1577" s="23"/>
      <c r="G1577">
        <f>IF($A1577="","","#"&amp;TRIM(SUBSTITUTE(SUBSTITUTE(SUBSTITUTE(SUBSTITUTE(SUBSTITUTE(SUBSTITUTE($A1577,"-",""),"(",""),")",""),".",""),"+","")," ","")))</f>
      </c>
    </row>
    <row r="1578" spans="1:7" x14ac:dyDescent="0.3">
      <c r="A1578" s="11"/>
      <c r="B1578" s="38">
        <f>IF($A1578="","",IFERROR(IF(INDEX(Pledges!$D$5:$D$2500,MATCH($G1578,Pledges!$K$5:$K$2500,0))="","⚠ no amount on Pledges",IF(INDEX(Pledges!$B$5:$B$2500,MATCH($G1578,Pledges!$K$5:$K$2500,0))="","",INDEX(Pledges!$B$5:$B$2500,MATCH($G1578,Pledges!$K$5:$K$2500,0)))),"⚠ phone not in Pledges"))</f>
      </c>
      <c r="C1578" s="12"/>
      <c r="D1578" s="13"/>
      <c r="E1578" s="22"/>
      <c r="F1578" s="23"/>
      <c r="G1578">
        <f>IF($A1578="","","#"&amp;TRIM(SUBSTITUTE(SUBSTITUTE(SUBSTITUTE(SUBSTITUTE(SUBSTITUTE(SUBSTITUTE($A1578,"-",""),"(",""),")",""),".",""),"+","")," ","")))</f>
      </c>
    </row>
    <row r="1579" spans="1:7" x14ac:dyDescent="0.3">
      <c r="A1579" s="11"/>
      <c r="B1579" s="38">
        <f>IF($A1579="","",IFERROR(IF(INDEX(Pledges!$D$5:$D$2500,MATCH($G1579,Pledges!$K$5:$K$2500,0))="","⚠ no amount on Pledges",IF(INDEX(Pledges!$B$5:$B$2500,MATCH($G1579,Pledges!$K$5:$K$2500,0))="","",INDEX(Pledges!$B$5:$B$2500,MATCH($G1579,Pledges!$K$5:$K$2500,0)))),"⚠ phone not in Pledges"))</f>
      </c>
      <c r="C1579" s="12"/>
      <c r="D1579" s="13"/>
      <c r="E1579" s="22"/>
      <c r="F1579" s="23"/>
      <c r="G1579">
        <f>IF($A1579="","","#"&amp;TRIM(SUBSTITUTE(SUBSTITUTE(SUBSTITUTE(SUBSTITUTE(SUBSTITUTE(SUBSTITUTE($A1579,"-",""),"(",""),")",""),".",""),"+","")," ","")))</f>
      </c>
    </row>
    <row r="1580" spans="1:7" x14ac:dyDescent="0.3">
      <c r="A1580" s="11"/>
      <c r="B1580" s="38">
        <f>IF($A1580="","",IFERROR(IF(INDEX(Pledges!$D$5:$D$2500,MATCH($G1580,Pledges!$K$5:$K$2500,0))="","⚠ no amount on Pledges",IF(INDEX(Pledges!$B$5:$B$2500,MATCH($G1580,Pledges!$K$5:$K$2500,0))="","",INDEX(Pledges!$B$5:$B$2500,MATCH($G1580,Pledges!$K$5:$K$2500,0)))),"⚠ phone not in Pledges"))</f>
      </c>
      <c r="C1580" s="12"/>
      <c r="D1580" s="13"/>
      <c r="E1580" s="22"/>
      <c r="F1580" s="23"/>
      <c r="G1580">
        <f>IF($A1580="","","#"&amp;TRIM(SUBSTITUTE(SUBSTITUTE(SUBSTITUTE(SUBSTITUTE(SUBSTITUTE(SUBSTITUTE($A1580,"-",""),"(",""),")",""),".",""),"+","")," ","")))</f>
      </c>
    </row>
    <row r="1581" spans="1:7" x14ac:dyDescent="0.3">
      <c r="A1581" s="11"/>
      <c r="B1581" s="38">
        <f>IF($A1581="","",IFERROR(IF(INDEX(Pledges!$D$5:$D$2500,MATCH($G1581,Pledges!$K$5:$K$2500,0))="","⚠ no amount on Pledges",IF(INDEX(Pledges!$B$5:$B$2500,MATCH($G1581,Pledges!$K$5:$K$2500,0))="","",INDEX(Pledges!$B$5:$B$2500,MATCH($G1581,Pledges!$K$5:$K$2500,0)))),"⚠ phone not in Pledges"))</f>
      </c>
      <c r="C1581" s="12"/>
      <c r="D1581" s="13"/>
      <c r="E1581" s="22"/>
      <c r="F1581" s="23"/>
      <c r="G1581">
        <f>IF($A1581="","","#"&amp;TRIM(SUBSTITUTE(SUBSTITUTE(SUBSTITUTE(SUBSTITUTE(SUBSTITUTE(SUBSTITUTE($A1581,"-",""),"(",""),")",""),".",""),"+","")," ","")))</f>
      </c>
    </row>
    <row r="1582" spans="1:7" x14ac:dyDescent="0.3">
      <c r="A1582" s="11"/>
      <c r="B1582" s="38">
        <f>IF($A1582="","",IFERROR(IF(INDEX(Pledges!$D$5:$D$2500,MATCH($G1582,Pledges!$K$5:$K$2500,0))="","⚠ no amount on Pledges",IF(INDEX(Pledges!$B$5:$B$2500,MATCH($G1582,Pledges!$K$5:$K$2500,0))="","",INDEX(Pledges!$B$5:$B$2500,MATCH($G1582,Pledges!$K$5:$K$2500,0)))),"⚠ phone not in Pledges"))</f>
      </c>
      <c r="C1582" s="12"/>
      <c r="D1582" s="13"/>
      <c r="E1582" s="22"/>
      <c r="F1582" s="23"/>
      <c r="G1582">
        <f>IF($A1582="","","#"&amp;TRIM(SUBSTITUTE(SUBSTITUTE(SUBSTITUTE(SUBSTITUTE(SUBSTITUTE(SUBSTITUTE($A1582,"-",""),"(",""),")",""),".",""),"+","")," ","")))</f>
      </c>
    </row>
    <row r="1583" spans="1:7" x14ac:dyDescent="0.3">
      <c r="A1583" s="11"/>
      <c r="B1583" s="38">
        <f>IF($A1583="","",IFERROR(IF(INDEX(Pledges!$D$5:$D$2500,MATCH($G1583,Pledges!$K$5:$K$2500,0))="","⚠ no amount on Pledges",IF(INDEX(Pledges!$B$5:$B$2500,MATCH($G1583,Pledges!$K$5:$K$2500,0))="","",INDEX(Pledges!$B$5:$B$2500,MATCH($G1583,Pledges!$K$5:$K$2500,0)))),"⚠ phone not in Pledges"))</f>
      </c>
      <c r="C1583" s="12"/>
      <c r="D1583" s="13"/>
      <c r="E1583" s="22"/>
      <c r="F1583" s="23"/>
      <c r="G1583">
        <f>IF($A1583="","","#"&amp;TRIM(SUBSTITUTE(SUBSTITUTE(SUBSTITUTE(SUBSTITUTE(SUBSTITUTE(SUBSTITUTE($A1583,"-",""),"(",""),")",""),".",""),"+","")," ","")))</f>
      </c>
    </row>
    <row r="1584" spans="1:7" x14ac:dyDescent="0.3">
      <c r="A1584" s="11"/>
      <c r="B1584" s="38">
        <f>IF($A1584="","",IFERROR(IF(INDEX(Pledges!$D$5:$D$2500,MATCH($G1584,Pledges!$K$5:$K$2500,0))="","⚠ no amount on Pledges",IF(INDEX(Pledges!$B$5:$B$2500,MATCH($G1584,Pledges!$K$5:$K$2500,0))="","",INDEX(Pledges!$B$5:$B$2500,MATCH($G1584,Pledges!$K$5:$K$2500,0)))),"⚠ phone not in Pledges"))</f>
      </c>
      <c r="C1584" s="12"/>
      <c r="D1584" s="13"/>
      <c r="E1584" s="22"/>
      <c r="F1584" s="23"/>
      <c r="G1584">
        <f>IF($A1584="","","#"&amp;TRIM(SUBSTITUTE(SUBSTITUTE(SUBSTITUTE(SUBSTITUTE(SUBSTITUTE(SUBSTITUTE($A1584,"-",""),"(",""),")",""),".",""),"+","")," ","")))</f>
      </c>
    </row>
    <row r="1585" spans="1:7" x14ac:dyDescent="0.3">
      <c r="A1585" s="11"/>
      <c r="B1585" s="38">
        <f>IF($A1585="","",IFERROR(IF(INDEX(Pledges!$D$5:$D$2500,MATCH($G1585,Pledges!$K$5:$K$2500,0))="","⚠ no amount on Pledges",IF(INDEX(Pledges!$B$5:$B$2500,MATCH($G1585,Pledges!$K$5:$K$2500,0))="","",INDEX(Pledges!$B$5:$B$2500,MATCH($G1585,Pledges!$K$5:$K$2500,0)))),"⚠ phone not in Pledges"))</f>
      </c>
      <c r="C1585" s="12"/>
      <c r="D1585" s="13"/>
      <c r="E1585" s="22"/>
      <c r="F1585" s="23"/>
      <c r="G1585">
        <f>IF($A1585="","","#"&amp;TRIM(SUBSTITUTE(SUBSTITUTE(SUBSTITUTE(SUBSTITUTE(SUBSTITUTE(SUBSTITUTE($A1585,"-",""),"(",""),")",""),".",""),"+","")," ","")))</f>
      </c>
    </row>
    <row r="1586" spans="1:7" x14ac:dyDescent="0.3">
      <c r="A1586" s="11"/>
      <c r="B1586" s="38">
        <f>IF($A1586="","",IFERROR(IF(INDEX(Pledges!$D$5:$D$2500,MATCH($G1586,Pledges!$K$5:$K$2500,0))="","⚠ no amount on Pledges",IF(INDEX(Pledges!$B$5:$B$2500,MATCH($G1586,Pledges!$K$5:$K$2500,0))="","",INDEX(Pledges!$B$5:$B$2500,MATCH($G1586,Pledges!$K$5:$K$2500,0)))),"⚠ phone not in Pledges"))</f>
      </c>
      <c r="C1586" s="12"/>
      <c r="D1586" s="13"/>
      <c r="E1586" s="22"/>
      <c r="F1586" s="23"/>
      <c r="G1586">
        <f>IF($A1586="","","#"&amp;TRIM(SUBSTITUTE(SUBSTITUTE(SUBSTITUTE(SUBSTITUTE(SUBSTITUTE(SUBSTITUTE($A1586,"-",""),"(",""),")",""),".",""),"+","")," ","")))</f>
      </c>
    </row>
    <row r="1587" spans="1:7" x14ac:dyDescent="0.3">
      <c r="A1587" s="11"/>
      <c r="B1587" s="38">
        <f>IF($A1587="","",IFERROR(IF(INDEX(Pledges!$D$5:$D$2500,MATCH($G1587,Pledges!$K$5:$K$2500,0))="","⚠ no amount on Pledges",IF(INDEX(Pledges!$B$5:$B$2500,MATCH($G1587,Pledges!$K$5:$K$2500,0))="","",INDEX(Pledges!$B$5:$B$2500,MATCH($G1587,Pledges!$K$5:$K$2500,0)))),"⚠ phone not in Pledges"))</f>
      </c>
      <c r="C1587" s="12"/>
      <c r="D1587" s="13"/>
      <c r="E1587" s="22"/>
      <c r="F1587" s="23"/>
      <c r="G1587">
        <f>IF($A1587="","","#"&amp;TRIM(SUBSTITUTE(SUBSTITUTE(SUBSTITUTE(SUBSTITUTE(SUBSTITUTE(SUBSTITUTE($A1587,"-",""),"(",""),")",""),".",""),"+","")," ","")))</f>
      </c>
    </row>
    <row r="1588" spans="1:7" x14ac:dyDescent="0.3">
      <c r="A1588" s="11"/>
      <c r="B1588" s="38">
        <f>IF($A1588="","",IFERROR(IF(INDEX(Pledges!$D$5:$D$2500,MATCH($G1588,Pledges!$K$5:$K$2500,0))="","⚠ no amount on Pledges",IF(INDEX(Pledges!$B$5:$B$2500,MATCH($G1588,Pledges!$K$5:$K$2500,0))="","",INDEX(Pledges!$B$5:$B$2500,MATCH($G1588,Pledges!$K$5:$K$2500,0)))),"⚠ phone not in Pledges"))</f>
      </c>
      <c r="C1588" s="12"/>
      <c r="D1588" s="13"/>
      <c r="E1588" s="22"/>
      <c r="F1588" s="23"/>
      <c r="G1588">
        <f>IF($A1588="","","#"&amp;TRIM(SUBSTITUTE(SUBSTITUTE(SUBSTITUTE(SUBSTITUTE(SUBSTITUTE(SUBSTITUTE($A1588,"-",""),"(",""),")",""),".",""),"+","")," ","")))</f>
      </c>
    </row>
    <row r="1589" spans="1:7" x14ac:dyDescent="0.3">
      <c r="A1589" s="11"/>
      <c r="B1589" s="38">
        <f>IF($A1589="","",IFERROR(IF(INDEX(Pledges!$D$5:$D$2500,MATCH($G1589,Pledges!$K$5:$K$2500,0))="","⚠ no amount on Pledges",IF(INDEX(Pledges!$B$5:$B$2500,MATCH($G1589,Pledges!$K$5:$K$2500,0))="","",INDEX(Pledges!$B$5:$B$2500,MATCH($G1589,Pledges!$K$5:$K$2500,0)))),"⚠ phone not in Pledges"))</f>
      </c>
      <c r="C1589" s="12"/>
      <c r="D1589" s="13"/>
      <c r="E1589" s="22"/>
      <c r="F1589" s="23"/>
      <c r="G1589">
        <f>IF($A1589="","","#"&amp;TRIM(SUBSTITUTE(SUBSTITUTE(SUBSTITUTE(SUBSTITUTE(SUBSTITUTE(SUBSTITUTE($A1589,"-",""),"(",""),")",""),".",""),"+","")," ","")))</f>
      </c>
    </row>
    <row r="1590" spans="1:7" x14ac:dyDescent="0.3">
      <c r="A1590" s="11"/>
      <c r="B1590" s="38">
        <f>IF($A1590="","",IFERROR(IF(INDEX(Pledges!$D$5:$D$2500,MATCH($G1590,Pledges!$K$5:$K$2500,0))="","⚠ no amount on Pledges",IF(INDEX(Pledges!$B$5:$B$2500,MATCH($G1590,Pledges!$K$5:$K$2500,0))="","",INDEX(Pledges!$B$5:$B$2500,MATCH($G1590,Pledges!$K$5:$K$2500,0)))),"⚠ phone not in Pledges"))</f>
      </c>
      <c r="C1590" s="12"/>
      <c r="D1590" s="13"/>
      <c r="E1590" s="22"/>
      <c r="F1590" s="23"/>
      <c r="G1590">
        <f>IF($A1590="","","#"&amp;TRIM(SUBSTITUTE(SUBSTITUTE(SUBSTITUTE(SUBSTITUTE(SUBSTITUTE(SUBSTITUTE($A1590,"-",""),"(",""),")",""),".",""),"+","")," ","")))</f>
      </c>
    </row>
    <row r="1591" spans="1:7" x14ac:dyDescent="0.3">
      <c r="A1591" s="11"/>
      <c r="B1591" s="38">
        <f>IF($A1591="","",IFERROR(IF(INDEX(Pledges!$D$5:$D$2500,MATCH($G1591,Pledges!$K$5:$K$2500,0))="","⚠ no amount on Pledges",IF(INDEX(Pledges!$B$5:$B$2500,MATCH($G1591,Pledges!$K$5:$K$2500,0))="","",INDEX(Pledges!$B$5:$B$2500,MATCH($G1591,Pledges!$K$5:$K$2500,0)))),"⚠ phone not in Pledges"))</f>
      </c>
      <c r="C1591" s="12"/>
      <c r="D1591" s="13"/>
      <c r="E1591" s="22"/>
      <c r="F1591" s="23"/>
      <c r="G1591">
        <f>IF($A1591="","","#"&amp;TRIM(SUBSTITUTE(SUBSTITUTE(SUBSTITUTE(SUBSTITUTE(SUBSTITUTE(SUBSTITUTE($A1591,"-",""),"(",""),")",""),".",""),"+","")," ","")))</f>
      </c>
    </row>
    <row r="1592" spans="1:7" x14ac:dyDescent="0.3">
      <c r="A1592" s="11"/>
      <c r="B1592" s="38">
        <f>IF($A1592="","",IFERROR(IF(INDEX(Pledges!$D$5:$D$2500,MATCH($G1592,Pledges!$K$5:$K$2500,0))="","⚠ no amount on Pledges",IF(INDEX(Pledges!$B$5:$B$2500,MATCH($G1592,Pledges!$K$5:$K$2500,0))="","",INDEX(Pledges!$B$5:$B$2500,MATCH($G1592,Pledges!$K$5:$K$2500,0)))),"⚠ phone not in Pledges"))</f>
      </c>
      <c r="C1592" s="12"/>
      <c r="D1592" s="13"/>
      <c r="E1592" s="22"/>
      <c r="F1592" s="23"/>
      <c r="G1592">
        <f>IF($A1592="","","#"&amp;TRIM(SUBSTITUTE(SUBSTITUTE(SUBSTITUTE(SUBSTITUTE(SUBSTITUTE(SUBSTITUTE($A1592,"-",""),"(",""),")",""),".",""),"+","")," ","")))</f>
      </c>
    </row>
    <row r="1593" spans="1:7" x14ac:dyDescent="0.3">
      <c r="A1593" s="11"/>
      <c r="B1593" s="38">
        <f>IF($A1593="","",IFERROR(IF(INDEX(Pledges!$D$5:$D$2500,MATCH($G1593,Pledges!$K$5:$K$2500,0))="","⚠ no amount on Pledges",IF(INDEX(Pledges!$B$5:$B$2500,MATCH($G1593,Pledges!$K$5:$K$2500,0))="","",INDEX(Pledges!$B$5:$B$2500,MATCH($G1593,Pledges!$K$5:$K$2500,0)))),"⚠ phone not in Pledges"))</f>
      </c>
      <c r="C1593" s="12"/>
      <c r="D1593" s="13"/>
      <c r="E1593" s="22"/>
      <c r="F1593" s="23"/>
      <c r="G1593">
        <f>IF($A1593="","","#"&amp;TRIM(SUBSTITUTE(SUBSTITUTE(SUBSTITUTE(SUBSTITUTE(SUBSTITUTE(SUBSTITUTE($A1593,"-",""),"(",""),")",""),".",""),"+","")," ","")))</f>
      </c>
    </row>
    <row r="1594" spans="1:7" x14ac:dyDescent="0.3">
      <c r="A1594" s="11"/>
      <c r="B1594" s="38">
        <f>IF($A1594="","",IFERROR(IF(INDEX(Pledges!$D$5:$D$2500,MATCH($G1594,Pledges!$K$5:$K$2500,0))="","⚠ no amount on Pledges",IF(INDEX(Pledges!$B$5:$B$2500,MATCH($G1594,Pledges!$K$5:$K$2500,0))="","",INDEX(Pledges!$B$5:$B$2500,MATCH($G1594,Pledges!$K$5:$K$2500,0)))),"⚠ phone not in Pledges"))</f>
      </c>
      <c r="C1594" s="12"/>
      <c r="D1594" s="13"/>
      <c r="E1594" s="22"/>
      <c r="F1594" s="23"/>
      <c r="G1594">
        <f>IF($A1594="","","#"&amp;TRIM(SUBSTITUTE(SUBSTITUTE(SUBSTITUTE(SUBSTITUTE(SUBSTITUTE(SUBSTITUTE($A1594,"-",""),"(",""),")",""),".",""),"+","")," ","")))</f>
      </c>
    </row>
    <row r="1595" spans="1:7" x14ac:dyDescent="0.3">
      <c r="A1595" s="11"/>
      <c r="B1595" s="38">
        <f>IF($A1595="","",IFERROR(IF(INDEX(Pledges!$D$5:$D$2500,MATCH($G1595,Pledges!$K$5:$K$2500,0))="","⚠ no amount on Pledges",IF(INDEX(Pledges!$B$5:$B$2500,MATCH($G1595,Pledges!$K$5:$K$2500,0))="","",INDEX(Pledges!$B$5:$B$2500,MATCH($G1595,Pledges!$K$5:$K$2500,0)))),"⚠ phone not in Pledges"))</f>
      </c>
      <c r="C1595" s="12"/>
      <c r="D1595" s="13"/>
      <c r="E1595" s="22"/>
      <c r="F1595" s="23"/>
      <c r="G1595">
        <f>IF($A1595="","","#"&amp;TRIM(SUBSTITUTE(SUBSTITUTE(SUBSTITUTE(SUBSTITUTE(SUBSTITUTE(SUBSTITUTE($A1595,"-",""),"(",""),")",""),".",""),"+","")," ","")))</f>
      </c>
    </row>
    <row r="1596" spans="1:7" x14ac:dyDescent="0.3">
      <c r="A1596" s="11"/>
      <c r="B1596" s="38">
        <f>IF($A1596="","",IFERROR(IF(INDEX(Pledges!$D$5:$D$2500,MATCH($G1596,Pledges!$K$5:$K$2500,0))="","⚠ no amount on Pledges",IF(INDEX(Pledges!$B$5:$B$2500,MATCH($G1596,Pledges!$K$5:$K$2500,0))="","",INDEX(Pledges!$B$5:$B$2500,MATCH($G1596,Pledges!$K$5:$K$2500,0)))),"⚠ phone not in Pledges"))</f>
      </c>
      <c r="C1596" s="12"/>
      <c r="D1596" s="13"/>
      <c r="E1596" s="22"/>
      <c r="F1596" s="23"/>
      <c r="G1596">
        <f>IF($A1596="","","#"&amp;TRIM(SUBSTITUTE(SUBSTITUTE(SUBSTITUTE(SUBSTITUTE(SUBSTITUTE(SUBSTITUTE($A1596,"-",""),"(",""),")",""),".",""),"+","")," ","")))</f>
      </c>
    </row>
    <row r="1597" spans="1:7" x14ac:dyDescent="0.3">
      <c r="A1597" s="11"/>
      <c r="B1597" s="38">
        <f>IF($A1597="","",IFERROR(IF(INDEX(Pledges!$D$5:$D$2500,MATCH($G1597,Pledges!$K$5:$K$2500,0))="","⚠ no amount on Pledges",IF(INDEX(Pledges!$B$5:$B$2500,MATCH($G1597,Pledges!$K$5:$K$2500,0))="","",INDEX(Pledges!$B$5:$B$2500,MATCH($G1597,Pledges!$K$5:$K$2500,0)))),"⚠ phone not in Pledges"))</f>
      </c>
      <c r="C1597" s="12"/>
      <c r="D1597" s="13"/>
      <c r="E1597" s="22"/>
      <c r="F1597" s="23"/>
      <c r="G1597">
        <f>IF($A1597="","","#"&amp;TRIM(SUBSTITUTE(SUBSTITUTE(SUBSTITUTE(SUBSTITUTE(SUBSTITUTE(SUBSTITUTE($A1597,"-",""),"(",""),")",""),".",""),"+","")," ","")))</f>
      </c>
    </row>
    <row r="1598" spans="1:7" x14ac:dyDescent="0.3">
      <c r="A1598" s="11"/>
      <c r="B1598" s="38">
        <f>IF($A1598="","",IFERROR(IF(INDEX(Pledges!$D$5:$D$2500,MATCH($G1598,Pledges!$K$5:$K$2500,0))="","⚠ no amount on Pledges",IF(INDEX(Pledges!$B$5:$B$2500,MATCH($G1598,Pledges!$K$5:$K$2500,0))="","",INDEX(Pledges!$B$5:$B$2500,MATCH($G1598,Pledges!$K$5:$K$2500,0)))),"⚠ phone not in Pledges"))</f>
      </c>
      <c r="C1598" s="12"/>
      <c r="D1598" s="13"/>
      <c r="E1598" s="22"/>
      <c r="F1598" s="23"/>
      <c r="G1598">
        <f>IF($A1598="","","#"&amp;TRIM(SUBSTITUTE(SUBSTITUTE(SUBSTITUTE(SUBSTITUTE(SUBSTITUTE(SUBSTITUTE($A1598,"-",""),"(",""),")",""),".",""),"+","")," ","")))</f>
      </c>
    </row>
    <row r="1599" spans="1:7" x14ac:dyDescent="0.3">
      <c r="A1599" s="11"/>
      <c r="B1599" s="38">
        <f>IF($A1599="","",IFERROR(IF(INDEX(Pledges!$D$5:$D$2500,MATCH($G1599,Pledges!$K$5:$K$2500,0))="","⚠ no amount on Pledges",IF(INDEX(Pledges!$B$5:$B$2500,MATCH($G1599,Pledges!$K$5:$K$2500,0))="","",INDEX(Pledges!$B$5:$B$2500,MATCH($G1599,Pledges!$K$5:$K$2500,0)))),"⚠ phone not in Pledges"))</f>
      </c>
      <c r="C1599" s="12"/>
      <c r="D1599" s="13"/>
      <c r="E1599" s="22"/>
      <c r="F1599" s="23"/>
      <c r="G1599">
        <f>IF($A1599="","","#"&amp;TRIM(SUBSTITUTE(SUBSTITUTE(SUBSTITUTE(SUBSTITUTE(SUBSTITUTE(SUBSTITUTE($A1599,"-",""),"(",""),")",""),".",""),"+","")," ","")))</f>
      </c>
    </row>
    <row r="1600" spans="1:7" x14ac:dyDescent="0.3">
      <c r="A1600" s="11"/>
      <c r="B1600" s="38">
        <f>IF($A1600="","",IFERROR(IF(INDEX(Pledges!$D$5:$D$2500,MATCH($G1600,Pledges!$K$5:$K$2500,0))="","⚠ no amount on Pledges",IF(INDEX(Pledges!$B$5:$B$2500,MATCH($G1600,Pledges!$K$5:$K$2500,0))="","",INDEX(Pledges!$B$5:$B$2500,MATCH($G1600,Pledges!$K$5:$K$2500,0)))),"⚠ phone not in Pledges"))</f>
      </c>
      <c r="C1600" s="12"/>
      <c r="D1600" s="13"/>
      <c r="E1600" s="22"/>
      <c r="F1600" s="23"/>
      <c r="G1600">
        <f>IF($A1600="","","#"&amp;TRIM(SUBSTITUTE(SUBSTITUTE(SUBSTITUTE(SUBSTITUTE(SUBSTITUTE(SUBSTITUTE($A1600,"-",""),"(",""),")",""),".",""),"+","")," ","")))</f>
      </c>
    </row>
    <row r="1601" spans="1:7" x14ac:dyDescent="0.3">
      <c r="A1601" s="11"/>
      <c r="B1601" s="38">
        <f>IF($A1601="","",IFERROR(IF(INDEX(Pledges!$D$5:$D$2500,MATCH($G1601,Pledges!$K$5:$K$2500,0))="","⚠ no amount on Pledges",IF(INDEX(Pledges!$B$5:$B$2500,MATCH($G1601,Pledges!$K$5:$K$2500,0))="","",INDEX(Pledges!$B$5:$B$2500,MATCH($G1601,Pledges!$K$5:$K$2500,0)))),"⚠ phone not in Pledges"))</f>
      </c>
      <c r="C1601" s="12"/>
      <c r="D1601" s="13"/>
      <c r="E1601" s="22"/>
      <c r="F1601" s="23"/>
      <c r="G1601">
        <f>IF($A1601="","","#"&amp;TRIM(SUBSTITUTE(SUBSTITUTE(SUBSTITUTE(SUBSTITUTE(SUBSTITUTE(SUBSTITUTE($A1601,"-",""),"(",""),")",""),".",""),"+","")," ","")))</f>
      </c>
    </row>
    <row r="1602" spans="1:7" x14ac:dyDescent="0.3">
      <c r="A1602" s="11"/>
      <c r="B1602" s="38">
        <f>IF($A1602="","",IFERROR(IF(INDEX(Pledges!$D$5:$D$2500,MATCH($G1602,Pledges!$K$5:$K$2500,0))="","⚠ no amount on Pledges",IF(INDEX(Pledges!$B$5:$B$2500,MATCH($G1602,Pledges!$K$5:$K$2500,0))="","",INDEX(Pledges!$B$5:$B$2500,MATCH($G1602,Pledges!$K$5:$K$2500,0)))),"⚠ phone not in Pledges"))</f>
      </c>
      <c r="C1602" s="12"/>
      <c r="D1602" s="13"/>
      <c r="E1602" s="22"/>
      <c r="F1602" s="23"/>
      <c r="G1602">
        <f>IF($A1602="","","#"&amp;TRIM(SUBSTITUTE(SUBSTITUTE(SUBSTITUTE(SUBSTITUTE(SUBSTITUTE(SUBSTITUTE($A1602,"-",""),"(",""),")",""),".",""),"+","")," ","")))</f>
      </c>
    </row>
    <row r="1603" spans="1:7" x14ac:dyDescent="0.3">
      <c r="A1603" s="11"/>
      <c r="B1603" s="38">
        <f>IF($A1603="","",IFERROR(IF(INDEX(Pledges!$D$5:$D$2500,MATCH($G1603,Pledges!$K$5:$K$2500,0))="","⚠ no amount on Pledges",IF(INDEX(Pledges!$B$5:$B$2500,MATCH($G1603,Pledges!$K$5:$K$2500,0))="","",INDEX(Pledges!$B$5:$B$2500,MATCH($G1603,Pledges!$K$5:$K$2500,0)))),"⚠ phone not in Pledges"))</f>
      </c>
      <c r="C1603" s="12"/>
      <c r="D1603" s="13"/>
      <c r="E1603" s="22"/>
      <c r="F1603" s="23"/>
      <c r="G1603">
        <f>IF($A1603="","","#"&amp;TRIM(SUBSTITUTE(SUBSTITUTE(SUBSTITUTE(SUBSTITUTE(SUBSTITUTE(SUBSTITUTE($A1603,"-",""),"(",""),")",""),".",""),"+","")," ","")))</f>
      </c>
    </row>
    <row r="1604" spans="1:7" x14ac:dyDescent="0.3">
      <c r="A1604" s="11"/>
      <c r="B1604" s="38">
        <f>IF($A1604="","",IFERROR(IF(INDEX(Pledges!$D$5:$D$2500,MATCH($G1604,Pledges!$K$5:$K$2500,0))="","⚠ no amount on Pledges",IF(INDEX(Pledges!$B$5:$B$2500,MATCH($G1604,Pledges!$K$5:$K$2500,0))="","",INDEX(Pledges!$B$5:$B$2500,MATCH($G1604,Pledges!$K$5:$K$2500,0)))),"⚠ phone not in Pledges"))</f>
      </c>
      <c r="C1604" s="12"/>
      <c r="D1604" s="13"/>
      <c r="E1604" s="22"/>
      <c r="F1604" s="23"/>
      <c r="G1604">
        <f>IF($A1604="","","#"&amp;TRIM(SUBSTITUTE(SUBSTITUTE(SUBSTITUTE(SUBSTITUTE(SUBSTITUTE(SUBSTITUTE($A1604,"-",""),"(",""),")",""),".",""),"+","")," ","")))</f>
      </c>
    </row>
    <row r="1605" spans="1:7" x14ac:dyDescent="0.3">
      <c r="A1605" s="11"/>
      <c r="B1605" s="38">
        <f>IF($A1605="","",IFERROR(IF(INDEX(Pledges!$D$5:$D$2500,MATCH($G1605,Pledges!$K$5:$K$2500,0))="","⚠ no amount on Pledges",IF(INDEX(Pledges!$B$5:$B$2500,MATCH($G1605,Pledges!$K$5:$K$2500,0))="","",INDEX(Pledges!$B$5:$B$2500,MATCH($G1605,Pledges!$K$5:$K$2500,0)))),"⚠ phone not in Pledges"))</f>
      </c>
      <c r="C1605" s="12"/>
      <c r="D1605" s="13"/>
      <c r="E1605" s="22"/>
      <c r="F1605" s="23"/>
      <c r="G1605">
        <f>IF($A1605="","","#"&amp;TRIM(SUBSTITUTE(SUBSTITUTE(SUBSTITUTE(SUBSTITUTE(SUBSTITUTE(SUBSTITUTE($A1605,"-",""),"(",""),")",""),".",""),"+","")," ","")))</f>
      </c>
    </row>
    <row r="1606" spans="1:7" x14ac:dyDescent="0.3">
      <c r="A1606" s="11"/>
      <c r="B1606" s="38">
        <f>IF($A1606="","",IFERROR(IF(INDEX(Pledges!$D$5:$D$2500,MATCH($G1606,Pledges!$K$5:$K$2500,0))="","⚠ no amount on Pledges",IF(INDEX(Pledges!$B$5:$B$2500,MATCH($G1606,Pledges!$K$5:$K$2500,0))="","",INDEX(Pledges!$B$5:$B$2500,MATCH($G1606,Pledges!$K$5:$K$2500,0)))),"⚠ phone not in Pledges"))</f>
      </c>
      <c r="C1606" s="12"/>
      <c r="D1606" s="13"/>
      <c r="E1606" s="22"/>
      <c r="F1606" s="23"/>
      <c r="G1606">
        <f>IF($A1606="","","#"&amp;TRIM(SUBSTITUTE(SUBSTITUTE(SUBSTITUTE(SUBSTITUTE(SUBSTITUTE(SUBSTITUTE($A1606,"-",""),"(",""),")",""),".",""),"+","")," ","")))</f>
      </c>
    </row>
    <row r="1607" spans="1:7" x14ac:dyDescent="0.3">
      <c r="A1607" s="11"/>
      <c r="B1607" s="38">
        <f>IF($A1607="","",IFERROR(IF(INDEX(Pledges!$D$5:$D$2500,MATCH($G1607,Pledges!$K$5:$K$2500,0))="","⚠ no amount on Pledges",IF(INDEX(Pledges!$B$5:$B$2500,MATCH($G1607,Pledges!$K$5:$K$2500,0))="","",INDEX(Pledges!$B$5:$B$2500,MATCH($G1607,Pledges!$K$5:$K$2500,0)))),"⚠ phone not in Pledges"))</f>
      </c>
      <c r="C1607" s="12"/>
      <c r="D1607" s="13"/>
      <c r="E1607" s="22"/>
      <c r="F1607" s="23"/>
      <c r="G1607">
        <f>IF($A1607="","","#"&amp;TRIM(SUBSTITUTE(SUBSTITUTE(SUBSTITUTE(SUBSTITUTE(SUBSTITUTE(SUBSTITUTE($A1607,"-",""),"(",""),")",""),".",""),"+","")," ","")))</f>
      </c>
    </row>
    <row r="1608" spans="1:7" x14ac:dyDescent="0.3">
      <c r="A1608" s="11"/>
      <c r="B1608" s="38">
        <f>IF($A1608="","",IFERROR(IF(INDEX(Pledges!$D$5:$D$2500,MATCH($G1608,Pledges!$K$5:$K$2500,0))="","⚠ no amount on Pledges",IF(INDEX(Pledges!$B$5:$B$2500,MATCH($G1608,Pledges!$K$5:$K$2500,0))="","",INDEX(Pledges!$B$5:$B$2500,MATCH($G1608,Pledges!$K$5:$K$2500,0)))),"⚠ phone not in Pledges"))</f>
      </c>
      <c r="C1608" s="12"/>
      <c r="D1608" s="13"/>
      <c r="E1608" s="22"/>
      <c r="F1608" s="23"/>
      <c r="G1608">
        <f>IF($A1608="","","#"&amp;TRIM(SUBSTITUTE(SUBSTITUTE(SUBSTITUTE(SUBSTITUTE(SUBSTITUTE(SUBSTITUTE($A1608,"-",""),"(",""),")",""),".",""),"+","")," ","")))</f>
      </c>
    </row>
    <row r="1609" spans="1:7" x14ac:dyDescent="0.3">
      <c r="A1609" s="11"/>
      <c r="B1609" s="38">
        <f>IF($A1609="","",IFERROR(IF(INDEX(Pledges!$D$5:$D$2500,MATCH($G1609,Pledges!$K$5:$K$2500,0))="","⚠ no amount on Pledges",IF(INDEX(Pledges!$B$5:$B$2500,MATCH($G1609,Pledges!$K$5:$K$2500,0))="","",INDEX(Pledges!$B$5:$B$2500,MATCH($G1609,Pledges!$K$5:$K$2500,0)))),"⚠ phone not in Pledges"))</f>
      </c>
      <c r="C1609" s="12"/>
      <c r="D1609" s="13"/>
      <c r="E1609" s="22"/>
      <c r="F1609" s="23"/>
      <c r="G1609">
        <f>IF($A1609="","","#"&amp;TRIM(SUBSTITUTE(SUBSTITUTE(SUBSTITUTE(SUBSTITUTE(SUBSTITUTE(SUBSTITUTE($A1609,"-",""),"(",""),")",""),".",""),"+","")," ","")))</f>
      </c>
    </row>
    <row r="1610" spans="1:7" x14ac:dyDescent="0.3">
      <c r="A1610" s="11"/>
      <c r="B1610" s="38">
        <f>IF($A1610="","",IFERROR(IF(INDEX(Pledges!$D$5:$D$2500,MATCH($G1610,Pledges!$K$5:$K$2500,0))="","⚠ no amount on Pledges",IF(INDEX(Pledges!$B$5:$B$2500,MATCH($G1610,Pledges!$K$5:$K$2500,0))="","",INDEX(Pledges!$B$5:$B$2500,MATCH($G1610,Pledges!$K$5:$K$2500,0)))),"⚠ phone not in Pledges"))</f>
      </c>
      <c r="C1610" s="12"/>
      <c r="D1610" s="13"/>
      <c r="E1610" s="22"/>
      <c r="F1610" s="23"/>
      <c r="G1610">
        <f>IF($A1610="","","#"&amp;TRIM(SUBSTITUTE(SUBSTITUTE(SUBSTITUTE(SUBSTITUTE(SUBSTITUTE(SUBSTITUTE($A1610,"-",""),"(",""),")",""),".",""),"+","")," ","")))</f>
      </c>
    </row>
    <row r="1611" spans="1:7" x14ac:dyDescent="0.3">
      <c r="A1611" s="11"/>
      <c r="B1611" s="38">
        <f>IF($A1611="","",IFERROR(IF(INDEX(Pledges!$D$5:$D$2500,MATCH($G1611,Pledges!$K$5:$K$2500,0))="","⚠ no amount on Pledges",IF(INDEX(Pledges!$B$5:$B$2500,MATCH($G1611,Pledges!$K$5:$K$2500,0))="","",INDEX(Pledges!$B$5:$B$2500,MATCH($G1611,Pledges!$K$5:$K$2500,0)))),"⚠ phone not in Pledges"))</f>
      </c>
      <c r="C1611" s="12"/>
      <c r="D1611" s="13"/>
      <c r="E1611" s="22"/>
      <c r="F1611" s="23"/>
      <c r="G1611">
        <f>IF($A1611="","","#"&amp;TRIM(SUBSTITUTE(SUBSTITUTE(SUBSTITUTE(SUBSTITUTE(SUBSTITUTE(SUBSTITUTE($A1611,"-",""),"(",""),")",""),".",""),"+","")," ","")))</f>
      </c>
    </row>
    <row r="1612" spans="1:7" x14ac:dyDescent="0.3">
      <c r="A1612" s="11"/>
      <c r="B1612" s="38">
        <f>IF($A1612="","",IFERROR(IF(INDEX(Pledges!$D$5:$D$2500,MATCH($G1612,Pledges!$K$5:$K$2500,0))="","⚠ no amount on Pledges",IF(INDEX(Pledges!$B$5:$B$2500,MATCH($G1612,Pledges!$K$5:$K$2500,0))="","",INDEX(Pledges!$B$5:$B$2500,MATCH($G1612,Pledges!$K$5:$K$2500,0)))),"⚠ phone not in Pledges"))</f>
      </c>
      <c r="C1612" s="12"/>
      <c r="D1612" s="13"/>
      <c r="E1612" s="22"/>
      <c r="F1612" s="23"/>
      <c r="G1612">
        <f>IF($A1612="","","#"&amp;TRIM(SUBSTITUTE(SUBSTITUTE(SUBSTITUTE(SUBSTITUTE(SUBSTITUTE(SUBSTITUTE($A1612,"-",""),"(",""),")",""),".",""),"+","")," ","")))</f>
      </c>
    </row>
    <row r="1613" spans="1:7" x14ac:dyDescent="0.3">
      <c r="A1613" s="11"/>
      <c r="B1613" s="38">
        <f>IF($A1613="","",IFERROR(IF(INDEX(Pledges!$D$5:$D$2500,MATCH($G1613,Pledges!$K$5:$K$2500,0))="","⚠ no amount on Pledges",IF(INDEX(Pledges!$B$5:$B$2500,MATCH($G1613,Pledges!$K$5:$K$2500,0))="","",INDEX(Pledges!$B$5:$B$2500,MATCH($G1613,Pledges!$K$5:$K$2500,0)))),"⚠ phone not in Pledges"))</f>
      </c>
      <c r="C1613" s="12"/>
      <c r="D1613" s="13"/>
      <c r="E1613" s="22"/>
      <c r="F1613" s="23"/>
      <c r="G1613">
        <f>IF($A1613="","","#"&amp;TRIM(SUBSTITUTE(SUBSTITUTE(SUBSTITUTE(SUBSTITUTE(SUBSTITUTE(SUBSTITUTE($A1613,"-",""),"(",""),")",""),".",""),"+","")," ","")))</f>
      </c>
    </row>
    <row r="1614" spans="1:7" x14ac:dyDescent="0.3">
      <c r="A1614" s="11"/>
      <c r="B1614" s="38">
        <f>IF($A1614="","",IFERROR(IF(INDEX(Pledges!$D$5:$D$2500,MATCH($G1614,Pledges!$K$5:$K$2500,0))="","⚠ no amount on Pledges",IF(INDEX(Pledges!$B$5:$B$2500,MATCH($G1614,Pledges!$K$5:$K$2500,0))="","",INDEX(Pledges!$B$5:$B$2500,MATCH($G1614,Pledges!$K$5:$K$2500,0)))),"⚠ phone not in Pledges"))</f>
      </c>
      <c r="C1614" s="12"/>
      <c r="D1614" s="13"/>
      <c r="E1614" s="22"/>
      <c r="F1614" s="23"/>
      <c r="G1614">
        <f>IF($A1614="","","#"&amp;TRIM(SUBSTITUTE(SUBSTITUTE(SUBSTITUTE(SUBSTITUTE(SUBSTITUTE(SUBSTITUTE($A1614,"-",""),"(",""),")",""),".",""),"+","")," ","")))</f>
      </c>
    </row>
    <row r="1615" spans="1:7" x14ac:dyDescent="0.3">
      <c r="A1615" s="11"/>
      <c r="B1615" s="38">
        <f>IF($A1615="","",IFERROR(IF(INDEX(Pledges!$D$5:$D$2500,MATCH($G1615,Pledges!$K$5:$K$2500,0))="","⚠ no amount on Pledges",IF(INDEX(Pledges!$B$5:$B$2500,MATCH($G1615,Pledges!$K$5:$K$2500,0))="","",INDEX(Pledges!$B$5:$B$2500,MATCH($G1615,Pledges!$K$5:$K$2500,0)))),"⚠ phone not in Pledges"))</f>
      </c>
      <c r="C1615" s="12"/>
      <c r="D1615" s="13"/>
      <c r="E1615" s="22"/>
      <c r="F1615" s="23"/>
      <c r="G1615">
        <f>IF($A1615="","","#"&amp;TRIM(SUBSTITUTE(SUBSTITUTE(SUBSTITUTE(SUBSTITUTE(SUBSTITUTE(SUBSTITUTE($A1615,"-",""),"(",""),")",""),".",""),"+","")," ","")))</f>
      </c>
    </row>
    <row r="1616" spans="1:7" x14ac:dyDescent="0.3">
      <c r="A1616" s="11"/>
      <c r="B1616" s="38">
        <f>IF($A1616="","",IFERROR(IF(INDEX(Pledges!$D$5:$D$2500,MATCH($G1616,Pledges!$K$5:$K$2500,0))="","⚠ no amount on Pledges",IF(INDEX(Pledges!$B$5:$B$2500,MATCH($G1616,Pledges!$K$5:$K$2500,0))="","",INDEX(Pledges!$B$5:$B$2500,MATCH($G1616,Pledges!$K$5:$K$2500,0)))),"⚠ phone not in Pledges"))</f>
      </c>
      <c r="C1616" s="12"/>
      <c r="D1616" s="13"/>
      <c r="E1616" s="22"/>
      <c r="F1616" s="23"/>
      <c r="G1616">
        <f>IF($A1616="","","#"&amp;TRIM(SUBSTITUTE(SUBSTITUTE(SUBSTITUTE(SUBSTITUTE(SUBSTITUTE(SUBSTITUTE($A1616,"-",""),"(",""),")",""),".",""),"+","")," ","")))</f>
      </c>
    </row>
    <row r="1617" spans="1:7" x14ac:dyDescent="0.3">
      <c r="A1617" s="11"/>
      <c r="B1617" s="38">
        <f>IF($A1617="","",IFERROR(IF(INDEX(Pledges!$D$5:$D$2500,MATCH($G1617,Pledges!$K$5:$K$2500,0))="","⚠ no amount on Pledges",IF(INDEX(Pledges!$B$5:$B$2500,MATCH($G1617,Pledges!$K$5:$K$2500,0))="","",INDEX(Pledges!$B$5:$B$2500,MATCH($G1617,Pledges!$K$5:$K$2500,0)))),"⚠ phone not in Pledges"))</f>
      </c>
      <c r="C1617" s="12"/>
      <c r="D1617" s="13"/>
      <c r="E1617" s="22"/>
      <c r="F1617" s="23"/>
      <c r="G1617">
        <f>IF($A1617="","","#"&amp;TRIM(SUBSTITUTE(SUBSTITUTE(SUBSTITUTE(SUBSTITUTE(SUBSTITUTE(SUBSTITUTE($A1617,"-",""),"(",""),")",""),".",""),"+","")," ","")))</f>
      </c>
    </row>
    <row r="1618" spans="1:7" x14ac:dyDescent="0.3">
      <c r="A1618" s="11"/>
      <c r="B1618" s="38">
        <f>IF($A1618="","",IFERROR(IF(INDEX(Pledges!$D$5:$D$2500,MATCH($G1618,Pledges!$K$5:$K$2500,0))="","⚠ no amount on Pledges",IF(INDEX(Pledges!$B$5:$B$2500,MATCH($G1618,Pledges!$K$5:$K$2500,0))="","",INDEX(Pledges!$B$5:$B$2500,MATCH($G1618,Pledges!$K$5:$K$2500,0)))),"⚠ phone not in Pledges"))</f>
      </c>
      <c r="C1618" s="12"/>
      <c r="D1618" s="13"/>
      <c r="E1618" s="22"/>
      <c r="F1618" s="23"/>
      <c r="G1618">
        <f>IF($A1618="","","#"&amp;TRIM(SUBSTITUTE(SUBSTITUTE(SUBSTITUTE(SUBSTITUTE(SUBSTITUTE(SUBSTITUTE($A1618,"-",""),"(",""),")",""),".",""),"+","")," ","")))</f>
      </c>
    </row>
    <row r="1619" spans="1:7" x14ac:dyDescent="0.3">
      <c r="A1619" s="11"/>
      <c r="B1619" s="38">
        <f>IF($A1619="","",IFERROR(IF(INDEX(Pledges!$D$5:$D$2500,MATCH($G1619,Pledges!$K$5:$K$2500,0))="","⚠ no amount on Pledges",IF(INDEX(Pledges!$B$5:$B$2500,MATCH($G1619,Pledges!$K$5:$K$2500,0))="","",INDEX(Pledges!$B$5:$B$2500,MATCH($G1619,Pledges!$K$5:$K$2500,0)))),"⚠ phone not in Pledges"))</f>
      </c>
      <c r="C1619" s="12"/>
      <c r="D1619" s="13"/>
      <c r="E1619" s="22"/>
      <c r="F1619" s="23"/>
      <c r="G1619">
        <f>IF($A1619="","","#"&amp;TRIM(SUBSTITUTE(SUBSTITUTE(SUBSTITUTE(SUBSTITUTE(SUBSTITUTE(SUBSTITUTE($A1619,"-",""),"(",""),")",""),".",""),"+","")," ","")))</f>
      </c>
    </row>
    <row r="1620" spans="1:7" x14ac:dyDescent="0.3">
      <c r="A1620" s="11"/>
      <c r="B1620" s="38">
        <f>IF($A1620="","",IFERROR(IF(INDEX(Pledges!$D$5:$D$2500,MATCH($G1620,Pledges!$K$5:$K$2500,0))="","⚠ no amount on Pledges",IF(INDEX(Pledges!$B$5:$B$2500,MATCH($G1620,Pledges!$K$5:$K$2500,0))="","",INDEX(Pledges!$B$5:$B$2500,MATCH($G1620,Pledges!$K$5:$K$2500,0)))),"⚠ phone not in Pledges"))</f>
      </c>
      <c r="C1620" s="12"/>
      <c r="D1620" s="13"/>
      <c r="E1620" s="22"/>
      <c r="F1620" s="23"/>
      <c r="G1620">
        <f>IF($A1620="","","#"&amp;TRIM(SUBSTITUTE(SUBSTITUTE(SUBSTITUTE(SUBSTITUTE(SUBSTITUTE(SUBSTITUTE($A1620,"-",""),"(",""),")",""),".",""),"+","")," ","")))</f>
      </c>
    </row>
    <row r="1621" spans="1:7" x14ac:dyDescent="0.3">
      <c r="A1621" s="11"/>
      <c r="B1621" s="38">
        <f>IF($A1621="","",IFERROR(IF(INDEX(Pledges!$D$5:$D$2500,MATCH($G1621,Pledges!$K$5:$K$2500,0))="","⚠ no amount on Pledges",IF(INDEX(Pledges!$B$5:$B$2500,MATCH($G1621,Pledges!$K$5:$K$2500,0))="","",INDEX(Pledges!$B$5:$B$2500,MATCH($G1621,Pledges!$K$5:$K$2500,0)))),"⚠ phone not in Pledges"))</f>
      </c>
      <c r="C1621" s="12"/>
      <c r="D1621" s="13"/>
      <c r="E1621" s="22"/>
      <c r="F1621" s="23"/>
      <c r="G1621">
        <f>IF($A1621="","","#"&amp;TRIM(SUBSTITUTE(SUBSTITUTE(SUBSTITUTE(SUBSTITUTE(SUBSTITUTE(SUBSTITUTE($A1621,"-",""),"(",""),")",""),".",""),"+","")," ","")))</f>
      </c>
    </row>
    <row r="1622" spans="1:7" x14ac:dyDescent="0.3">
      <c r="A1622" s="11"/>
      <c r="B1622" s="38">
        <f>IF($A1622="","",IFERROR(IF(INDEX(Pledges!$D$5:$D$2500,MATCH($G1622,Pledges!$K$5:$K$2500,0))="","⚠ no amount on Pledges",IF(INDEX(Pledges!$B$5:$B$2500,MATCH($G1622,Pledges!$K$5:$K$2500,0))="","",INDEX(Pledges!$B$5:$B$2500,MATCH($G1622,Pledges!$K$5:$K$2500,0)))),"⚠ phone not in Pledges"))</f>
      </c>
      <c r="C1622" s="12"/>
      <c r="D1622" s="13"/>
      <c r="E1622" s="22"/>
      <c r="F1622" s="23"/>
      <c r="G1622">
        <f>IF($A1622="","","#"&amp;TRIM(SUBSTITUTE(SUBSTITUTE(SUBSTITUTE(SUBSTITUTE(SUBSTITUTE(SUBSTITUTE($A1622,"-",""),"(",""),")",""),".",""),"+","")," ","")))</f>
      </c>
    </row>
    <row r="1623" spans="1:7" x14ac:dyDescent="0.3">
      <c r="A1623" s="11"/>
      <c r="B1623" s="38">
        <f>IF($A1623="","",IFERROR(IF(INDEX(Pledges!$D$5:$D$2500,MATCH($G1623,Pledges!$K$5:$K$2500,0))="","⚠ no amount on Pledges",IF(INDEX(Pledges!$B$5:$B$2500,MATCH($G1623,Pledges!$K$5:$K$2500,0))="","",INDEX(Pledges!$B$5:$B$2500,MATCH($G1623,Pledges!$K$5:$K$2500,0)))),"⚠ phone not in Pledges"))</f>
      </c>
      <c r="C1623" s="12"/>
      <c r="D1623" s="13"/>
      <c r="E1623" s="22"/>
      <c r="F1623" s="23"/>
      <c r="G1623">
        <f>IF($A1623="","","#"&amp;TRIM(SUBSTITUTE(SUBSTITUTE(SUBSTITUTE(SUBSTITUTE(SUBSTITUTE(SUBSTITUTE($A1623,"-",""),"(",""),")",""),".",""),"+","")," ","")))</f>
      </c>
    </row>
    <row r="1624" spans="1:7" x14ac:dyDescent="0.3">
      <c r="A1624" s="11"/>
      <c r="B1624" s="38">
        <f>IF($A1624="","",IFERROR(IF(INDEX(Pledges!$D$5:$D$2500,MATCH($G1624,Pledges!$K$5:$K$2500,0))="","⚠ no amount on Pledges",IF(INDEX(Pledges!$B$5:$B$2500,MATCH($G1624,Pledges!$K$5:$K$2500,0))="","",INDEX(Pledges!$B$5:$B$2500,MATCH($G1624,Pledges!$K$5:$K$2500,0)))),"⚠ phone not in Pledges"))</f>
      </c>
      <c r="C1624" s="12"/>
      <c r="D1624" s="13"/>
      <c r="E1624" s="22"/>
      <c r="F1624" s="23"/>
      <c r="G1624">
        <f>IF($A1624="","","#"&amp;TRIM(SUBSTITUTE(SUBSTITUTE(SUBSTITUTE(SUBSTITUTE(SUBSTITUTE(SUBSTITUTE($A1624,"-",""),"(",""),")",""),".",""),"+","")," ","")))</f>
      </c>
    </row>
    <row r="1625" spans="1:7" x14ac:dyDescent="0.3">
      <c r="A1625" s="11"/>
      <c r="B1625" s="38">
        <f>IF($A1625="","",IFERROR(IF(INDEX(Pledges!$D$5:$D$2500,MATCH($G1625,Pledges!$K$5:$K$2500,0))="","⚠ no amount on Pledges",IF(INDEX(Pledges!$B$5:$B$2500,MATCH($G1625,Pledges!$K$5:$K$2500,0))="","",INDEX(Pledges!$B$5:$B$2500,MATCH($G1625,Pledges!$K$5:$K$2500,0)))),"⚠ phone not in Pledges"))</f>
      </c>
      <c r="C1625" s="12"/>
      <c r="D1625" s="13"/>
      <c r="E1625" s="22"/>
      <c r="F1625" s="23"/>
      <c r="G1625">
        <f>IF($A1625="","","#"&amp;TRIM(SUBSTITUTE(SUBSTITUTE(SUBSTITUTE(SUBSTITUTE(SUBSTITUTE(SUBSTITUTE($A1625,"-",""),"(",""),")",""),".",""),"+","")," ","")))</f>
      </c>
    </row>
    <row r="1626" spans="1:7" x14ac:dyDescent="0.3">
      <c r="A1626" s="11"/>
      <c r="B1626" s="38">
        <f>IF($A1626="","",IFERROR(IF(INDEX(Pledges!$D$5:$D$2500,MATCH($G1626,Pledges!$K$5:$K$2500,0))="","⚠ no amount on Pledges",IF(INDEX(Pledges!$B$5:$B$2500,MATCH($G1626,Pledges!$K$5:$K$2500,0))="","",INDEX(Pledges!$B$5:$B$2500,MATCH($G1626,Pledges!$K$5:$K$2500,0)))),"⚠ phone not in Pledges"))</f>
      </c>
      <c r="C1626" s="12"/>
      <c r="D1626" s="13"/>
      <c r="E1626" s="22"/>
      <c r="F1626" s="23"/>
      <c r="G1626">
        <f>IF($A1626="","","#"&amp;TRIM(SUBSTITUTE(SUBSTITUTE(SUBSTITUTE(SUBSTITUTE(SUBSTITUTE(SUBSTITUTE($A1626,"-",""),"(",""),")",""),".",""),"+","")," ","")))</f>
      </c>
    </row>
    <row r="1627" spans="1:7" x14ac:dyDescent="0.3">
      <c r="A1627" s="11"/>
      <c r="B1627" s="38">
        <f>IF($A1627="","",IFERROR(IF(INDEX(Pledges!$D$5:$D$2500,MATCH($G1627,Pledges!$K$5:$K$2500,0))="","⚠ no amount on Pledges",IF(INDEX(Pledges!$B$5:$B$2500,MATCH($G1627,Pledges!$K$5:$K$2500,0))="","",INDEX(Pledges!$B$5:$B$2500,MATCH($G1627,Pledges!$K$5:$K$2500,0)))),"⚠ phone not in Pledges"))</f>
      </c>
      <c r="C1627" s="12"/>
      <c r="D1627" s="13"/>
      <c r="E1627" s="22"/>
      <c r="F1627" s="23"/>
      <c r="G1627">
        <f>IF($A1627="","","#"&amp;TRIM(SUBSTITUTE(SUBSTITUTE(SUBSTITUTE(SUBSTITUTE(SUBSTITUTE(SUBSTITUTE($A1627,"-",""),"(",""),")",""),".",""),"+","")," ","")))</f>
      </c>
    </row>
    <row r="1628" spans="1:7" x14ac:dyDescent="0.3">
      <c r="A1628" s="11"/>
      <c r="B1628" s="38">
        <f>IF($A1628="","",IFERROR(IF(INDEX(Pledges!$D$5:$D$2500,MATCH($G1628,Pledges!$K$5:$K$2500,0))="","⚠ no amount on Pledges",IF(INDEX(Pledges!$B$5:$B$2500,MATCH($G1628,Pledges!$K$5:$K$2500,0))="","",INDEX(Pledges!$B$5:$B$2500,MATCH($G1628,Pledges!$K$5:$K$2500,0)))),"⚠ phone not in Pledges"))</f>
      </c>
      <c r="C1628" s="12"/>
      <c r="D1628" s="13"/>
      <c r="E1628" s="22"/>
      <c r="F1628" s="23"/>
      <c r="G1628">
        <f>IF($A1628="","","#"&amp;TRIM(SUBSTITUTE(SUBSTITUTE(SUBSTITUTE(SUBSTITUTE(SUBSTITUTE(SUBSTITUTE($A1628,"-",""),"(",""),")",""),".",""),"+","")," ","")))</f>
      </c>
    </row>
    <row r="1629" spans="1:7" x14ac:dyDescent="0.3">
      <c r="A1629" s="11"/>
      <c r="B1629" s="38">
        <f>IF($A1629="","",IFERROR(IF(INDEX(Pledges!$D$5:$D$2500,MATCH($G1629,Pledges!$K$5:$K$2500,0))="","⚠ no amount on Pledges",IF(INDEX(Pledges!$B$5:$B$2500,MATCH($G1629,Pledges!$K$5:$K$2500,0))="","",INDEX(Pledges!$B$5:$B$2500,MATCH($G1629,Pledges!$K$5:$K$2500,0)))),"⚠ phone not in Pledges"))</f>
      </c>
      <c r="C1629" s="12"/>
      <c r="D1629" s="13"/>
      <c r="E1629" s="22"/>
      <c r="F1629" s="23"/>
      <c r="G1629">
        <f>IF($A1629="","","#"&amp;TRIM(SUBSTITUTE(SUBSTITUTE(SUBSTITUTE(SUBSTITUTE(SUBSTITUTE(SUBSTITUTE($A1629,"-",""),"(",""),")",""),".",""),"+","")," ","")))</f>
      </c>
    </row>
    <row r="1630" spans="1:7" x14ac:dyDescent="0.3">
      <c r="A1630" s="11"/>
      <c r="B1630" s="38">
        <f>IF($A1630="","",IFERROR(IF(INDEX(Pledges!$D$5:$D$2500,MATCH($G1630,Pledges!$K$5:$K$2500,0))="","⚠ no amount on Pledges",IF(INDEX(Pledges!$B$5:$B$2500,MATCH($G1630,Pledges!$K$5:$K$2500,0))="","",INDEX(Pledges!$B$5:$B$2500,MATCH($G1630,Pledges!$K$5:$K$2500,0)))),"⚠ phone not in Pledges"))</f>
      </c>
      <c r="C1630" s="12"/>
      <c r="D1630" s="13"/>
      <c r="E1630" s="22"/>
      <c r="F1630" s="23"/>
      <c r="G1630">
        <f>IF($A1630="","","#"&amp;TRIM(SUBSTITUTE(SUBSTITUTE(SUBSTITUTE(SUBSTITUTE(SUBSTITUTE(SUBSTITUTE($A1630,"-",""),"(",""),")",""),".",""),"+","")," ","")))</f>
      </c>
    </row>
    <row r="1631" spans="1:7" x14ac:dyDescent="0.3">
      <c r="A1631" s="11"/>
      <c r="B1631" s="38">
        <f>IF($A1631="","",IFERROR(IF(INDEX(Pledges!$D$5:$D$2500,MATCH($G1631,Pledges!$K$5:$K$2500,0))="","⚠ no amount on Pledges",IF(INDEX(Pledges!$B$5:$B$2500,MATCH($G1631,Pledges!$K$5:$K$2500,0))="","",INDEX(Pledges!$B$5:$B$2500,MATCH($G1631,Pledges!$K$5:$K$2500,0)))),"⚠ phone not in Pledges"))</f>
      </c>
      <c r="C1631" s="12"/>
      <c r="D1631" s="13"/>
      <c r="E1631" s="22"/>
      <c r="F1631" s="23"/>
      <c r="G1631">
        <f>IF($A1631="","","#"&amp;TRIM(SUBSTITUTE(SUBSTITUTE(SUBSTITUTE(SUBSTITUTE(SUBSTITUTE(SUBSTITUTE($A1631,"-",""),"(",""),")",""),".",""),"+","")," ","")))</f>
      </c>
    </row>
    <row r="1632" spans="1:7" x14ac:dyDescent="0.3">
      <c r="A1632" s="11"/>
      <c r="B1632" s="38">
        <f>IF($A1632="","",IFERROR(IF(INDEX(Pledges!$D$5:$D$2500,MATCH($G1632,Pledges!$K$5:$K$2500,0))="","⚠ no amount on Pledges",IF(INDEX(Pledges!$B$5:$B$2500,MATCH($G1632,Pledges!$K$5:$K$2500,0))="","",INDEX(Pledges!$B$5:$B$2500,MATCH($G1632,Pledges!$K$5:$K$2500,0)))),"⚠ phone not in Pledges"))</f>
      </c>
      <c r="C1632" s="12"/>
      <c r="D1632" s="13"/>
      <c r="E1632" s="22"/>
      <c r="F1632" s="23"/>
      <c r="G1632">
        <f>IF($A1632="","","#"&amp;TRIM(SUBSTITUTE(SUBSTITUTE(SUBSTITUTE(SUBSTITUTE(SUBSTITUTE(SUBSTITUTE($A1632,"-",""),"(",""),")",""),".",""),"+","")," ","")))</f>
      </c>
    </row>
    <row r="1633" spans="1:7" x14ac:dyDescent="0.3">
      <c r="A1633" s="11"/>
      <c r="B1633" s="38">
        <f>IF($A1633="","",IFERROR(IF(INDEX(Pledges!$D$5:$D$2500,MATCH($G1633,Pledges!$K$5:$K$2500,0))="","⚠ no amount on Pledges",IF(INDEX(Pledges!$B$5:$B$2500,MATCH($G1633,Pledges!$K$5:$K$2500,0))="","",INDEX(Pledges!$B$5:$B$2500,MATCH($G1633,Pledges!$K$5:$K$2500,0)))),"⚠ phone not in Pledges"))</f>
      </c>
      <c r="C1633" s="12"/>
      <c r="D1633" s="13"/>
      <c r="E1633" s="22"/>
      <c r="F1633" s="23"/>
      <c r="G1633">
        <f>IF($A1633="","","#"&amp;TRIM(SUBSTITUTE(SUBSTITUTE(SUBSTITUTE(SUBSTITUTE(SUBSTITUTE(SUBSTITUTE($A1633,"-",""),"(",""),")",""),".",""),"+","")," ","")))</f>
      </c>
    </row>
    <row r="1634" spans="1:7" x14ac:dyDescent="0.3">
      <c r="A1634" s="11"/>
      <c r="B1634" s="38">
        <f>IF($A1634="","",IFERROR(IF(INDEX(Pledges!$D$5:$D$2500,MATCH($G1634,Pledges!$K$5:$K$2500,0))="","⚠ no amount on Pledges",IF(INDEX(Pledges!$B$5:$B$2500,MATCH($G1634,Pledges!$K$5:$K$2500,0))="","",INDEX(Pledges!$B$5:$B$2500,MATCH($G1634,Pledges!$K$5:$K$2500,0)))),"⚠ phone not in Pledges"))</f>
      </c>
      <c r="C1634" s="12"/>
      <c r="D1634" s="13"/>
      <c r="E1634" s="22"/>
      <c r="F1634" s="23"/>
      <c r="G1634">
        <f>IF($A1634="","","#"&amp;TRIM(SUBSTITUTE(SUBSTITUTE(SUBSTITUTE(SUBSTITUTE(SUBSTITUTE(SUBSTITUTE($A1634,"-",""),"(",""),")",""),".",""),"+","")," ","")))</f>
      </c>
    </row>
    <row r="1635" spans="1:7" x14ac:dyDescent="0.3">
      <c r="A1635" s="11"/>
      <c r="B1635" s="38">
        <f>IF($A1635="","",IFERROR(IF(INDEX(Pledges!$D$5:$D$2500,MATCH($G1635,Pledges!$K$5:$K$2500,0))="","⚠ no amount on Pledges",IF(INDEX(Pledges!$B$5:$B$2500,MATCH($G1635,Pledges!$K$5:$K$2500,0))="","",INDEX(Pledges!$B$5:$B$2500,MATCH($G1635,Pledges!$K$5:$K$2500,0)))),"⚠ phone not in Pledges"))</f>
      </c>
      <c r="C1635" s="12"/>
      <c r="D1635" s="13"/>
      <c r="E1635" s="22"/>
      <c r="F1635" s="23"/>
      <c r="G1635">
        <f>IF($A1635="","","#"&amp;TRIM(SUBSTITUTE(SUBSTITUTE(SUBSTITUTE(SUBSTITUTE(SUBSTITUTE(SUBSTITUTE($A1635,"-",""),"(",""),")",""),".",""),"+","")," ","")))</f>
      </c>
    </row>
    <row r="1636" spans="1:7" x14ac:dyDescent="0.3">
      <c r="A1636" s="11"/>
      <c r="B1636" s="38">
        <f>IF($A1636="","",IFERROR(IF(INDEX(Pledges!$D$5:$D$2500,MATCH($G1636,Pledges!$K$5:$K$2500,0))="","⚠ no amount on Pledges",IF(INDEX(Pledges!$B$5:$B$2500,MATCH($G1636,Pledges!$K$5:$K$2500,0))="","",INDEX(Pledges!$B$5:$B$2500,MATCH($G1636,Pledges!$K$5:$K$2500,0)))),"⚠ phone not in Pledges"))</f>
      </c>
      <c r="C1636" s="12"/>
      <c r="D1636" s="13"/>
      <c r="E1636" s="22"/>
      <c r="F1636" s="23"/>
      <c r="G1636">
        <f>IF($A1636="","","#"&amp;TRIM(SUBSTITUTE(SUBSTITUTE(SUBSTITUTE(SUBSTITUTE(SUBSTITUTE(SUBSTITUTE($A1636,"-",""),"(",""),")",""),".",""),"+","")," ","")))</f>
      </c>
    </row>
    <row r="1637" spans="1:7" x14ac:dyDescent="0.3">
      <c r="A1637" s="11"/>
      <c r="B1637" s="38">
        <f>IF($A1637="","",IFERROR(IF(INDEX(Pledges!$D$5:$D$2500,MATCH($G1637,Pledges!$K$5:$K$2500,0))="","⚠ no amount on Pledges",IF(INDEX(Pledges!$B$5:$B$2500,MATCH($G1637,Pledges!$K$5:$K$2500,0))="","",INDEX(Pledges!$B$5:$B$2500,MATCH($G1637,Pledges!$K$5:$K$2500,0)))),"⚠ phone not in Pledges"))</f>
      </c>
      <c r="C1637" s="12"/>
      <c r="D1637" s="13"/>
      <c r="E1637" s="22"/>
      <c r="F1637" s="23"/>
      <c r="G1637">
        <f>IF($A1637="","","#"&amp;TRIM(SUBSTITUTE(SUBSTITUTE(SUBSTITUTE(SUBSTITUTE(SUBSTITUTE(SUBSTITUTE($A1637,"-",""),"(",""),")",""),".",""),"+","")," ","")))</f>
      </c>
    </row>
    <row r="1638" spans="1:7" x14ac:dyDescent="0.3">
      <c r="A1638" s="11"/>
      <c r="B1638" s="38">
        <f>IF($A1638="","",IFERROR(IF(INDEX(Pledges!$D$5:$D$2500,MATCH($G1638,Pledges!$K$5:$K$2500,0))="","⚠ no amount on Pledges",IF(INDEX(Pledges!$B$5:$B$2500,MATCH($G1638,Pledges!$K$5:$K$2500,0))="","",INDEX(Pledges!$B$5:$B$2500,MATCH($G1638,Pledges!$K$5:$K$2500,0)))),"⚠ phone not in Pledges"))</f>
      </c>
      <c r="C1638" s="12"/>
      <c r="D1638" s="13"/>
      <c r="E1638" s="22"/>
      <c r="F1638" s="23"/>
      <c r="G1638">
        <f>IF($A1638="","","#"&amp;TRIM(SUBSTITUTE(SUBSTITUTE(SUBSTITUTE(SUBSTITUTE(SUBSTITUTE(SUBSTITUTE($A1638,"-",""),"(",""),")",""),".",""),"+","")," ","")))</f>
      </c>
    </row>
    <row r="1639" spans="1:7" x14ac:dyDescent="0.3">
      <c r="A1639" s="11"/>
      <c r="B1639" s="38">
        <f>IF($A1639="","",IFERROR(IF(INDEX(Pledges!$D$5:$D$2500,MATCH($G1639,Pledges!$K$5:$K$2500,0))="","⚠ no amount on Pledges",IF(INDEX(Pledges!$B$5:$B$2500,MATCH($G1639,Pledges!$K$5:$K$2500,0))="","",INDEX(Pledges!$B$5:$B$2500,MATCH($G1639,Pledges!$K$5:$K$2500,0)))),"⚠ phone not in Pledges"))</f>
      </c>
      <c r="C1639" s="12"/>
      <c r="D1639" s="13"/>
      <c r="E1639" s="22"/>
      <c r="F1639" s="23"/>
      <c r="G1639">
        <f>IF($A1639="","","#"&amp;TRIM(SUBSTITUTE(SUBSTITUTE(SUBSTITUTE(SUBSTITUTE(SUBSTITUTE(SUBSTITUTE($A1639,"-",""),"(",""),")",""),".",""),"+","")," ","")))</f>
      </c>
    </row>
    <row r="1640" spans="1:7" x14ac:dyDescent="0.3">
      <c r="A1640" s="11"/>
      <c r="B1640" s="38">
        <f>IF($A1640="","",IFERROR(IF(INDEX(Pledges!$D$5:$D$2500,MATCH($G1640,Pledges!$K$5:$K$2500,0))="","⚠ no amount on Pledges",IF(INDEX(Pledges!$B$5:$B$2500,MATCH($G1640,Pledges!$K$5:$K$2500,0))="","",INDEX(Pledges!$B$5:$B$2500,MATCH($G1640,Pledges!$K$5:$K$2500,0)))),"⚠ phone not in Pledges"))</f>
      </c>
      <c r="C1640" s="12"/>
      <c r="D1640" s="13"/>
      <c r="E1640" s="22"/>
      <c r="F1640" s="23"/>
      <c r="G1640">
        <f>IF($A1640="","","#"&amp;TRIM(SUBSTITUTE(SUBSTITUTE(SUBSTITUTE(SUBSTITUTE(SUBSTITUTE(SUBSTITUTE($A1640,"-",""),"(",""),")",""),".",""),"+","")," ","")))</f>
      </c>
    </row>
    <row r="1641" spans="1:7" x14ac:dyDescent="0.3">
      <c r="A1641" s="11"/>
      <c r="B1641" s="38">
        <f>IF($A1641="","",IFERROR(IF(INDEX(Pledges!$D$5:$D$2500,MATCH($G1641,Pledges!$K$5:$K$2500,0))="","⚠ no amount on Pledges",IF(INDEX(Pledges!$B$5:$B$2500,MATCH($G1641,Pledges!$K$5:$K$2500,0))="","",INDEX(Pledges!$B$5:$B$2500,MATCH($G1641,Pledges!$K$5:$K$2500,0)))),"⚠ phone not in Pledges"))</f>
      </c>
      <c r="C1641" s="12"/>
      <c r="D1641" s="13"/>
      <c r="E1641" s="22"/>
      <c r="F1641" s="23"/>
      <c r="G1641">
        <f>IF($A1641="","","#"&amp;TRIM(SUBSTITUTE(SUBSTITUTE(SUBSTITUTE(SUBSTITUTE(SUBSTITUTE(SUBSTITUTE($A1641,"-",""),"(",""),")",""),".",""),"+","")," ","")))</f>
      </c>
    </row>
    <row r="1642" spans="1:7" x14ac:dyDescent="0.3">
      <c r="A1642" s="11"/>
      <c r="B1642" s="38">
        <f>IF($A1642="","",IFERROR(IF(INDEX(Pledges!$D$5:$D$2500,MATCH($G1642,Pledges!$K$5:$K$2500,0))="","⚠ no amount on Pledges",IF(INDEX(Pledges!$B$5:$B$2500,MATCH($G1642,Pledges!$K$5:$K$2500,0))="","",INDEX(Pledges!$B$5:$B$2500,MATCH($G1642,Pledges!$K$5:$K$2500,0)))),"⚠ phone not in Pledges"))</f>
      </c>
      <c r="C1642" s="12"/>
      <c r="D1642" s="13"/>
      <c r="E1642" s="22"/>
      <c r="F1642" s="23"/>
      <c r="G1642">
        <f>IF($A1642="","","#"&amp;TRIM(SUBSTITUTE(SUBSTITUTE(SUBSTITUTE(SUBSTITUTE(SUBSTITUTE(SUBSTITUTE($A1642,"-",""),"(",""),")",""),".",""),"+","")," ","")))</f>
      </c>
    </row>
    <row r="1643" spans="1:7" x14ac:dyDescent="0.3">
      <c r="A1643" s="11"/>
      <c r="B1643" s="38">
        <f>IF($A1643="","",IFERROR(IF(INDEX(Pledges!$D$5:$D$2500,MATCH($G1643,Pledges!$K$5:$K$2500,0))="","⚠ no amount on Pledges",IF(INDEX(Pledges!$B$5:$B$2500,MATCH($G1643,Pledges!$K$5:$K$2500,0))="","",INDEX(Pledges!$B$5:$B$2500,MATCH($G1643,Pledges!$K$5:$K$2500,0)))),"⚠ phone not in Pledges"))</f>
      </c>
      <c r="C1643" s="12"/>
      <c r="D1643" s="13"/>
      <c r="E1643" s="22"/>
      <c r="F1643" s="23"/>
      <c r="G1643">
        <f>IF($A1643="","","#"&amp;TRIM(SUBSTITUTE(SUBSTITUTE(SUBSTITUTE(SUBSTITUTE(SUBSTITUTE(SUBSTITUTE($A1643,"-",""),"(",""),")",""),".",""),"+","")," ","")))</f>
      </c>
    </row>
    <row r="1644" spans="1:7" x14ac:dyDescent="0.3">
      <c r="A1644" s="11"/>
      <c r="B1644" s="38">
        <f>IF($A1644="","",IFERROR(IF(INDEX(Pledges!$D$5:$D$2500,MATCH($G1644,Pledges!$K$5:$K$2500,0))="","⚠ no amount on Pledges",IF(INDEX(Pledges!$B$5:$B$2500,MATCH($G1644,Pledges!$K$5:$K$2500,0))="","",INDEX(Pledges!$B$5:$B$2500,MATCH($G1644,Pledges!$K$5:$K$2500,0)))),"⚠ phone not in Pledges"))</f>
      </c>
      <c r="C1644" s="12"/>
      <c r="D1644" s="13"/>
      <c r="E1644" s="22"/>
      <c r="F1644" s="23"/>
      <c r="G1644">
        <f>IF($A1644="","","#"&amp;TRIM(SUBSTITUTE(SUBSTITUTE(SUBSTITUTE(SUBSTITUTE(SUBSTITUTE(SUBSTITUTE($A1644,"-",""),"(",""),")",""),".",""),"+","")," ","")))</f>
      </c>
    </row>
    <row r="1645" spans="1:7" x14ac:dyDescent="0.3">
      <c r="A1645" s="11"/>
      <c r="B1645" s="38">
        <f>IF($A1645="","",IFERROR(IF(INDEX(Pledges!$D$5:$D$2500,MATCH($G1645,Pledges!$K$5:$K$2500,0))="","⚠ no amount on Pledges",IF(INDEX(Pledges!$B$5:$B$2500,MATCH($G1645,Pledges!$K$5:$K$2500,0))="","",INDEX(Pledges!$B$5:$B$2500,MATCH($G1645,Pledges!$K$5:$K$2500,0)))),"⚠ phone not in Pledges"))</f>
      </c>
      <c r="C1645" s="12"/>
      <c r="D1645" s="13"/>
      <c r="E1645" s="22"/>
      <c r="F1645" s="23"/>
      <c r="G1645">
        <f>IF($A1645="","","#"&amp;TRIM(SUBSTITUTE(SUBSTITUTE(SUBSTITUTE(SUBSTITUTE(SUBSTITUTE(SUBSTITUTE($A1645,"-",""),"(",""),")",""),".",""),"+","")," ","")))</f>
      </c>
    </row>
    <row r="1646" spans="1:7" x14ac:dyDescent="0.3">
      <c r="A1646" s="11"/>
      <c r="B1646" s="38">
        <f>IF($A1646="","",IFERROR(IF(INDEX(Pledges!$D$5:$D$2500,MATCH($G1646,Pledges!$K$5:$K$2500,0))="","⚠ no amount on Pledges",IF(INDEX(Pledges!$B$5:$B$2500,MATCH($G1646,Pledges!$K$5:$K$2500,0))="","",INDEX(Pledges!$B$5:$B$2500,MATCH($G1646,Pledges!$K$5:$K$2500,0)))),"⚠ phone not in Pledges"))</f>
      </c>
      <c r="C1646" s="12"/>
      <c r="D1646" s="13"/>
      <c r="E1646" s="22"/>
      <c r="F1646" s="23"/>
      <c r="G1646">
        <f>IF($A1646="","","#"&amp;TRIM(SUBSTITUTE(SUBSTITUTE(SUBSTITUTE(SUBSTITUTE(SUBSTITUTE(SUBSTITUTE($A1646,"-",""),"(",""),")",""),".",""),"+","")," ","")))</f>
      </c>
    </row>
    <row r="1647" spans="1:7" x14ac:dyDescent="0.3">
      <c r="A1647" s="11"/>
      <c r="B1647" s="38">
        <f>IF($A1647="","",IFERROR(IF(INDEX(Pledges!$D$5:$D$2500,MATCH($G1647,Pledges!$K$5:$K$2500,0))="","⚠ no amount on Pledges",IF(INDEX(Pledges!$B$5:$B$2500,MATCH($G1647,Pledges!$K$5:$K$2500,0))="","",INDEX(Pledges!$B$5:$B$2500,MATCH($G1647,Pledges!$K$5:$K$2500,0)))),"⚠ phone not in Pledges"))</f>
      </c>
      <c r="C1647" s="12"/>
      <c r="D1647" s="13"/>
      <c r="E1647" s="22"/>
      <c r="F1647" s="23"/>
      <c r="G1647">
        <f>IF($A1647="","","#"&amp;TRIM(SUBSTITUTE(SUBSTITUTE(SUBSTITUTE(SUBSTITUTE(SUBSTITUTE(SUBSTITUTE($A1647,"-",""),"(",""),")",""),".",""),"+","")," ","")))</f>
      </c>
    </row>
    <row r="1648" spans="1:7" x14ac:dyDescent="0.3">
      <c r="A1648" s="11"/>
      <c r="B1648" s="38">
        <f>IF($A1648="","",IFERROR(IF(INDEX(Pledges!$D$5:$D$2500,MATCH($G1648,Pledges!$K$5:$K$2500,0))="","⚠ no amount on Pledges",IF(INDEX(Pledges!$B$5:$B$2500,MATCH($G1648,Pledges!$K$5:$K$2500,0))="","",INDEX(Pledges!$B$5:$B$2500,MATCH($G1648,Pledges!$K$5:$K$2500,0)))),"⚠ phone not in Pledges"))</f>
      </c>
      <c r="C1648" s="12"/>
      <c r="D1648" s="13"/>
      <c r="E1648" s="22"/>
      <c r="F1648" s="23"/>
      <c r="G1648">
        <f>IF($A1648="","","#"&amp;TRIM(SUBSTITUTE(SUBSTITUTE(SUBSTITUTE(SUBSTITUTE(SUBSTITUTE(SUBSTITUTE($A1648,"-",""),"(",""),")",""),".",""),"+","")," ","")))</f>
      </c>
    </row>
    <row r="1649" spans="1:7" x14ac:dyDescent="0.3">
      <c r="A1649" s="11"/>
      <c r="B1649" s="38">
        <f>IF($A1649="","",IFERROR(IF(INDEX(Pledges!$D$5:$D$2500,MATCH($G1649,Pledges!$K$5:$K$2500,0))="","⚠ no amount on Pledges",IF(INDEX(Pledges!$B$5:$B$2500,MATCH($G1649,Pledges!$K$5:$K$2500,0))="","",INDEX(Pledges!$B$5:$B$2500,MATCH($G1649,Pledges!$K$5:$K$2500,0)))),"⚠ phone not in Pledges"))</f>
      </c>
      <c r="C1649" s="12"/>
      <c r="D1649" s="13"/>
      <c r="E1649" s="22"/>
      <c r="F1649" s="23"/>
      <c r="G1649">
        <f>IF($A1649="","","#"&amp;TRIM(SUBSTITUTE(SUBSTITUTE(SUBSTITUTE(SUBSTITUTE(SUBSTITUTE(SUBSTITUTE($A1649,"-",""),"(",""),")",""),".",""),"+","")," ","")))</f>
      </c>
    </row>
    <row r="1650" spans="1:7" x14ac:dyDescent="0.3">
      <c r="A1650" s="11"/>
      <c r="B1650" s="38">
        <f>IF($A1650="","",IFERROR(IF(INDEX(Pledges!$D$5:$D$2500,MATCH($G1650,Pledges!$K$5:$K$2500,0))="","⚠ no amount on Pledges",IF(INDEX(Pledges!$B$5:$B$2500,MATCH($G1650,Pledges!$K$5:$K$2500,0))="","",INDEX(Pledges!$B$5:$B$2500,MATCH($G1650,Pledges!$K$5:$K$2500,0)))),"⚠ phone not in Pledges"))</f>
      </c>
      <c r="C1650" s="12"/>
      <c r="D1650" s="13"/>
      <c r="E1650" s="22"/>
      <c r="F1650" s="23"/>
      <c r="G1650">
        <f>IF($A1650="","","#"&amp;TRIM(SUBSTITUTE(SUBSTITUTE(SUBSTITUTE(SUBSTITUTE(SUBSTITUTE(SUBSTITUTE($A1650,"-",""),"(",""),")",""),".",""),"+","")," ","")))</f>
      </c>
    </row>
    <row r="1651" spans="1:7" x14ac:dyDescent="0.3">
      <c r="A1651" s="11"/>
      <c r="B1651" s="38">
        <f>IF($A1651="","",IFERROR(IF(INDEX(Pledges!$D$5:$D$2500,MATCH($G1651,Pledges!$K$5:$K$2500,0))="","⚠ no amount on Pledges",IF(INDEX(Pledges!$B$5:$B$2500,MATCH($G1651,Pledges!$K$5:$K$2500,0))="","",INDEX(Pledges!$B$5:$B$2500,MATCH($G1651,Pledges!$K$5:$K$2500,0)))),"⚠ phone not in Pledges"))</f>
      </c>
      <c r="C1651" s="12"/>
      <c r="D1651" s="13"/>
      <c r="E1651" s="22"/>
      <c r="F1651" s="23"/>
      <c r="G1651">
        <f>IF($A1651="","","#"&amp;TRIM(SUBSTITUTE(SUBSTITUTE(SUBSTITUTE(SUBSTITUTE(SUBSTITUTE(SUBSTITUTE($A1651,"-",""),"(",""),")",""),".",""),"+","")," ","")))</f>
      </c>
    </row>
    <row r="1652" spans="1:7" x14ac:dyDescent="0.3">
      <c r="A1652" s="11"/>
      <c r="B1652" s="38">
        <f>IF($A1652="","",IFERROR(IF(INDEX(Pledges!$D$5:$D$2500,MATCH($G1652,Pledges!$K$5:$K$2500,0))="","⚠ no amount on Pledges",IF(INDEX(Pledges!$B$5:$B$2500,MATCH($G1652,Pledges!$K$5:$K$2500,0))="","",INDEX(Pledges!$B$5:$B$2500,MATCH($G1652,Pledges!$K$5:$K$2500,0)))),"⚠ phone not in Pledges"))</f>
      </c>
      <c r="C1652" s="12"/>
      <c r="D1652" s="13"/>
      <c r="E1652" s="22"/>
      <c r="F1652" s="23"/>
      <c r="G1652">
        <f>IF($A1652="","","#"&amp;TRIM(SUBSTITUTE(SUBSTITUTE(SUBSTITUTE(SUBSTITUTE(SUBSTITUTE(SUBSTITUTE($A1652,"-",""),"(",""),")",""),".",""),"+","")," ","")))</f>
      </c>
    </row>
    <row r="1653" spans="1:7" x14ac:dyDescent="0.3">
      <c r="A1653" s="11"/>
      <c r="B1653" s="38">
        <f>IF($A1653="","",IFERROR(IF(INDEX(Pledges!$D$5:$D$2500,MATCH($G1653,Pledges!$K$5:$K$2500,0))="","⚠ no amount on Pledges",IF(INDEX(Pledges!$B$5:$B$2500,MATCH($G1653,Pledges!$K$5:$K$2500,0))="","",INDEX(Pledges!$B$5:$B$2500,MATCH($G1653,Pledges!$K$5:$K$2500,0)))),"⚠ phone not in Pledges"))</f>
      </c>
      <c r="C1653" s="12"/>
      <c r="D1653" s="13"/>
      <c r="E1653" s="22"/>
      <c r="F1653" s="23"/>
      <c r="G1653">
        <f>IF($A1653="","","#"&amp;TRIM(SUBSTITUTE(SUBSTITUTE(SUBSTITUTE(SUBSTITUTE(SUBSTITUTE(SUBSTITUTE($A1653,"-",""),"(",""),")",""),".",""),"+","")," ","")))</f>
      </c>
    </row>
    <row r="1654" spans="1:7" x14ac:dyDescent="0.3">
      <c r="A1654" s="11"/>
      <c r="B1654" s="38">
        <f>IF($A1654="","",IFERROR(IF(INDEX(Pledges!$D$5:$D$2500,MATCH($G1654,Pledges!$K$5:$K$2500,0))="","⚠ no amount on Pledges",IF(INDEX(Pledges!$B$5:$B$2500,MATCH($G1654,Pledges!$K$5:$K$2500,0))="","",INDEX(Pledges!$B$5:$B$2500,MATCH($G1654,Pledges!$K$5:$K$2500,0)))),"⚠ phone not in Pledges"))</f>
      </c>
      <c r="C1654" s="12"/>
      <c r="D1654" s="13"/>
      <c r="E1654" s="22"/>
      <c r="F1654" s="23"/>
      <c r="G1654">
        <f>IF($A1654="","","#"&amp;TRIM(SUBSTITUTE(SUBSTITUTE(SUBSTITUTE(SUBSTITUTE(SUBSTITUTE(SUBSTITUTE($A1654,"-",""),"(",""),")",""),".",""),"+","")," ","")))</f>
      </c>
    </row>
    <row r="1655" spans="1:7" x14ac:dyDescent="0.3">
      <c r="A1655" s="11"/>
      <c r="B1655" s="38">
        <f>IF($A1655="","",IFERROR(IF(INDEX(Pledges!$D$5:$D$2500,MATCH($G1655,Pledges!$K$5:$K$2500,0))="","⚠ no amount on Pledges",IF(INDEX(Pledges!$B$5:$B$2500,MATCH($G1655,Pledges!$K$5:$K$2500,0))="","",INDEX(Pledges!$B$5:$B$2500,MATCH($G1655,Pledges!$K$5:$K$2500,0)))),"⚠ phone not in Pledges"))</f>
      </c>
      <c r="C1655" s="12"/>
      <c r="D1655" s="13"/>
      <c r="E1655" s="22"/>
      <c r="F1655" s="23"/>
      <c r="G1655">
        <f>IF($A1655="","","#"&amp;TRIM(SUBSTITUTE(SUBSTITUTE(SUBSTITUTE(SUBSTITUTE(SUBSTITUTE(SUBSTITUTE($A1655,"-",""),"(",""),")",""),".",""),"+","")," ","")))</f>
      </c>
    </row>
    <row r="1656" spans="1:7" x14ac:dyDescent="0.3">
      <c r="A1656" s="11"/>
      <c r="B1656" s="38">
        <f>IF($A1656="","",IFERROR(IF(INDEX(Pledges!$D$5:$D$2500,MATCH($G1656,Pledges!$K$5:$K$2500,0))="","⚠ no amount on Pledges",IF(INDEX(Pledges!$B$5:$B$2500,MATCH($G1656,Pledges!$K$5:$K$2500,0))="","",INDEX(Pledges!$B$5:$B$2500,MATCH($G1656,Pledges!$K$5:$K$2500,0)))),"⚠ phone not in Pledges"))</f>
      </c>
      <c r="C1656" s="12"/>
      <c r="D1656" s="13"/>
      <c r="E1656" s="22"/>
      <c r="F1656" s="23"/>
      <c r="G1656">
        <f>IF($A1656="","","#"&amp;TRIM(SUBSTITUTE(SUBSTITUTE(SUBSTITUTE(SUBSTITUTE(SUBSTITUTE(SUBSTITUTE($A1656,"-",""),"(",""),")",""),".",""),"+","")," ","")))</f>
      </c>
    </row>
    <row r="1657" spans="1:7" x14ac:dyDescent="0.3">
      <c r="A1657" s="11"/>
      <c r="B1657" s="38">
        <f>IF($A1657="","",IFERROR(IF(INDEX(Pledges!$D$5:$D$2500,MATCH($G1657,Pledges!$K$5:$K$2500,0))="","⚠ no amount on Pledges",IF(INDEX(Pledges!$B$5:$B$2500,MATCH($G1657,Pledges!$K$5:$K$2500,0))="","",INDEX(Pledges!$B$5:$B$2500,MATCH($G1657,Pledges!$K$5:$K$2500,0)))),"⚠ phone not in Pledges"))</f>
      </c>
      <c r="C1657" s="12"/>
      <c r="D1657" s="13"/>
      <c r="E1657" s="22"/>
      <c r="F1657" s="23"/>
      <c r="G1657">
        <f>IF($A1657="","","#"&amp;TRIM(SUBSTITUTE(SUBSTITUTE(SUBSTITUTE(SUBSTITUTE(SUBSTITUTE(SUBSTITUTE($A1657,"-",""),"(",""),")",""),".",""),"+","")," ","")))</f>
      </c>
    </row>
    <row r="1658" spans="1:7" x14ac:dyDescent="0.3">
      <c r="A1658" s="11"/>
      <c r="B1658" s="38">
        <f>IF($A1658="","",IFERROR(IF(INDEX(Pledges!$D$5:$D$2500,MATCH($G1658,Pledges!$K$5:$K$2500,0))="","⚠ no amount on Pledges",IF(INDEX(Pledges!$B$5:$B$2500,MATCH($G1658,Pledges!$K$5:$K$2500,0))="","",INDEX(Pledges!$B$5:$B$2500,MATCH($G1658,Pledges!$K$5:$K$2500,0)))),"⚠ phone not in Pledges"))</f>
      </c>
      <c r="C1658" s="12"/>
      <c r="D1658" s="13"/>
      <c r="E1658" s="22"/>
      <c r="F1658" s="23"/>
      <c r="G1658">
        <f>IF($A1658="","","#"&amp;TRIM(SUBSTITUTE(SUBSTITUTE(SUBSTITUTE(SUBSTITUTE(SUBSTITUTE(SUBSTITUTE($A1658,"-",""),"(",""),")",""),".",""),"+","")," ","")))</f>
      </c>
    </row>
    <row r="1659" spans="1:7" x14ac:dyDescent="0.3">
      <c r="A1659" s="11"/>
      <c r="B1659" s="38">
        <f>IF($A1659="","",IFERROR(IF(INDEX(Pledges!$D$5:$D$2500,MATCH($G1659,Pledges!$K$5:$K$2500,0))="","⚠ no amount on Pledges",IF(INDEX(Pledges!$B$5:$B$2500,MATCH($G1659,Pledges!$K$5:$K$2500,0))="","",INDEX(Pledges!$B$5:$B$2500,MATCH($G1659,Pledges!$K$5:$K$2500,0)))),"⚠ phone not in Pledges"))</f>
      </c>
      <c r="C1659" s="12"/>
      <c r="D1659" s="13"/>
      <c r="E1659" s="22"/>
      <c r="F1659" s="23"/>
      <c r="G1659">
        <f>IF($A1659="","","#"&amp;TRIM(SUBSTITUTE(SUBSTITUTE(SUBSTITUTE(SUBSTITUTE(SUBSTITUTE(SUBSTITUTE($A1659,"-",""),"(",""),")",""),".",""),"+","")," ","")))</f>
      </c>
    </row>
    <row r="1660" spans="1:7" x14ac:dyDescent="0.3">
      <c r="A1660" s="11"/>
      <c r="B1660" s="38">
        <f>IF($A1660="","",IFERROR(IF(INDEX(Pledges!$D$5:$D$2500,MATCH($G1660,Pledges!$K$5:$K$2500,0))="","⚠ no amount on Pledges",IF(INDEX(Pledges!$B$5:$B$2500,MATCH($G1660,Pledges!$K$5:$K$2500,0))="","",INDEX(Pledges!$B$5:$B$2500,MATCH($G1660,Pledges!$K$5:$K$2500,0)))),"⚠ phone not in Pledges"))</f>
      </c>
      <c r="C1660" s="12"/>
      <c r="D1660" s="13"/>
      <c r="E1660" s="22"/>
      <c r="F1660" s="23"/>
      <c r="G1660">
        <f>IF($A1660="","","#"&amp;TRIM(SUBSTITUTE(SUBSTITUTE(SUBSTITUTE(SUBSTITUTE(SUBSTITUTE(SUBSTITUTE($A1660,"-",""),"(",""),")",""),".",""),"+","")," ","")))</f>
      </c>
    </row>
    <row r="1661" spans="1:7" x14ac:dyDescent="0.3">
      <c r="A1661" s="11"/>
      <c r="B1661" s="38">
        <f>IF($A1661="","",IFERROR(IF(INDEX(Pledges!$D$5:$D$2500,MATCH($G1661,Pledges!$K$5:$K$2500,0))="","⚠ no amount on Pledges",IF(INDEX(Pledges!$B$5:$B$2500,MATCH($G1661,Pledges!$K$5:$K$2500,0))="","",INDEX(Pledges!$B$5:$B$2500,MATCH($G1661,Pledges!$K$5:$K$2500,0)))),"⚠ phone not in Pledges"))</f>
      </c>
      <c r="C1661" s="12"/>
      <c r="D1661" s="13"/>
      <c r="E1661" s="22"/>
      <c r="F1661" s="23"/>
      <c r="G1661">
        <f>IF($A1661="","","#"&amp;TRIM(SUBSTITUTE(SUBSTITUTE(SUBSTITUTE(SUBSTITUTE(SUBSTITUTE(SUBSTITUTE($A1661,"-",""),"(",""),")",""),".",""),"+","")," ","")))</f>
      </c>
    </row>
    <row r="1662" spans="1:7" x14ac:dyDescent="0.3">
      <c r="A1662" s="11"/>
      <c r="B1662" s="38">
        <f>IF($A1662="","",IFERROR(IF(INDEX(Pledges!$D$5:$D$2500,MATCH($G1662,Pledges!$K$5:$K$2500,0))="","⚠ no amount on Pledges",IF(INDEX(Pledges!$B$5:$B$2500,MATCH($G1662,Pledges!$K$5:$K$2500,0))="","",INDEX(Pledges!$B$5:$B$2500,MATCH($G1662,Pledges!$K$5:$K$2500,0)))),"⚠ phone not in Pledges"))</f>
      </c>
      <c r="C1662" s="12"/>
      <c r="D1662" s="13"/>
      <c r="E1662" s="22"/>
      <c r="F1662" s="23"/>
      <c r="G1662">
        <f>IF($A1662="","","#"&amp;TRIM(SUBSTITUTE(SUBSTITUTE(SUBSTITUTE(SUBSTITUTE(SUBSTITUTE(SUBSTITUTE($A1662,"-",""),"(",""),")",""),".",""),"+","")," ","")))</f>
      </c>
    </row>
    <row r="1663" spans="1:7" x14ac:dyDescent="0.3">
      <c r="A1663" s="11"/>
      <c r="B1663" s="38">
        <f>IF($A1663="","",IFERROR(IF(INDEX(Pledges!$D$5:$D$2500,MATCH($G1663,Pledges!$K$5:$K$2500,0))="","⚠ no amount on Pledges",IF(INDEX(Pledges!$B$5:$B$2500,MATCH($G1663,Pledges!$K$5:$K$2500,0))="","",INDEX(Pledges!$B$5:$B$2500,MATCH($G1663,Pledges!$K$5:$K$2500,0)))),"⚠ phone not in Pledges"))</f>
      </c>
      <c r="C1663" s="12"/>
      <c r="D1663" s="13"/>
      <c r="E1663" s="22"/>
      <c r="F1663" s="23"/>
      <c r="G1663">
        <f>IF($A1663="","","#"&amp;TRIM(SUBSTITUTE(SUBSTITUTE(SUBSTITUTE(SUBSTITUTE(SUBSTITUTE(SUBSTITUTE($A1663,"-",""),"(",""),")",""),".",""),"+","")," ","")))</f>
      </c>
    </row>
    <row r="1664" spans="1:7" x14ac:dyDescent="0.3">
      <c r="A1664" s="11"/>
      <c r="B1664" s="38">
        <f>IF($A1664="","",IFERROR(IF(INDEX(Pledges!$D$5:$D$2500,MATCH($G1664,Pledges!$K$5:$K$2500,0))="","⚠ no amount on Pledges",IF(INDEX(Pledges!$B$5:$B$2500,MATCH($G1664,Pledges!$K$5:$K$2500,0))="","",INDEX(Pledges!$B$5:$B$2500,MATCH($G1664,Pledges!$K$5:$K$2500,0)))),"⚠ phone not in Pledges"))</f>
      </c>
      <c r="C1664" s="12"/>
      <c r="D1664" s="13"/>
      <c r="E1664" s="22"/>
      <c r="F1664" s="23"/>
      <c r="G1664">
        <f>IF($A1664="","","#"&amp;TRIM(SUBSTITUTE(SUBSTITUTE(SUBSTITUTE(SUBSTITUTE(SUBSTITUTE(SUBSTITUTE($A1664,"-",""),"(",""),")",""),".",""),"+","")," ","")))</f>
      </c>
    </row>
    <row r="1665" spans="1:7" x14ac:dyDescent="0.3">
      <c r="A1665" s="11"/>
      <c r="B1665" s="38">
        <f>IF($A1665="","",IFERROR(IF(INDEX(Pledges!$D$5:$D$2500,MATCH($G1665,Pledges!$K$5:$K$2500,0))="","⚠ no amount on Pledges",IF(INDEX(Pledges!$B$5:$B$2500,MATCH($G1665,Pledges!$K$5:$K$2500,0))="","",INDEX(Pledges!$B$5:$B$2500,MATCH($G1665,Pledges!$K$5:$K$2500,0)))),"⚠ phone not in Pledges"))</f>
      </c>
      <c r="C1665" s="12"/>
      <c r="D1665" s="13"/>
      <c r="E1665" s="22"/>
      <c r="F1665" s="23"/>
      <c r="G1665">
        <f>IF($A1665="","","#"&amp;TRIM(SUBSTITUTE(SUBSTITUTE(SUBSTITUTE(SUBSTITUTE(SUBSTITUTE(SUBSTITUTE($A1665,"-",""),"(",""),")",""),".",""),"+","")," ","")))</f>
      </c>
    </row>
    <row r="1666" spans="1:7" x14ac:dyDescent="0.3">
      <c r="A1666" s="11"/>
      <c r="B1666" s="38">
        <f>IF($A1666="","",IFERROR(IF(INDEX(Pledges!$D$5:$D$2500,MATCH($G1666,Pledges!$K$5:$K$2500,0))="","⚠ no amount on Pledges",IF(INDEX(Pledges!$B$5:$B$2500,MATCH($G1666,Pledges!$K$5:$K$2500,0))="","",INDEX(Pledges!$B$5:$B$2500,MATCH($G1666,Pledges!$K$5:$K$2500,0)))),"⚠ phone not in Pledges"))</f>
      </c>
      <c r="C1666" s="12"/>
      <c r="D1666" s="13"/>
      <c r="E1666" s="22"/>
      <c r="F1666" s="23"/>
      <c r="G1666">
        <f>IF($A1666="","","#"&amp;TRIM(SUBSTITUTE(SUBSTITUTE(SUBSTITUTE(SUBSTITUTE(SUBSTITUTE(SUBSTITUTE($A1666,"-",""),"(",""),")",""),".",""),"+","")," ","")))</f>
      </c>
    </row>
    <row r="1667" spans="1:7" x14ac:dyDescent="0.3">
      <c r="A1667" s="11"/>
      <c r="B1667" s="38">
        <f>IF($A1667="","",IFERROR(IF(INDEX(Pledges!$D$5:$D$2500,MATCH($G1667,Pledges!$K$5:$K$2500,0))="","⚠ no amount on Pledges",IF(INDEX(Pledges!$B$5:$B$2500,MATCH($G1667,Pledges!$K$5:$K$2500,0))="","",INDEX(Pledges!$B$5:$B$2500,MATCH($G1667,Pledges!$K$5:$K$2500,0)))),"⚠ phone not in Pledges"))</f>
      </c>
      <c r="C1667" s="12"/>
      <c r="D1667" s="13"/>
      <c r="E1667" s="22"/>
      <c r="F1667" s="23"/>
      <c r="G1667">
        <f>IF($A1667="","","#"&amp;TRIM(SUBSTITUTE(SUBSTITUTE(SUBSTITUTE(SUBSTITUTE(SUBSTITUTE(SUBSTITUTE($A1667,"-",""),"(",""),")",""),".",""),"+","")," ","")))</f>
      </c>
    </row>
    <row r="1668" spans="1:7" x14ac:dyDescent="0.3">
      <c r="A1668" s="11"/>
      <c r="B1668" s="38">
        <f>IF($A1668="","",IFERROR(IF(INDEX(Pledges!$D$5:$D$2500,MATCH($G1668,Pledges!$K$5:$K$2500,0))="","⚠ no amount on Pledges",IF(INDEX(Pledges!$B$5:$B$2500,MATCH($G1668,Pledges!$K$5:$K$2500,0))="","",INDEX(Pledges!$B$5:$B$2500,MATCH($G1668,Pledges!$K$5:$K$2500,0)))),"⚠ phone not in Pledges"))</f>
      </c>
      <c r="C1668" s="12"/>
      <c r="D1668" s="13"/>
      <c r="E1668" s="22"/>
      <c r="F1668" s="23"/>
      <c r="G1668">
        <f>IF($A1668="","","#"&amp;TRIM(SUBSTITUTE(SUBSTITUTE(SUBSTITUTE(SUBSTITUTE(SUBSTITUTE(SUBSTITUTE($A1668,"-",""),"(",""),")",""),".",""),"+","")," ","")))</f>
      </c>
    </row>
    <row r="1669" spans="1:7" x14ac:dyDescent="0.3">
      <c r="A1669" s="11"/>
      <c r="B1669" s="38">
        <f>IF($A1669="","",IFERROR(IF(INDEX(Pledges!$D$5:$D$2500,MATCH($G1669,Pledges!$K$5:$K$2500,0))="","⚠ no amount on Pledges",IF(INDEX(Pledges!$B$5:$B$2500,MATCH($G1669,Pledges!$K$5:$K$2500,0))="","",INDEX(Pledges!$B$5:$B$2500,MATCH($G1669,Pledges!$K$5:$K$2500,0)))),"⚠ phone not in Pledges"))</f>
      </c>
      <c r="C1669" s="12"/>
      <c r="D1669" s="13"/>
      <c r="E1669" s="22"/>
      <c r="F1669" s="23"/>
      <c r="G1669">
        <f>IF($A1669="","","#"&amp;TRIM(SUBSTITUTE(SUBSTITUTE(SUBSTITUTE(SUBSTITUTE(SUBSTITUTE(SUBSTITUTE($A1669,"-",""),"(",""),")",""),".",""),"+","")," ","")))</f>
      </c>
    </row>
    <row r="1670" spans="1:7" x14ac:dyDescent="0.3">
      <c r="A1670" s="11"/>
      <c r="B1670" s="38">
        <f>IF($A1670="","",IFERROR(IF(INDEX(Pledges!$D$5:$D$2500,MATCH($G1670,Pledges!$K$5:$K$2500,0))="","⚠ no amount on Pledges",IF(INDEX(Pledges!$B$5:$B$2500,MATCH($G1670,Pledges!$K$5:$K$2500,0))="","",INDEX(Pledges!$B$5:$B$2500,MATCH($G1670,Pledges!$K$5:$K$2500,0)))),"⚠ phone not in Pledges"))</f>
      </c>
      <c r="C1670" s="12"/>
      <c r="D1670" s="13"/>
      <c r="E1670" s="22"/>
      <c r="F1670" s="23"/>
      <c r="G1670">
        <f>IF($A1670="","","#"&amp;TRIM(SUBSTITUTE(SUBSTITUTE(SUBSTITUTE(SUBSTITUTE(SUBSTITUTE(SUBSTITUTE($A1670,"-",""),"(",""),")",""),".",""),"+","")," ","")))</f>
      </c>
    </row>
    <row r="1671" spans="1:7" x14ac:dyDescent="0.3">
      <c r="A1671" s="11"/>
      <c r="B1671" s="38">
        <f>IF($A1671="","",IFERROR(IF(INDEX(Pledges!$D$5:$D$2500,MATCH($G1671,Pledges!$K$5:$K$2500,0))="","⚠ no amount on Pledges",IF(INDEX(Pledges!$B$5:$B$2500,MATCH($G1671,Pledges!$K$5:$K$2500,0))="","",INDEX(Pledges!$B$5:$B$2500,MATCH($G1671,Pledges!$K$5:$K$2500,0)))),"⚠ phone not in Pledges"))</f>
      </c>
      <c r="C1671" s="12"/>
      <c r="D1671" s="13"/>
      <c r="E1671" s="22"/>
      <c r="F1671" s="23"/>
      <c r="G1671">
        <f>IF($A1671="","","#"&amp;TRIM(SUBSTITUTE(SUBSTITUTE(SUBSTITUTE(SUBSTITUTE(SUBSTITUTE(SUBSTITUTE($A1671,"-",""),"(",""),")",""),".",""),"+","")," ","")))</f>
      </c>
    </row>
    <row r="1672" spans="1:7" x14ac:dyDescent="0.3">
      <c r="A1672" s="11"/>
      <c r="B1672" s="38">
        <f>IF($A1672="","",IFERROR(IF(INDEX(Pledges!$D$5:$D$2500,MATCH($G1672,Pledges!$K$5:$K$2500,0))="","⚠ no amount on Pledges",IF(INDEX(Pledges!$B$5:$B$2500,MATCH($G1672,Pledges!$K$5:$K$2500,0))="","",INDEX(Pledges!$B$5:$B$2500,MATCH($G1672,Pledges!$K$5:$K$2500,0)))),"⚠ phone not in Pledges"))</f>
      </c>
      <c r="C1672" s="12"/>
      <c r="D1672" s="13"/>
      <c r="E1672" s="22"/>
      <c r="F1672" s="23"/>
      <c r="G1672">
        <f>IF($A1672="","","#"&amp;TRIM(SUBSTITUTE(SUBSTITUTE(SUBSTITUTE(SUBSTITUTE(SUBSTITUTE(SUBSTITUTE($A1672,"-",""),"(",""),")",""),".",""),"+","")," ","")))</f>
      </c>
    </row>
    <row r="1673" spans="1:7" x14ac:dyDescent="0.3">
      <c r="A1673" s="11"/>
      <c r="B1673" s="38">
        <f>IF($A1673="","",IFERROR(IF(INDEX(Pledges!$D$5:$D$2500,MATCH($G1673,Pledges!$K$5:$K$2500,0))="","⚠ no amount on Pledges",IF(INDEX(Pledges!$B$5:$B$2500,MATCH($G1673,Pledges!$K$5:$K$2500,0))="","",INDEX(Pledges!$B$5:$B$2500,MATCH($G1673,Pledges!$K$5:$K$2500,0)))),"⚠ phone not in Pledges"))</f>
      </c>
      <c r="C1673" s="12"/>
      <c r="D1673" s="13"/>
      <c r="E1673" s="22"/>
      <c r="F1673" s="23"/>
      <c r="G1673">
        <f>IF($A1673="","","#"&amp;TRIM(SUBSTITUTE(SUBSTITUTE(SUBSTITUTE(SUBSTITUTE(SUBSTITUTE(SUBSTITUTE($A1673,"-",""),"(",""),")",""),".",""),"+","")," ","")))</f>
      </c>
    </row>
    <row r="1674" spans="1:7" x14ac:dyDescent="0.3">
      <c r="A1674" s="11"/>
      <c r="B1674" s="38">
        <f>IF($A1674="","",IFERROR(IF(INDEX(Pledges!$D$5:$D$2500,MATCH($G1674,Pledges!$K$5:$K$2500,0))="","⚠ no amount on Pledges",IF(INDEX(Pledges!$B$5:$B$2500,MATCH($G1674,Pledges!$K$5:$K$2500,0))="","",INDEX(Pledges!$B$5:$B$2500,MATCH($G1674,Pledges!$K$5:$K$2500,0)))),"⚠ phone not in Pledges"))</f>
      </c>
      <c r="C1674" s="12"/>
      <c r="D1674" s="13"/>
      <c r="E1674" s="22"/>
      <c r="F1674" s="23"/>
      <c r="G1674">
        <f>IF($A1674="","","#"&amp;TRIM(SUBSTITUTE(SUBSTITUTE(SUBSTITUTE(SUBSTITUTE(SUBSTITUTE(SUBSTITUTE($A1674,"-",""),"(",""),")",""),".",""),"+","")," ","")))</f>
      </c>
    </row>
    <row r="1675" spans="1:7" x14ac:dyDescent="0.3">
      <c r="A1675" s="11"/>
      <c r="B1675" s="38">
        <f>IF($A1675="","",IFERROR(IF(INDEX(Pledges!$D$5:$D$2500,MATCH($G1675,Pledges!$K$5:$K$2500,0))="","⚠ no amount on Pledges",IF(INDEX(Pledges!$B$5:$B$2500,MATCH($G1675,Pledges!$K$5:$K$2500,0))="","",INDEX(Pledges!$B$5:$B$2500,MATCH($G1675,Pledges!$K$5:$K$2500,0)))),"⚠ phone not in Pledges"))</f>
      </c>
      <c r="C1675" s="12"/>
      <c r="D1675" s="13"/>
      <c r="E1675" s="22"/>
      <c r="F1675" s="23"/>
      <c r="G1675">
        <f>IF($A1675="","","#"&amp;TRIM(SUBSTITUTE(SUBSTITUTE(SUBSTITUTE(SUBSTITUTE(SUBSTITUTE(SUBSTITUTE($A1675,"-",""),"(",""),")",""),".",""),"+","")," ","")))</f>
      </c>
    </row>
    <row r="1676" spans="1:7" x14ac:dyDescent="0.3">
      <c r="A1676" s="11"/>
      <c r="B1676" s="38">
        <f>IF($A1676="","",IFERROR(IF(INDEX(Pledges!$D$5:$D$2500,MATCH($G1676,Pledges!$K$5:$K$2500,0))="","⚠ no amount on Pledges",IF(INDEX(Pledges!$B$5:$B$2500,MATCH($G1676,Pledges!$K$5:$K$2500,0))="","",INDEX(Pledges!$B$5:$B$2500,MATCH($G1676,Pledges!$K$5:$K$2500,0)))),"⚠ phone not in Pledges"))</f>
      </c>
      <c r="C1676" s="12"/>
      <c r="D1676" s="13"/>
      <c r="E1676" s="22"/>
      <c r="F1676" s="23"/>
      <c r="G1676">
        <f>IF($A1676="","","#"&amp;TRIM(SUBSTITUTE(SUBSTITUTE(SUBSTITUTE(SUBSTITUTE(SUBSTITUTE(SUBSTITUTE($A1676,"-",""),"(",""),")",""),".",""),"+","")," ","")))</f>
      </c>
    </row>
    <row r="1677" spans="1:7" x14ac:dyDescent="0.3">
      <c r="A1677" s="11"/>
      <c r="B1677" s="38">
        <f>IF($A1677="","",IFERROR(IF(INDEX(Pledges!$D$5:$D$2500,MATCH($G1677,Pledges!$K$5:$K$2500,0))="","⚠ no amount on Pledges",IF(INDEX(Pledges!$B$5:$B$2500,MATCH($G1677,Pledges!$K$5:$K$2500,0))="","",INDEX(Pledges!$B$5:$B$2500,MATCH($G1677,Pledges!$K$5:$K$2500,0)))),"⚠ phone not in Pledges"))</f>
      </c>
      <c r="C1677" s="12"/>
      <c r="D1677" s="13"/>
      <c r="E1677" s="22"/>
      <c r="F1677" s="23"/>
      <c r="G1677">
        <f>IF($A1677="","","#"&amp;TRIM(SUBSTITUTE(SUBSTITUTE(SUBSTITUTE(SUBSTITUTE(SUBSTITUTE(SUBSTITUTE($A1677,"-",""),"(",""),")",""),".",""),"+","")," ","")))</f>
      </c>
    </row>
    <row r="1678" spans="1:7" x14ac:dyDescent="0.3">
      <c r="A1678" s="11"/>
      <c r="B1678" s="38">
        <f>IF($A1678="","",IFERROR(IF(INDEX(Pledges!$D$5:$D$2500,MATCH($G1678,Pledges!$K$5:$K$2500,0))="","⚠ no amount on Pledges",IF(INDEX(Pledges!$B$5:$B$2500,MATCH($G1678,Pledges!$K$5:$K$2500,0))="","",INDEX(Pledges!$B$5:$B$2500,MATCH($G1678,Pledges!$K$5:$K$2500,0)))),"⚠ phone not in Pledges"))</f>
      </c>
      <c r="C1678" s="12"/>
      <c r="D1678" s="13"/>
      <c r="E1678" s="22"/>
      <c r="F1678" s="23"/>
      <c r="G1678">
        <f>IF($A1678="","","#"&amp;TRIM(SUBSTITUTE(SUBSTITUTE(SUBSTITUTE(SUBSTITUTE(SUBSTITUTE(SUBSTITUTE($A1678,"-",""),"(",""),")",""),".",""),"+","")," ","")))</f>
      </c>
    </row>
    <row r="1679" spans="1:7" x14ac:dyDescent="0.3">
      <c r="A1679" s="11"/>
      <c r="B1679" s="38">
        <f>IF($A1679="","",IFERROR(IF(INDEX(Pledges!$D$5:$D$2500,MATCH($G1679,Pledges!$K$5:$K$2500,0))="","⚠ no amount on Pledges",IF(INDEX(Pledges!$B$5:$B$2500,MATCH($G1679,Pledges!$K$5:$K$2500,0))="","",INDEX(Pledges!$B$5:$B$2500,MATCH($G1679,Pledges!$K$5:$K$2500,0)))),"⚠ phone not in Pledges"))</f>
      </c>
      <c r="C1679" s="12"/>
      <c r="D1679" s="13"/>
      <c r="E1679" s="22"/>
      <c r="F1679" s="23"/>
      <c r="G1679">
        <f>IF($A1679="","","#"&amp;TRIM(SUBSTITUTE(SUBSTITUTE(SUBSTITUTE(SUBSTITUTE(SUBSTITUTE(SUBSTITUTE($A1679,"-",""),"(",""),")",""),".",""),"+","")," ","")))</f>
      </c>
    </row>
    <row r="1680" spans="1:7" x14ac:dyDescent="0.3">
      <c r="A1680" s="11"/>
      <c r="B1680" s="38">
        <f>IF($A1680="","",IFERROR(IF(INDEX(Pledges!$D$5:$D$2500,MATCH($G1680,Pledges!$K$5:$K$2500,0))="","⚠ no amount on Pledges",IF(INDEX(Pledges!$B$5:$B$2500,MATCH($G1680,Pledges!$K$5:$K$2500,0))="","",INDEX(Pledges!$B$5:$B$2500,MATCH($G1680,Pledges!$K$5:$K$2500,0)))),"⚠ phone not in Pledges"))</f>
      </c>
      <c r="C1680" s="12"/>
      <c r="D1680" s="13"/>
      <c r="E1680" s="22"/>
      <c r="F1680" s="23"/>
      <c r="G1680">
        <f>IF($A1680="","","#"&amp;TRIM(SUBSTITUTE(SUBSTITUTE(SUBSTITUTE(SUBSTITUTE(SUBSTITUTE(SUBSTITUTE($A1680,"-",""),"(",""),")",""),".",""),"+","")," ","")))</f>
      </c>
    </row>
    <row r="1681" spans="1:7" x14ac:dyDescent="0.3">
      <c r="A1681" s="11"/>
      <c r="B1681" s="38">
        <f>IF($A1681="","",IFERROR(IF(INDEX(Pledges!$D$5:$D$2500,MATCH($G1681,Pledges!$K$5:$K$2500,0))="","⚠ no amount on Pledges",IF(INDEX(Pledges!$B$5:$B$2500,MATCH($G1681,Pledges!$K$5:$K$2500,0))="","",INDEX(Pledges!$B$5:$B$2500,MATCH($G1681,Pledges!$K$5:$K$2500,0)))),"⚠ phone not in Pledges"))</f>
      </c>
      <c r="C1681" s="12"/>
      <c r="D1681" s="13"/>
      <c r="E1681" s="22"/>
      <c r="F1681" s="23"/>
      <c r="G1681">
        <f>IF($A1681="","","#"&amp;TRIM(SUBSTITUTE(SUBSTITUTE(SUBSTITUTE(SUBSTITUTE(SUBSTITUTE(SUBSTITUTE($A1681,"-",""),"(",""),")",""),".",""),"+","")," ","")))</f>
      </c>
    </row>
    <row r="1682" spans="1:7" x14ac:dyDescent="0.3">
      <c r="A1682" s="11"/>
      <c r="B1682" s="38">
        <f>IF($A1682="","",IFERROR(IF(INDEX(Pledges!$D$5:$D$2500,MATCH($G1682,Pledges!$K$5:$K$2500,0))="","⚠ no amount on Pledges",IF(INDEX(Pledges!$B$5:$B$2500,MATCH($G1682,Pledges!$K$5:$K$2500,0))="","",INDEX(Pledges!$B$5:$B$2500,MATCH($G1682,Pledges!$K$5:$K$2500,0)))),"⚠ phone not in Pledges"))</f>
      </c>
      <c r="C1682" s="12"/>
      <c r="D1682" s="13"/>
      <c r="E1682" s="22"/>
      <c r="F1682" s="23"/>
      <c r="G1682">
        <f>IF($A1682="","","#"&amp;TRIM(SUBSTITUTE(SUBSTITUTE(SUBSTITUTE(SUBSTITUTE(SUBSTITUTE(SUBSTITUTE($A1682,"-",""),"(",""),")",""),".",""),"+","")," ","")))</f>
      </c>
    </row>
    <row r="1683" spans="1:7" x14ac:dyDescent="0.3">
      <c r="A1683" s="11"/>
      <c r="B1683" s="38">
        <f>IF($A1683="","",IFERROR(IF(INDEX(Pledges!$D$5:$D$2500,MATCH($G1683,Pledges!$K$5:$K$2500,0))="","⚠ no amount on Pledges",IF(INDEX(Pledges!$B$5:$B$2500,MATCH($G1683,Pledges!$K$5:$K$2500,0))="","",INDEX(Pledges!$B$5:$B$2500,MATCH($G1683,Pledges!$K$5:$K$2500,0)))),"⚠ phone not in Pledges"))</f>
      </c>
      <c r="C1683" s="12"/>
      <c r="D1683" s="13"/>
      <c r="E1683" s="22"/>
      <c r="F1683" s="23"/>
      <c r="G1683">
        <f>IF($A1683="","","#"&amp;TRIM(SUBSTITUTE(SUBSTITUTE(SUBSTITUTE(SUBSTITUTE(SUBSTITUTE(SUBSTITUTE($A1683,"-",""),"(",""),")",""),".",""),"+","")," ","")))</f>
      </c>
    </row>
    <row r="1684" spans="1:7" x14ac:dyDescent="0.3">
      <c r="A1684" s="11"/>
      <c r="B1684" s="38">
        <f>IF($A1684="","",IFERROR(IF(INDEX(Pledges!$D$5:$D$2500,MATCH($G1684,Pledges!$K$5:$K$2500,0))="","⚠ no amount on Pledges",IF(INDEX(Pledges!$B$5:$B$2500,MATCH($G1684,Pledges!$K$5:$K$2500,0))="","",INDEX(Pledges!$B$5:$B$2500,MATCH($G1684,Pledges!$K$5:$K$2500,0)))),"⚠ phone not in Pledges"))</f>
      </c>
      <c r="C1684" s="12"/>
      <c r="D1684" s="13"/>
      <c r="E1684" s="22"/>
      <c r="F1684" s="23"/>
      <c r="G1684">
        <f>IF($A1684="","","#"&amp;TRIM(SUBSTITUTE(SUBSTITUTE(SUBSTITUTE(SUBSTITUTE(SUBSTITUTE(SUBSTITUTE($A1684,"-",""),"(",""),")",""),".",""),"+","")," ","")))</f>
      </c>
    </row>
    <row r="1685" spans="1:7" x14ac:dyDescent="0.3">
      <c r="A1685" s="11"/>
      <c r="B1685" s="38">
        <f>IF($A1685="","",IFERROR(IF(INDEX(Pledges!$D$5:$D$2500,MATCH($G1685,Pledges!$K$5:$K$2500,0))="","⚠ no amount on Pledges",IF(INDEX(Pledges!$B$5:$B$2500,MATCH($G1685,Pledges!$K$5:$K$2500,0))="","",INDEX(Pledges!$B$5:$B$2500,MATCH($G1685,Pledges!$K$5:$K$2500,0)))),"⚠ phone not in Pledges"))</f>
      </c>
      <c r="C1685" s="12"/>
      <c r="D1685" s="13"/>
      <c r="E1685" s="22"/>
      <c r="F1685" s="23"/>
      <c r="G1685">
        <f>IF($A1685="","","#"&amp;TRIM(SUBSTITUTE(SUBSTITUTE(SUBSTITUTE(SUBSTITUTE(SUBSTITUTE(SUBSTITUTE($A1685,"-",""),"(",""),")",""),".",""),"+","")," ","")))</f>
      </c>
    </row>
    <row r="1686" spans="1:7" x14ac:dyDescent="0.3">
      <c r="A1686" s="11"/>
      <c r="B1686" s="38">
        <f>IF($A1686="","",IFERROR(IF(INDEX(Pledges!$D$5:$D$2500,MATCH($G1686,Pledges!$K$5:$K$2500,0))="","⚠ no amount on Pledges",IF(INDEX(Pledges!$B$5:$B$2500,MATCH($G1686,Pledges!$K$5:$K$2500,0))="","",INDEX(Pledges!$B$5:$B$2500,MATCH($G1686,Pledges!$K$5:$K$2500,0)))),"⚠ phone not in Pledges"))</f>
      </c>
      <c r="C1686" s="12"/>
      <c r="D1686" s="13"/>
      <c r="E1686" s="22"/>
      <c r="F1686" s="23"/>
      <c r="G1686">
        <f>IF($A1686="","","#"&amp;TRIM(SUBSTITUTE(SUBSTITUTE(SUBSTITUTE(SUBSTITUTE(SUBSTITUTE(SUBSTITUTE($A1686,"-",""),"(",""),")",""),".",""),"+","")," ","")))</f>
      </c>
    </row>
    <row r="1687" spans="1:7" x14ac:dyDescent="0.3">
      <c r="A1687" s="11"/>
      <c r="B1687" s="38">
        <f>IF($A1687="","",IFERROR(IF(INDEX(Pledges!$D$5:$D$2500,MATCH($G1687,Pledges!$K$5:$K$2500,0))="","⚠ no amount on Pledges",IF(INDEX(Pledges!$B$5:$B$2500,MATCH($G1687,Pledges!$K$5:$K$2500,0))="","",INDEX(Pledges!$B$5:$B$2500,MATCH($G1687,Pledges!$K$5:$K$2500,0)))),"⚠ phone not in Pledges"))</f>
      </c>
      <c r="C1687" s="12"/>
      <c r="D1687" s="13"/>
      <c r="E1687" s="22"/>
      <c r="F1687" s="23"/>
      <c r="G1687">
        <f>IF($A1687="","","#"&amp;TRIM(SUBSTITUTE(SUBSTITUTE(SUBSTITUTE(SUBSTITUTE(SUBSTITUTE(SUBSTITUTE($A1687,"-",""),"(",""),")",""),".",""),"+","")," ","")))</f>
      </c>
    </row>
    <row r="1688" spans="1:7" x14ac:dyDescent="0.3">
      <c r="A1688" s="11"/>
      <c r="B1688" s="38">
        <f>IF($A1688="","",IFERROR(IF(INDEX(Pledges!$D$5:$D$2500,MATCH($G1688,Pledges!$K$5:$K$2500,0))="","⚠ no amount on Pledges",IF(INDEX(Pledges!$B$5:$B$2500,MATCH($G1688,Pledges!$K$5:$K$2500,0))="","",INDEX(Pledges!$B$5:$B$2500,MATCH($G1688,Pledges!$K$5:$K$2500,0)))),"⚠ phone not in Pledges"))</f>
      </c>
      <c r="C1688" s="12"/>
      <c r="D1688" s="13"/>
      <c r="E1688" s="22"/>
      <c r="F1688" s="23"/>
      <c r="G1688">
        <f>IF($A1688="","","#"&amp;TRIM(SUBSTITUTE(SUBSTITUTE(SUBSTITUTE(SUBSTITUTE(SUBSTITUTE(SUBSTITUTE($A1688,"-",""),"(",""),")",""),".",""),"+","")," ","")))</f>
      </c>
    </row>
    <row r="1689" spans="1:7" x14ac:dyDescent="0.3">
      <c r="A1689" s="11"/>
      <c r="B1689" s="38">
        <f>IF($A1689="","",IFERROR(IF(INDEX(Pledges!$D$5:$D$2500,MATCH($G1689,Pledges!$K$5:$K$2500,0))="","⚠ no amount on Pledges",IF(INDEX(Pledges!$B$5:$B$2500,MATCH($G1689,Pledges!$K$5:$K$2500,0))="","",INDEX(Pledges!$B$5:$B$2500,MATCH($G1689,Pledges!$K$5:$K$2500,0)))),"⚠ phone not in Pledges"))</f>
      </c>
      <c r="C1689" s="12"/>
      <c r="D1689" s="13"/>
      <c r="E1689" s="22"/>
      <c r="F1689" s="23"/>
      <c r="G1689">
        <f>IF($A1689="","","#"&amp;TRIM(SUBSTITUTE(SUBSTITUTE(SUBSTITUTE(SUBSTITUTE(SUBSTITUTE(SUBSTITUTE($A1689,"-",""),"(",""),")",""),".",""),"+","")," ","")))</f>
      </c>
    </row>
    <row r="1690" spans="1:7" x14ac:dyDescent="0.3">
      <c r="A1690" s="11"/>
      <c r="B1690" s="38">
        <f>IF($A1690="","",IFERROR(IF(INDEX(Pledges!$D$5:$D$2500,MATCH($G1690,Pledges!$K$5:$K$2500,0))="","⚠ no amount on Pledges",IF(INDEX(Pledges!$B$5:$B$2500,MATCH($G1690,Pledges!$K$5:$K$2500,0))="","",INDEX(Pledges!$B$5:$B$2500,MATCH($G1690,Pledges!$K$5:$K$2500,0)))),"⚠ phone not in Pledges"))</f>
      </c>
      <c r="C1690" s="12"/>
      <c r="D1690" s="13"/>
      <c r="E1690" s="22"/>
      <c r="F1690" s="23"/>
      <c r="G1690">
        <f>IF($A1690="","","#"&amp;TRIM(SUBSTITUTE(SUBSTITUTE(SUBSTITUTE(SUBSTITUTE(SUBSTITUTE(SUBSTITUTE($A1690,"-",""),"(",""),")",""),".",""),"+","")," ","")))</f>
      </c>
    </row>
    <row r="1691" spans="1:7" x14ac:dyDescent="0.3">
      <c r="A1691" s="11"/>
      <c r="B1691" s="38">
        <f>IF($A1691="","",IFERROR(IF(INDEX(Pledges!$D$5:$D$2500,MATCH($G1691,Pledges!$K$5:$K$2500,0))="","⚠ no amount on Pledges",IF(INDEX(Pledges!$B$5:$B$2500,MATCH($G1691,Pledges!$K$5:$K$2500,0))="","",INDEX(Pledges!$B$5:$B$2500,MATCH($G1691,Pledges!$K$5:$K$2500,0)))),"⚠ phone not in Pledges"))</f>
      </c>
      <c r="C1691" s="12"/>
      <c r="D1691" s="13"/>
      <c r="E1691" s="22"/>
      <c r="F1691" s="23"/>
      <c r="G1691">
        <f>IF($A1691="","","#"&amp;TRIM(SUBSTITUTE(SUBSTITUTE(SUBSTITUTE(SUBSTITUTE(SUBSTITUTE(SUBSTITUTE($A1691,"-",""),"(",""),")",""),".",""),"+","")," ","")))</f>
      </c>
    </row>
    <row r="1692" spans="1:7" x14ac:dyDescent="0.3">
      <c r="A1692" s="11"/>
      <c r="B1692" s="38">
        <f>IF($A1692="","",IFERROR(IF(INDEX(Pledges!$D$5:$D$2500,MATCH($G1692,Pledges!$K$5:$K$2500,0))="","⚠ no amount on Pledges",IF(INDEX(Pledges!$B$5:$B$2500,MATCH($G1692,Pledges!$K$5:$K$2500,0))="","",INDEX(Pledges!$B$5:$B$2500,MATCH($G1692,Pledges!$K$5:$K$2500,0)))),"⚠ phone not in Pledges"))</f>
      </c>
      <c r="C1692" s="12"/>
      <c r="D1692" s="13"/>
      <c r="E1692" s="22"/>
      <c r="F1692" s="23"/>
      <c r="G1692">
        <f>IF($A1692="","","#"&amp;TRIM(SUBSTITUTE(SUBSTITUTE(SUBSTITUTE(SUBSTITUTE(SUBSTITUTE(SUBSTITUTE($A1692,"-",""),"(",""),")",""),".",""),"+","")," ","")))</f>
      </c>
    </row>
    <row r="1693" spans="1:7" x14ac:dyDescent="0.3">
      <c r="A1693" s="11"/>
      <c r="B1693" s="38">
        <f>IF($A1693="","",IFERROR(IF(INDEX(Pledges!$D$5:$D$2500,MATCH($G1693,Pledges!$K$5:$K$2500,0))="","⚠ no amount on Pledges",IF(INDEX(Pledges!$B$5:$B$2500,MATCH($G1693,Pledges!$K$5:$K$2500,0))="","",INDEX(Pledges!$B$5:$B$2500,MATCH($G1693,Pledges!$K$5:$K$2500,0)))),"⚠ phone not in Pledges"))</f>
      </c>
      <c r="C1693" s="12"/>
      <c r="D1693" s="13"/>
      <c r="E1693" s="22"/>
      <c r="F1693" s="23"/>
      <c r="G1693">
        <f>IF($A1693="","","#"&amp;TRIM(SUBSTITUTE(SUBSTITUTE(SUBSTITUTE(SUBSTITUTE(SUBSTITUTE(SUBSTITUTE($A1693,"-",""),"(",""),")",""),".",""),"+","")," ","")))</f>
      </c>
    </row>
    <row r="1694" spans="1:7" x14ac:dyDescent="0.3">
      <c r="A1694" s="11"/>
      <c r="B1694" s="38">
        <f>IF($A1694="","",IFERROR(IF(INDEX(Pledges!$D$5:$D$2500,MATCH($G1694,Pledges!$K$5:$K$2500,0))="","⚠ no amount on Pledges",IF(INDEX(Pledges!$B$5:$B$2500,MATCH($G1694,Pledges!$K$5:$K$2500,0))="","",INDEX(Pledges!$B$5:$B$2500,MATCH($G1694,Pledges!$K$5:$K$2500,0)))),"⚠ phone not in Pledges"))</f>
      </c>
      <c r="C1694" s="12"/>
      <c r="D1694" s="13"/>
      <c r="E1694" s="22"/>
      <c r="F1694" s="23"/>
      <c r="G1694">
        <f>IF($A1694="","","#"&amp;TRIM(SUBSTITUTE(SUBSTITUTE(SUBSTITUTE(SUBSTITUTE(SUBSTITUTE(SUBSTITUTE($A1694,"-",""),"(",""),")",""),".",""),"+","")," ","")))</f>
      </c>
    </row>
    <row r="1695" spans="1:7" x14ac:dyDescent="0.3">
      <c r="A1695" s="11"/>
      <c r="B1695" s="38">
        <f>IF($A1695="","",IFERROR(IF(INDEX(Pledges!$D$5:$D$2500,MATCH($G1695,Pledges!$K$5:$K$2500,0))="","⚠ no amount on Pledges",IF(INDEX(Pledges!$B$5:$B$2500,MATCH($G1695,Pledges!$K$5:$K$2500,0))="","",INDEX(Pledges!$B$5:$B$2500,MATCH($G1695,Pledges!$K$5:$K$2500,0)))),"⚠ phone not in Pledges"))</f>
      </c>
      <c r="C1695" s="12"/>
      <c r="D1695" s="13"/>
      <c r="E1695" s="22"/>
      <c r="F1695" s="23"/>
      <c r="G1695">
        <f>IF($A1695="","","#"&amp;TRIM(SUBSTITUTE(SUBSTITUTE(SUBSTITUTE(SUBSTITUTE(SUBSTITUTE(SUBSTITUTE($A1695,"-",""),"(",""),")",""),".",""),"+","")," ","")))</f>
      </c>
    </row>
    <row r="1696" spans="1:7" x14ac:dyDescent="0.3">
      <c r="A1696" s="11"/>
      <c r="B1696" s="38">
        <f>IF($A1696="","",IFERROR(IF(INDEX(Pledges!$D$5:$D$2500,MATCH($G1696,Pledges!$K$5:$K$2500,0))="","⚠ no amount on Pledges",IF(INDEX(Pledges!$B$5:$B$2500,MATCH($G1696,Pledges!$K$5:$K$2500,0))="","",INDEX(Pledges!$B$5:$B$2500,MATCH($G1696,Pledges!$K$5:$K$2500,0)))),"⚠ phone not in Pledges"))</f>
      </c>
      <c r="C1696" s="12"/>
      <c r="D1696" s="13"/>
      <c r="E1696" s="22"/>
      <c r="F1696" s="23"/>
      <c r="G1696">
        <f>IF($A1696="","","#"&amp;TRIM(SUBSTITUTE(SUBSTITUTE(SUBSTITUTE(SUBSTITUTE(SUBSTITUTE(SUBSTITUTE($A1696,"-",""),"(",""),")",""),".",""),"+","")," ","")))</f>
      </c>
    </row>
    <row r="1697" spans="1:7" x14ac:dyDescent="0.3">
      <c r="A1697" s="11"/>
      <c r="B1697" s="38">
        <f>IF($A1697="","",IFERROR(IF(INDEX(Pledges!$D$5:$D$2500,MATCH($G1697,Pledges!$K$5:$K$2500,0))="","⚠ no amount on Pledges",IF(INDEX(Pledges!$B$5:$B$2500,MATCH($G1697,Pledges!$K$5:$K$2500,0))="","",INDEX(Pledges!$B$5:$B$2500,MATCH($G1697,Pledges!$K$5:$K$2500,0)))),"⚠ phone not in Pledges"))</f>
      </c>
      <c r="C1697" s="12"/>
      <c r="D1697" s="13"/>
      <c r="E1697" s="22"/>
      <c r="F1697" s="23"/>
      <c r="G1697">
        <f>IF($A1697="","","#"&amp;TRIM(SUBSTITUTE(SUBSTITUTE(SUBSTITUTE(SUBSTITUTE(SUBSTITUTE(SUBSTITUTE($A1697,"-",""),"(",""),")",""),".",""),"+","")," ","")))</f>
      </c>
    </row>
    <row r="1698" spans="1:7" x14ac:dyDescent="0.3">
      <c r="A1698" s="11"/>
      <c r="B1698" s="38">
        <f>IF($A1698="","",IFERROR(IF(INDEX(Pledges!$D$5:$D$2500,MATCH($G1698,Pledges!$K$5:$K$2500,0))="","⚠ no amount on Pledges",IF(INDEX(Pledges!$B$5:$B$2500,MATCH($G1698,Pledges!$K$5:$K$2500,0))="","",INDEX(Pledges!$B$5:$B$2500,MATCH($G1698,Pledges!$K$5:$K$2500,0)))),"⚠ phone not in Pledges"))</f>
      </c>
      <c r="C1698" s="12"/>
      <c r="D1698" s="13"/>
      <c r="E1698" s="22"/>
      <c r="F1698" s="23"/>
      <c r="G1698">
        <f>IF($A1698="","","#"&amp;TRIM(SUBSTITUTE(SUBSTITUTE(SUBSTITUTE(SUBSTITUTE(SUBSTITUTE(SUBSTITUTE($A1698,"-",""),"(",""),")",""),".",""),"+","")," ","")))</f>
      </c>
    </row>
    <row r="1699" spans="1:7" x14ac:dyDescent="0.3">
      <c r="A1699" s="11"/>
      <c r="B1699" s="38">
        <f>IF($A1699="","",IFERROR(IF(INDEX(Pledges!$D$5:$D$2500,MATCH($G1699,Pledges!$K$5:$K$2500,0))="","⚠ no amount on Pledges",IF(INDEX(Pledges!$B$5:$B$2500,MATCH($G1699,Pledges!$K$5:$K$2500,0))="","",INDEX(Pledges!$B$5:$B$2500,MATCH($G1699,Pledges!$K$5:$K$2500,0)))),"⚠ phone not in Pledges"))</f>
      </c>
      <c r="C1699" s="12"/>
      <c r="D1699" s="13"/>
      <c r="E1699" s="22"/>
      <c r="F1699" s="23"/>
      <c r="G1699">
        <f>IF($A1699="","","#"&amp;TRIM(SUBSTITUTE(SUBSTITUTE(SUBSTITUTE(SUBSTITUTE(SUBSTITUTE(SUBSTITUTE($A1699,"-",""),"(",""),")",""),".",""),"+","")," ","")))</f>
      </c>
    </row>
    <row r="1700" spans="1:7" x14ac:dyDescent="0.3">
      <c r="A1700" s="11"/>
      <c r="B1700" s="38">
        <f>IF($A1700="","",IFERROR(IF(INDEX(Pledges!$D$5:$D$2500,MATCH($G1700,Pledges!$K$5:$K$2500,0))="","⚠ no amount on Pledges",IF(INDEX(Pledges!$B$5:$B$2500,MATCH($G1700,Pledges!$K$5:$K$2500,0))="","",INDEX(Pledges!$B$5:$B$2500,MATCH($G1700,Pledges!$K$5:$K$2500,0)))),"⚠ phone not in Pledges"))</f>
      </c>
      <c r="C1700" s="12"/>
      <c r="D1700" s="13"/>
      <c r="E1700" s="22"/>
      <c r="F1700" s="23"/>
      <c r="G1700">
        <f>IF($A1700="","","#"&amp;TRIM(SUBSTITUTE(SUBSTITUTE(SUBSTITUTE(SUBSTITUTE(SUBSTITUTE(SUBSTITUTE($A1700,"-",""),"(",""),")",""),".",""),"+","")," ","")))</f>
      </c>
    </row>
    <row r="1701" spans="1:7" x14ac:dyDescent="0.3">
      <c r="A1701" s="11"/>
      <c r="B1701" s="38">
        <f>IF($A1701="","",IFERROR(IF(INDEX(Pledges!$D$5:$D$2500,MATCH($G1701,Pledges!$K$5:$K$2500,0))="","⚠ no amount on Pledges",IF(INDEX(Pledges!$B$5:$B$2500,MATCH($G1701,Pledges!$K$5:$K$2500,0))="","",INDEX(Pledges!$B$5:$B$2500,MATCH($G1701,Pledges!$K$5:$K$2500,0)))),"⚠ phone not in Pledges"))</f>
      </c>
      <c r="C1701" s="12"/>
      <c r="D1701" s="13"/>
      <c r="E1701" s="22"/>
      <c r="F1701" s="23"/>
      <c r="G1701">
        <f>IF($A1701="","","#"&amp;TRIM(SUBSTITUTE(SUBSTITUTE(SUBSTITUTE(SUBSTITUTE(SUBSTITUTE(SUBSTITUTE($A1701,"-",""),"(",""),")",""),".",""),"+","")," ","")))</f>
      </c>
    </row>
    <row r="1702" spans="1:7" x14ac:dyDescent="0.3">
      <c r="A1702" s="11"/>
      <c r="B1702" s="38">
        <f>IF($A1702="","",IFERROR(IF(INDEX(Pledges!$D$5:$D$2500,MATCH($G1702,Pledges!$K$5:$K$2500,0))="","⚠ no amount on Pledges",IF(INDEX(Pledges!$B$5:$B$2500,MATCH($G1702,Pledges!$K$5:$K$2500,0))="","",INDEX(Pledges!$B$5:$B$2500,MATCH($G1702,Pledges!$K$5:$K$2500,0)))),"⚠ phone not in Pledges"))</f>
      </c>
      <c r="C1702" s="12"/>
      <c r="D1702" s="13"/>
      <c r="E1702" s="22"/>
      <c r="F1702" s="23"/>
      <c r="G1702">
        <f>IF($A1702="","","#"&amp;TRIM(SUBSTITUTE(SUBSTITUTE(SUBSTITUTE(SUBSTITUTE(SUBSTITUTE(SUBSTITUTE($A1702,"-",""),"(",""),")",""),".",""),"+","")," ","")))</f>
      </c>
    </row>
    <row r="1703" spans="1:7" x14ac:dyDescent="0.3">
      <c r="A1703" s="11"/>
      <c r="B1703" s="38">
        <f>IF($A1703="","",IFERROR(IF(INDEX(Pledges!$D$5:$D$2500,MATCH($G1703,Pledges!$K$5:$K$2500,0))="","⚠ no amount on Pledges",IF(INDEX(Pledges!$B$5:$B$2500,MATCH($G1703,Pledges!$K$5:$K$2500,0))="","",INDEX(Pledges!$B$5:$B$2500,MATCH($G1703,Pledges!$K$5:$K$2500,0)))),"⚠ phone not in Pledges"))</f>
      </c>
      <c r="C1703" s="12"/>
      <c r="D1703" s="13"/>
      <c r="E1703" s="22"/>
      <c r="F1703" s="23"/>
      <c r="G1703">
        <f>IF($A1703="","","#"&amp;TRIM(SUBSTITUTE(SUBSTITUTE(SUBSTITUTE(SUBSTITUTE(SUBSTITUTE(SUBSTITUTE($A1703,"-",""),"(",""),")",""),".",""),"+","")," ","")))</f>
      </c>
    </row>
    <row r="1704" spans="1:7" x14ac:dyDescent="0.3">
      <c r="A1704" s="11"/>
      <c r="B1704" s="38">
        <f>IF($A1704="","",IFERROR(IF(INDEX(Pledges!$D$5:$D$2500,MATCH($G1704,Pledges!$K$5:$K$2500,0))="","⚠ no amount on Pledges",IF(INDEX(Pledges!$B$5:$B$2500,MATCH($G1704,Pledges!$K$5:$K$2500,0))="","",INDEX(Pledges!$B$5:$B$2500,MATCH($G1704,Pledges!$K$5:$K$2500,0)))),"⚠ phone not in Pledges"))</f>
      </c>
      <c r="C1704" s="12"/>
      <c r="D1704" s="13"/>
      <c r="E1704" s="22"/>
      <c r="F1704" s="23"/>
      <c r="G1704">
        <f>IF($A1704="","","#"&amp;TRIM(SUBSTITUTE(SUBSTITUTE(SUBSTITUTE(SUBSTITUTE(SUBSTITUTE(SUBSTITUTE($A1704,"-",""),"(",""),")",""),".",""),"+","")," ","")))</f>
      </c>
    </row>
    <row r="1705" spans="1:7" x14ac:dyDescent="0.3">
      <c r="A1705" s="11"/>
      <c r="B1705" s="38">
        <f>IF($A1705="","",IFERROR(IF(INDEX(Pledges!$D$5:$D$2500,MATCH($G1705,Pledges!$K$5:$K$2500,0))="","⚠ no amount on Pledges",IF(INDEX(Pledges!$B$5:$B$2500,MATCH($G1705,Pledges!$K$5:$K$2500,0))="","",INDEX(Pledges!$B$5:$B$2500,MATCH($G1705,Pledges!$K$5:$K$2500,0)))),"⚠ phone not in Pledges"))</f>
      </c>
      <c r="C1705" s="12"/>
      <c r="D1705" s="13"/>
      <c r="E1705" s="22"/>
      <c r="F1705" s="23"/>
      <c r="G1705">
        <f>IF($A1705="","","#"&amp;TRIM(SUBSTITUTE(SUBSTITUTE(SUBSTITUTE(SUBSTITUTE(SUBSTITUTE(SUBSTITUTE($A1705,"-",""),"(",""),")",""),".",""),"+","")," ","")))</f>
      </c>
    </row>
    <row r="1706" spans="1:7" x14ac:dyDescent="0.3">
      <c r="A1706" s="11"/>
      <c r="B1706" s="38">
        <f>IF($A1706="","",IFERROR(IF(INDEX(Pledges!$D$5:$D$2500,MATCH($G1706,Pledges!$K$5:$K$2500,0))="","⚠ no amount on Pledges",IF(INDEX(Pledges!$B$5:$B$2500,MATCH($G1706,Pledges!$K$5:$K$2500,0))="","",INDEX(Pledges!$B$5:$B$2500,MATCH($G1706,Pledges!$K$5:$K$2500,0)))),"⚠ phone not in Pledges"))</f>
      </c>
      <c r="C1706" s="12"/>
      <c r="D1706" s="13"/>
      <c r="E1706" s="22"/>
      <c r="F1706" s="23"/>
      <c r="G1706">
        <f>IF($A1706="","","#"&amp;TRIM(SUBSTITUTE(SUBSTITUTE(SUBSTITUTE(SUBSTITUTE(SUBSTITUTE(SUBSTITUTE($A1706,"-",""),"(",""),")",""),".",""),"+","")," ","")))</f>
      </c>
    </row>
    <row r="1707" spans="1:7" x14ac:dyDescent="0.3">
      <c r="A1707" s="11"/>
      <c r="B1707" s="38">
        <f>IF($A1707="","",IFERROR(IF(INDEX(Pledges!$D$5:$D$2500,MATCH($G1707,Pledges!$K$5:$K$2500,0))="","⚠ no amount on Pledges",IF(INDEX(Pledges!$B$5:$B$2500,MATCH($G1707,Pledges!$K$5:$K$2500,0))="","",INDEX(Pledges!$B$5:$B$2500,MATCH($G1707,Pledges!$K$5:$K$2500,0)))),"⚠ phone not in Pledges"))</f>
      </c>
      <c r="C1707" s="12"/>
      <c r="D1707" s="13"/>
      <c r="E1707" s="22"/>
      <c r="F1707" s="23"/>
      <c r="G1707">
        <f>IF($A1707="","","#"&amp;TRIM(SUBSTITUTE(SUBSTITUTE(SUBSTITUTE(SUBSTITUTE(SUBSTITUTE(SUBSTITUTE($A1707,"-",""),"(",""),")",""),".",""),"+","")," ","")))</f>
      </c>
    </row>
    <row r="1708" spans="1:7" x14ac:dyDescent="0.3">
      <c r="A1708" s="11"/>
      <c r="B1708" s="38">
        <f>IF($A1708="","",IFERROR(IF(INDEX(Pledges!$D$5:$D$2500,MATCH($G1708,Pledges!$K$5:$K$2500,0))="","⚠ no amount on Pledges",IF(INDEX(Pledges!$B$5:$B$2500,MATCH($G1708,Pledges!$K$5:$K$2500,0))="","",INDEX(Pledges!$B$5:$B$2500,MATCH($G1708,Pledges!$K$5:$K$2500,0)))),"⚠ phone not in Pledges"))</f>
      </c>
      <c r="C1708" s="12"/>
      <c r="D1708" s="13"/>
      <c r="E1708" s="22"/>
      <c r="F1708" s="23"/>
      <c r="G1708">
        <f>IF($A1708="","","#"&amp;TRIM(SUBSTITUTE(SUBSTITUTE(SUBSTITUTE(SUBSTITUTE(SUBSTITUTE(SUBSTITUTE($A1708,"-",""),"(",""),")",""),".",""),"+","")," ","")))</f>
      </c>
    </row>
    <row r="1709" spans="1:7" x14ac:dyDescent="0.3">
      <c r="A1709" s="11"/>
      <c r="B1709" s="38">
        <f>IF($A1709="","",IFERROR(IF(INDEX(Pledges!$D$5:$D$2500,MATCH($G1709,Pledges!$K$5:$K$2500,0))="","⚠ no amount on Pledges",IF(INDEX(Pledges!$B$5:$B$2500,MATCH($G1709,Pledges!$K$5:$K$2500,0))="","",INDEX(Pledges!$B$5:$B$2500,MATCH($G1709,Pledges!$K$5:$K$2500,0)))),"⚠ phone not in Pledges"))</f>
      </c>
      <c r="C1709" s="12"/>
      <c r="D1709" s="13"/>
      <c r="E1709" s="22"/>
      <c r="F1709" s="23"/>
      <c r="G1709">
        <f>IF($A1709="","","#"&amp;TRIM(SUBSTITUTE(SUBSTITUTE(SUBSTITUTE(SUBSTITUTE(SUBSTITUTE(SUBSTITUTE($A1709,"-",""),"(",""),")",""),".",""),"+","")," ","")))</f>
      </c>
    </row>
    <row r="1710" spans="1:7" x14ac:dyDescent="0.3">
      <c r="A1710" s="11"/>
      <c r="B1710" s="38">
        <f>IF($A1710="","",IFERROR(IF(INDEX(Pledges!$D$5:$D$2500,MATCH($G1710,Pledges!$K$5:$K$2500,0))="","⚠ no amount on Pledges",IF(INDEX(Pledges!$B$5:$B$2500,MATCH($G1710,Pledges!$K$5:$K$2500,0))="","",INDEX(Pledges!$B$5:$B$2500,MATCH($G1710,Pledges!$K$5:$K$2500,0)))),"⚠ phone not in Pledges"))</f>
      </c>
      <c r="C1710" s="12"/>
      <c r="D1710" s="13"/>
      <c r="E1710" s="22"/>
      <c r="F1710" s="23"/>
      <c r="G1710">
        <f>IF($A1710="","","#"&amp;TRIM(SUBSTITUTE(SUBSTITUTE(SUBSTITUTE(SUBSTITUTE(SUBSTITUTE(SUBSTITUTE($A1710,"-",""),"(",""),")",""),".",""),"+","")," ","")))</f>
      </c>
    </row>
    <row r="1711" spans="1:7" x14ac:dyDescent="0.3">
      <c r="A1711" s="11"/>
      <c r="B1711" s="38">
        <f>IF($A1711="","",IFERROR(IF(INDEX(Pledges!$D$5:$D$2500,MATCH($G1711,Pledges!$K$5:$K$2500,0))="","⚠ no amount on Pledges",IF(INDEX(Pledges!$B$5:$B$2500,MATCH($G1711,Pledges!$K$5:$K$2500,0))="","",INDEX(Pledges!$B$5:$B$2500,MATCH($G1711,Pledges!$K$5:$K$2500,0)))),"⚠ phone not in Pledges"))</f>
      </c>
      <c r="C1711" s="12"/>
      <c r="D1711" s="13"/>
      <c r="E1711" s="22"/>
      <c r="F1711" s="23"/>
      <c r="G1711">
        <f>IF($A1711="","","#"&amp;TRIM(SUBSTITUTE(SUBSTITUTE(SUBSTITUTE(SUBSTITUTE(SUBSTITUTE(SUBSTITUTE($A1711,"-",""),"(",""),")",""),".",""),"+","")," ","")))</f>
      </c>
    </row>
    <row r="1712" spans="1:7" x14ac:dyDescent="0.3">
      <c r="A1712" s="11"/>
      <c r="B1712" s="38">
        <f>IF($A1712="","",IFERROR(IF(INDEX(Pledges!$D$5:$D$2500,MATCH($G1712,Pledges!$K$5:$K$2500,0))="","⚠ no amount on Pledges",IF(INDEX(Pledges!$B$5:$B$2500,MATCH($G1712,Pledges!$K$5:$K$2500,0))="","",INDEX(Pledges!$B$5:$B$2500,MATCH($G1712,Pledges!$K$5:$K$2500,0)))),"⚠ phone not in Pledges"))</f>
      </c>
      <c r="C1712" s="12"/>
      <c r="D1712" s="13"/>
      <c r="E1712" s="22"/>
      <c r="F1712" s="23"/>
      <c r="G1712">
        <f>IF($A1712="","","#"&amp;TRIM(SUBSTITUTE(SUBSTITUTE(SUBSTITUTE(SUBSTITUTE(SUBSTITUTE(SUBSTITUTE($A1712,"-",""),"(",""),")",""),".",""),"+","")," ","")))</f>
      </c>
    </row>
    <row r="1713" spans="1:7" x14ac:dyDescent="0.3">
      <c r="A1713" s="11"/>
      <c r="B1713" s="38">
        <f>IF($A1713="","",IFERROR(IF(INDEX(Pledges!$D$5:$D$2500,MATCH($G1713,Pledges!$K$5:$K$2500,0))="","⚠ no amount on Pledges",IF(INDEX(Pledges!$B$5:$B$2500,MATCH($G1713,Pledges!$K$5:$K$2500,0))="","",INDEX(Pledges!$B$5:$B$2500,MATCH($G1713,Pledges!$K$5:$K$2500,0)))),"⚠ phone not in Pledges"))</f>
      </c>
      <c r="C1713" s="12"/>
      <c r="D1713" s="13"/>
      <c r="E1713" s="22"/>
      <c r="F1713" s="23"/>
      <c r="G1713">
        <f>IF($A1713="","","#"&amp;TRIM(SUBSTITUTE(SUBSTITUTE(SUBSTITUTE(SUBSTITUTE(SUBSTITUTE(SUBSTITUTE($A1713,"-",""),"(",""),")",""),".",""),"+","")," ","")))</f>
      </c>
    </row>
    <row r="1714" spans="1:7" x14ac:dyDescent="0.3">
      <c r="A1714" s="11"/>
      <c r="B1714" s="38">
        <f>IF($A1714="","",IFERROR(IF(INDEX(Pledges!$D$5:$D$2500,MATCH($G1714,Pledges!$K$5:$K$2500,0))="","⚠ no amount on Pledges",IF(INDEX(Pledges!$B$5:$B$2500,MATCH($G1714,Pledges!$K$5:$K$2500,0))="","",INDEX(Pledges!$B$5:$B$2500,MATCH($G1714,Pledges!$K$5:$K$2500,0)))),"⚠ phone not in Pledges"))</f>
      </c>
      <c r="C1714" s="12"/>
      <c r="D1714" s="13"/>
      <c r="E1714" s="22"/>
      <c r="F1714" s="23"/>
      <c r="G1714">
        <f>IF($A1714="","","#"&amp;TRIM(SUBSTITUTE(SUBSTITUTE(SUBSTITUTE(SUBSTITUTE(SUBSTITUTE(SUBSTITUTE($A1714,"-",""),"(",""),")",""),".",""),"+","")," ","")))</f>
      </c>
    </row>
    <row r="1715" spans="1:7" x14ac:dyDescent="0.3">
      <c r="A1715" s="11"/>
      <c r="B1715" s="38">
        <f>IF($A1715="","",IFERROR(IF(INDEX(Pledges!$D$5:$D$2500,MATCH($G1715,Pledges!$K$5:$K$2500,0))="","⚠ no amount on Pledges",IF(INDEX(Pledges!$B$5:$B$2500,MATCH($G1715,Pledges!$K$5:$K$2500,0))="","",INDEX(Pledges!$B$5:$B$2500,MATCH($G1715,Pledges!$K$5:$K$2500,0)))),"⚠ phone not in Pledges"))</f>
      </c>
      <c r="C1715" s="12"/>
      <c r="D1715" s="13"/>
      <c r="E1715" s="22"/>
      <c r="F1715" s="23"/>
      <c r="G1715">
        <f>IF($A1715="","","#"&amp;TRIM(SUBSTITUTE(SUBSTITUTE(SUBSTITUTE(SUBSTITUTE(SUBSTITUTE(SUBSTITUTE($A1715,"-",""),"(",""),")",""),".",""),"+","")," ","")))</f>
      </c>
    </row>
    <row r="1716" spans="1:7" x14ac:dyDescent="0.3">
      <c r="A1716" s="11"/>
      <c r="B1716" s="38">
        <f>IF($A1716="","",IFERROR(IF(INDEX(Pledges!$D$5:$D$2500,MATCH($G1716,Pledges!$K$5:$K$2500,0))="","⚠ no amount on Pledges",IF(INDEX(Pledges!$B$5:$B$2500,MATCH($G1716,Pledges!$K$5:$K$2500,0))="","",INDEX(Pledges!$B$5:$B$2500,MATCH($G1716,Pledges!$K$5:$K$2500,0)))),"⚠ phone not in Pledges"))</f>
      </c>
      <c r="C1716" s="12"/>
      <c r="D1716" s="13"/>
      <c r="E1716" s="22"/>
      <c r="F1716" s="23"/>
      <c r="G1716">
        <f>IF($A1716="","","#"&amp;TRIM(SUBSTITUTE(SUBSTITUTE(SUBSTITUTE(SUBSTITUTE(SUBSTITUTE(SUBSTITUTE($A1716,"-",""),"(",""),")",""),".",""),"+","")," ","")))</f>
      </c>
    </row>
    <row r="1717" spans="1:7" x14ac:dyDescent="0.3">
      <c r="A1717" s="11"/>
      <c r="B1717" s="38">
        <f>IF($A1717="","",IFERROR(IF(INDEX(Pledges!$D$5:$D$2500,MATCH($G1717,Pledges!$K$5:$K$2500,0))="","⚠ no amount on Pledges",IF(INDEX(Pledges!$B$5:$B$2500,MATCH($G1717,Pledges!$K$5:$K$2500,0))="","",INDEX(Pledges!$B$5:$B$2500,MATCH($G1717,Pledges!$K$5:$K$2500,0)))),"⚠ phone not in Pledges"))</f>
      </c>
      <c r="C1717" s="12"/>
      <c r="D1717" s="13"/>
      <c r="E1717" s="22"/>
      <c r="F1717" s="23"/>
      <c r="G1717">
        <f>IF($A1717="","","#"&amp;TRIM(SUBSTITUTE(SUBSTITUTE(SUBSTITUTE(SUBSTITUTE(SUBSTITUTE(SUBSTITUTE($A1717,"-",""),"(",""),")",""),".",""),"+","")," ","")))</f>
      </c>
    </row>
    <row r="1718" spans="1:7" x14ac:dyDescent="0.3">
      <c r="A1718" s="11"/>
      <c r="B1718" s="38">
        <f>IF($A1718="","",IFERROR(IF(INDEX(Pledges!$D$5:$D$2500,MATCH($G1718,Pledges!$K$5:$K$2500,0))="","⚠ no amount on Pledges",IF(INDEX(Pledges!$B$5:$B$2500,MATCH($G1718,Pledges!$K$5:$K$2500,0))="","",INDEX(Pledges!$B$5:$B$2500,MATCH($G1718,Pledges!$K$5:$K$2500,0)))),"⚠ phone not in Pledges"))</f>
      </c>
      <c r="C1718" s="12"/>
      <c r="D1718" s="13"/>
      <c r="E1718" s="22"/>
      <c r="F1718" s="23"/>
      <c r="G1718">
        <f>IF($A1718="","","#"&amp;TRIM(SUBSTITUTE(SUBSTITUTE(SUBSTITUTE(SUBSTITUTE(SUBSTITUTE(SUBSTITUTE($A1718,"-",""),"(",""),")",""),".",""),"+","")," ","")))</f>
      </c>
    </row>
    <row r="1719" spans="1:7" x14ac:dyDescent="0.3">
      <c r="A1719" s="11"/>
      <c r="B1719" s="38">
        <f>IF($A1719="","",IFERROR(IF(INDEX(Pledges!$D$5:$D$2500,MATCH($G1719,Pledges!$K$5:$K$2500,0))="","⚠ no amount on Pledges",IF(INDEX(Pledges!$B$5:$B$2500,MATCH($G1719,Pledges!$K$5:$K$2500,0))="","",INDEX(Pledges!$B$5:$B$2500,MATCH($G1719,Pledges!$K$5:$K$2500,0)))),"⚠ phone not in Pledges"))</f>
      </c>
      <c r="C1719" s="12"/>
      <c r="D1719" s="13"/>
      <c r="E1719" s="22"/>
      <c r="F1719" s="23"/>
      <c r="G1719">
        <f>IF($A1719="","","#"&amp;TRIM(SUBSTITUTE(SUBSTITUTE(SUBSTITUTE(SUBSTITUTE(SUBSTITUTE(SUBSTITUTE($A1719,"-",""),"(",""),")",""),".",""),"+","")," ","")))</f>
      </c>
    </row>
    <row r="1720" spans="1:7" x14ac:dyDescent="0.3">
      <c r="A1720" s="11"/>
      <c r="B1720" s="38">
        <f>IF($A1720="","",IFERROR(IF(INDEX(Pledges!$D$5:$D$2500,MATCH($G1720,Pledges!$K$5:$K$2500,0))="","⚠ no amount on Pledges",IF(INDEX(Pledges!$B$5:$B$2500,MATCH($G1720,Pledges!$K$5:$K$2500,0))="","",INDEX(Pledges!$B$5:$B$2500,MATCH($G1720,Pledges!$K$5:$K$2500,0)))),"⚠ phone not in Pledges"))</f>
      </c>
      <c r="C1720" s="12"/>
      <c r="D1720" s="13"/>
      <c r="E1720" s="22"/>
      <c r="F1720" s="23"/>
      <c r="G1720">
        <f>IF($A1720="","","#"&amp;TRIM(SUBSTITUTE(SUBSTITUTE(SUBSTITUTE(SUBSTITUTE(SUBSTITUTE(SUBSTITUTE($A1720,"-",""),"(",""),")",""),".",""),"+","")," ","")))</f>
      </c>
    </row>
    <row r="1721" spans="1:7" x14ac:dyDescent="0.3">
      <c r="A1721" s="11"/>
      <c r="B1721" s="38">
        <f>IF($A1721="","",IFERROR(IF(INDEX(Pledges!$D$5:$D$2500,MATCH($G1721,Pledges!$K$5:$K$2500,0))="","⚠ no amount on Pledges",IF(INDEX(Pledges!$B$5:$B$2500,MATCH($G1721,Pledges!$K$5:$K$2500,0))="","",INDEX(Pledges!$B$5:$B$2500,MATCH($G1721,Pledges!$K$5:$K$2500,0)))),"⚠ phone not in Pledges"))</f>
      </c>
      <c r="C1721" s="12"/>
      <c r="D1721" s="13"/>
      <c r="E1721" s="22"/>
      <c r="F1721" s="23"/>
      <c r="G1721">
        <f>IF($A1721="","","#"&amp;TRIM(SUBSTITUTE(SUBSTITUTE(SUBSTITUTE(SUBSTITUTE(SUBSTITUTE(SUBSTITUTE($A1721,"-",""),"(",""),")",""),".",""),"+","")," ","")))</f>
      </c>
    </row>
    <row r="1722" spans="1:7" x14ac:dyDescent="0.3">
      <c r="A1722" s="11"/>
      <c r="B1722" s="38">
        <f>IF($A1722="","",IFERROR(IF(INDEX(Pledges!$D$5:$D$2500,MATCH($G1722,Pledges!$K$5:$K$2500,0))="","⚠ no amount on Pledges",IF(INDEX(Pledges!$B$5:$B$2500,MATCH($G1722,Pledges!$K$5:$K$2500,0))="","",INDEX(Pledges!$B$5:$B$2500,MATCH($G1722,Pledges!$K$5:$K$2500,0)))),"⚠ phone not in Pledges"))</f>
      </c>
      <c r="C1722" s="12"/>
      <c r="D1722" s="13"/>
      <c r="E1722" s="22"/>
      <c r="F1722" s="23"/>
      <c r="G1722">
        <f>IF($A1722="","","#"&amp;TRIM(SUBSTITUTE(SUBSTITUTE(SUBSTITUTE(SUBSTITUTE(SUBSTITUTE(SUBSTITUTE($A1722,"-",""),"(",""),")",""),".",""),"+","")," ","")))</f>
      </c>
    </row>
    <row r="1723" spans="1:7" x14ac:dyDescent="0.3">
      <c r="A1723" s="11"/>
      <c r="B1723" s="38">
        <f>IF($A1723="","",IFERROR(IF(INDEX(Pledges!$D$5:$D$2500,MATCH($G1723,Pledges!$K$5:$K$2500,0))="","⚠ no amount on Pledges",IF(INDEX(Pledges!$B$5:$B$2500,MATCH($G1723,Pledges!$K$5:$K$2500,0))="","",INDEX(Pledges!$B$5:$B$2500,MATCH($G1723,Pledges!$K$5:$K$2500,0)))),"⚠ phone not in Pledges"))</f>
      </c>
      <c r="C1723" s="12"/>
      <c r="D1723" s="13"/>
      <c r="E1723" s="22"/>
      <c r="F1723" s="23"/>
      <c r="G1723">
        <f>IF($A1723="","","#"&amp;TRIM(SUBSTITUTE(SUBSTITUTE(SUBSTITUTE(SUBSTITUTE(SUBSTITUTE(SUBSTITUTE($A1723,"-",""),"(",""),")",""),".",""),"+","")," ","")))</f>
      </c>
    </row>
    <row r="1724" spans="1:7" x14ac:dyDescent="0.3">
      <c r="A1724" s="11"/>
      <c r="B1724" s="38">
        <f>IF($A1724="","",IFERROR(IF(INDEX(Pledges!$D$5:$D$2500,MATCH($G1724,Pledges!$K$5:$K$2500,0))="","⚠ no amount on Pledges",IF(INDEX(Pledges!$B$5:$B$2500,MATCH($G1724,Pledges!$K$5:$K$2500,0))="","",INDEX(Pledges!$B$5:$B$2500,MATCH($G1724,Pledges!$K$5:$K$2500,0)))),"⚠ phone not in Pledges"))</f>
      </c>
      <c r="C1724" s="12"/>
      <c r="D1724" s="13"/>
      <c r="E1724" s="22"/>
      <c r="F1724" s="23"/>
      <c r="G1724">
        <f>IF($A1724="","","#"&amp;TRIM(SUBSTITUTE(SUBSTITUTE(SUBSTITUTE(SUBSTITUTE(SUBSTITUTE(SUBSTITUTE($A1724,"-",""),"(",""),")",""),".",""),"+","")," ","")))</f>
      </c>
    </row>
    <row r="1725" spans="1:7" x14ac:dyDescent="0.3">
      <c r="A1725" s="11"/>
      <c r="B1725" s="38">
        <f>IF($A1725="","",IFERROR(IF(INDEX(Pledges!$D$5:$D$2500,MATCH($G1725,Pledges!$K$5:$K$2500,0))="","⚠ no amount on Pledges",IF(INDEX(Pledges!$B$5:$B$2500,MATCH($G1725,Pledges!$K$5:$K$2500,0))="","",INDEX(Pledges!$B$5:$B$2500,MATCH($G1725,Pledges!$K$5:$K$2500,0)))),"⚠ phone not in Pledges"))</f>
      </c>
      <c r="C1725" s="12"/>
      <c r="D1725" s="13"/>
      <c r="E1725" s="22"/>
      <c r="F1725" s="23"/>
      <c r="G1725">
        <f>IF($A1725="","","#"&amp;TRIM(SUBSTITUTE(SUBSTITUTE(SUBSTITUTE(SUBSTITUTE(SUBSTITUTE(SUBSTITUTE($A1725,"-",""),"(",""),")",""),".",""),"+","")," ","")))</f>
      </c>
    </row>
    <row r="1726" spans="1:7" x14ac:dyDescent="0.3">
      <c r="A1726" s="11"/>
      <c r="B1726" s="38">
        <f>IF($A1726="","",IFERROR(IF(INDEX(Pledges!$D$5:$D$2500,MATCH($G1726,Pledges!$K$5:$K$2500,0))="","⚠ no amount on Pledges",IF(INDEX(Pledges!$B$5:$B$2500,MATCH($G1726,Pledges!$K$5:$K$2500,0))="","",INDEX(Pledges!$B$5:$B$2500,MATCH($G1726,Pledges!$K$5:$K$2500,0)))),"⚠ phone not in Pledges"))</f>
      </c>
      <c r="C1726" s="12"/>
      <c r="D1726" s="13"/>
      <c r="E1726" s="22"/>
      <c r="F1726" s="23"/>
      <c r="G1726">
        <f>IF($A1726="","","#"&amp;TRIM(SUBSTITUTE(SUBSTITUTE(SUBSTITUTE(SUBSTITUTE(SUBSTITUTE(SUBSTITUTE($A1726,"-",""),"(",""),")",""),".",""),"+","")," ","")))</f>
      </c>
    </row>
    <row r="1727" spans="1:7" x14ac:dyDescent="0.3">
      <c r="A1727" s="11"/>
      <c r="B1727" s="38">
        <f>IF($A1727="","",IFERROR(IF(INDEX(Pledges!$D$5:$D$2500,MATCH($G1727,Pledges!$K$5:$K$2500,0))="","⚠ no amount on Pledges",IF(INDEX(Pledges!$B$5:$B$2500,MATCH($G1727,Pledges!$K$5:$K$2500,0))="","",INDEX(Pledges!$B$5:$B$2500,MATCH($G1727,Pledges!$K$5:$K$2500,0)))),"⚠ phone not in Pledges"))</f>
      </c>
      <c r="C1727" s="12"/>
      <c r="D1727" s="13"/>
      <c r="E1727" s="22"/>
      <c r="F1727" s="23"/>
      <c r="G1727">
        <f>IF($A1727="","","#"&amp;TRIM(SUBSTITUTE(SUBSTITUTE(SUBSTITUTE(SUBSTITUTE(SUBSTITUTE(SUBSTITUTE($A1727,"-",""),"(",""),")",""),".",""),"+","")," ","")))</f>
      </c>
    </row>
    <row r="1728" spans="1:7" x14ac:dyDescent="0.3">
      <c r="A1728" s="11"/>
      <c r="B1728" s="38">
        <f>IF($A1728="","",IFERROR(IF(INDEX(Pledges!$D$5:$D$2500,MATCH($G1728,Pledges!$K$5:$K$2500,0))="","⚠ no amount on Pledges",IF(INDEX(Pledges!$B$5:$B$2500,MATCH($G1728,Pledges!$K$5:$K$2500,0))="","",INDEX(Pledges!$B$5:$B$2500,MATCH($G1728,Pledges!$K$5:$K$2500,0)))),"⚠ phone not in Pledges"))</f>
      </c>
      <c r="C1728" s="12"/>
      <c r="D1728" s="13"/>
      <c r="E1728" s="22"/>
      <c r="F1728" s="23"/>
      <c r="G1728">
        <f>IF($A1728="","","#"&amp;TRIM(SUBSTITUTE(SUBSTITUTE(SUBSTITUTE(SUBSTITUTE(SUBSTITUTE(SUBSTITUTE($A1728,"-",""),"(",""),")",""),".",""),"+","")," ","")))</f>
      </c>
    </row>
    <row r="1729" spans="1:7" x14ac:dyDescent="0.3">
      <c r="A1729" s="11"/>
      <c r="B1729" s="38">
        <f>IF($A1729="","",IFERROR(IF(INDEX(Pledges!$D$5:$D$2500,MATCH($G1729,Pledges!$K$5:$K$2500,0))="","⚠ no amount on Pledges",IF(INDEX(Pledges!$B$5:$B$2500,MATCH($G1729,Pledges!$K$5:$K$2500,0))="","",INDEX(Pledges!$B$5:$B$2500,MATCH($G1729,Pledges!$K$5:$K$2500,0)))),"⚠ phone not in Pledges"))</f>
      </c>
      <c r="C1729" s="12"/>
      <c r="D1729" s="13"/>
      <c r="E1729" s="22"/>
      <c r="F1729" s="23"/>
      <c r="G1729">
        <f>IF($A1729="","","#"&amp;TRIM(SUBSTITUTE(SUBSTITUTE(SUBSTITUTE(SUBSTITUTE(SUBSTITUTE(SUBSTITUTE($A1729,"-",""),"(",""),")",""),".",""),"+","")," ","")))</f>
      </c>
    </row>
    <row r="1730" spans="1:7" x14ac:dyDescent="0.3">
      <c r="A1730" s="11"/>
      <c r="B1730" s="38">
        <f>IF($A1730="","",IFERROR(IF(INDEX(Pledges!$D$5:$D$2500,MATCH($G1730,Pledges!$K$5:$K$2500,0))="","⚠ no amount on Pledges",IF(INDEX(Pledges!$B$5:$B$2500,MATCH($G1730,Pledges!$K$5:$K$2500,0))="","",INDEX(Pledges!$B$5:$B$2500,MATCH($G1730,Pledges!$K$5:$K$2500,0)))),"⚠ phone not in Pledges"))</f>
      </c>
      <c r="C1730" s="12"/>
      <c r="D1730" s="13"/>
      <c r="E1730" s="22"/>
      <c r="F1730" s="23"/>
      <c r="G1730">
        <f>IF($A1730="","","#"&amp;TRIM(SUBSTITUTE(SUBSTITUTE(SUBSTITUTE(SUBSTITUTE(SUBSTITUTE(SUBSTITUTE($A1730,"-",""),"(",""),")",""),".",""),"+","")," ","")))</f>
      </c>
    </row>
    <row r="1731" spans="1:7" x14ac:dyDescent="0.3">
      <c r="A1731" s="11"/>
      <c r="B1731" s="38">
        <f>IF($A1731="","",IFERROR(IF(INDEX(Pledges!$D$5:$D$2500,MATCH($G1731,Pledges!$K$5:$K$2500,0))="","⚠ no amount on Pledges",IF(INDEX(Pledges!$B$5:$B$2500,MATCH($G1731,Pledges!$K$5:$K$2500,0))="","",INDEX(Pledges!$B$5:$B$2500,MATCH($G1731,Pledges!$K$5:$K$2500,0)))),"⚠ phone not in Pledges"))</f>
      </c>
      <c r="C1731" s="12"/>
      <c r="D1731" s="13"/>
      <c r="E1731" s="22"/>
      <c r="F1731" s="23"/>
      <c r="G1731">
        <f>IF($A1731="","","#"&amp;TRIM(SUBSTITUTE(SUBSTITUTE(SUBSTITUTE(SUBSTITUTE(SUBSTITUTE(SUBSTITUTE($A1731,"-",""),"(",""),")",""),".",""),"+","")," ","")))</f>
      </c>
    </row>
    <row r="1732" spans="1:7" x14ac:dyDescent="0.3">
      <c r="A1732" s="11"/>
      <c r="B1732" s="38">
        <f>IF($A1732="","",IFERROR(IF(INDEX(Pledges!$D$5:$D$2500,MATCH($G1732,Pledges!$K$5:$K$2500,0))="","⚠ no amount on Pledges",IF(INDEX(Pledges!$B$5:$B$2500,MATCH($G1732,Pledges!$K$5:$K$2500,0))="","",INDEX(Pledges!$B$5:$B$2500,MATCH($G1732,Pledges!$K$5:$K$2500,0)))),"⚠ phone not in Pledges"))</f>
      </c>
      <c r="C1732" s="12"/>
      <c r="D1732" s="13"/>
      <c r="E1732" s="22"/>
      <c r="F1732" s="23"/>
      <c r="G1732">
        <f>IF($A1732="","","#"&amp;TRIM(SUBSTITUTE(SUBSTITUTE(SUBSTITUTE(SUBSTITUTE(SUBSTITUTE(SUBSTITUTE($A1732,"-",""),"(",""),")",""),".",""),"+","")," ","")))</f>
      </c>
    </row>
    <row r="1733" spans="1:7" x14ac:dyDescent="0.3">
      <c r="A1733" s="11"/>
      <c r="B1733" s="38">
        <f>IF($A1733="","",IFERROR(IF(INDEX(Pledges!$D$5:$D$2500,MATCH($G1733,Pledges!$K$5:$K$2500,0))="","⚠ no amount on Pledges",IF(INDEX(Pledges!$B$5:$B$2500,MATCH($G1733,Pledges!$K$5:$K$2500,0))="","",INDEX(Pledges!$B$5:$B$2500,MATCH($G1733,Pledges!$K$5:$K$2500,0)))),"⚠ phone not in Pledges"))</f>
      </c>
      <c r="C1733" s="12"/>
      <c r="D1733" s="13"/>
      <c r="E1733" s="22"/>
      <c r="F1733" s="23"/>
      <c r="G1733">
        <f>IF($A1733="","","#"&amp;TRIM(SUBSTITUTE(SUBSTITUTE(SUBSTITUTE(SUBSTITUTE(SUBSTITUTE(SUBSTITUTE($A1733,"-",""),"(",""),")",""),".",""),"+","")," ","")))</f>
      </c>
    </row>
    <row r="1734" spans="1:7" x14ac:dyDescent="0.3">
      <c r="A1734" s="11"/>
      <c r="B1734" s="38">
        <f>IF($A1734="","",IFERROR(IF(INDEX(Pledges!$D$5:$D$2500,MATCH($G1734,Pledges!$K$5:$K$2500,0))="","⚠ no amount on Pledges",IF(INDEX(Pledges!$B$5:$B$2500,MATCH($G1734,Pledges!$K$5:$K$2500,0))="","",INDEX(Pledges!$B$5:$B$2500,MATCH($G1734,Pledges!$K$5:$K$2500,0)))),"⚠ phone not in Pledges"))</f>
      </c>
      <c r="C1734" s="12"/>
      <c r="D1734" s="13"/>
      <c r="E1734" s="22"/>
      <c r="F1734" s="23"/>
      <c r="G1734">
        <f>IF($A1734="","","#"&amp;TRIM(SUBSTITUTE(SUBSTITUTE(SUBSTITUTE(SUBSTITUTE(SUBSTITUTE(SUBSTITUTE($A1734,"-",""),"(",""),")",""),".",""),"+","")," ","")))</f>
      </c>
    </row>
    <row r="1735" spans="1:7" x14ac:dyDescent="0.3">
      <c r="A1735" s="11"/>
      <c r="B1735" s="38">
        <f>IF($A1735="","",IFERROR(IF(INDEX(Pledges!$D$5:$D$2500,MATCH($G1735,Pledges!$K$5:$K$2500,0))="","⚠ no amount on Pledges",IF(INDEX(Pledges!$B$5:$B$2500,MATCH($G1735,Pledges!$K$5:$K$2500,0))="","",INDEX(Pledges!$B$5:$B$2500,MATCH($G1735,Pledges!$K$5:$K$2500,0)))),"⚠ phone not in Pledges"))</f>
      </c>
      <c r="C1735" s="12"/>
      <c r="D1735" s="13"/>
      <c r="E1735" s="22"/>
      <c r="F1735" s="23"/>
      <c r="G1735">
        <f>IF($A1735="","","#"&amp;TRIM(SUBSTITUTE(SUBSTITUTE(SUBSTITUTE(SUBSTITUTE(SUBSTITUTE(SUBSTITUTE($A1735,"-",""),"(",""),")",""),".",""),"+","")," ","")))</f>
      </c>
    </row>
    <row r="1736" spans="1:7" x14ac:dyDescent="0.3">
      <c r="A1736" s="11"/>
      <c r="B1736" s="38">
        <f>IF($A1736="","",IFERROR(IF(INDEX(Pledges!$D$5:$D$2500,MATCH($G1736,Pledges!$K$5:$K$2500,0))="","⚠ no amount on Pledges",IF(INDEX(Pledges!$B$5:$B$2500,MATCH($G1736,Pledges!$K$5:$K$2500,0))="","",INDEX(Pledges!$B$5:$B$2500,MATCH($G1736,Pledges!$K$5:$K$2500,0)))),"⚠ phone not in Pledges"))</f>
      </c>
      <c r="C1736" s="12"/>
      <c r="D1736" s="13"/>
      <c r="E1736" s="22"/>
      <c r="F1736" s="23"/>
      <c r="G1736">
        <f>IF($A1736="","","#"&amp;TRIM(SUBSTITUTE(SUBSTITUTE(SUBSTITUTE(SUBSTITUTE(SUBSTITUTE(SUBSTITUTE($A1736,"-",""),"(",""),")",""),".",""),"+","")," ","")))</f>
      </c>
    </row>
    <row r="1737" spans="1:7" x14ac:dyDescent="0.3">
      <c r="A1737" s="11"/>
      <c r="B1737" s="38">
        <f>IF($A1737="","",IFERROR(IF(INDEX(Pledges!$D$5:$D$2500,MATCH($G1737,Pledges!$K$5:$K$2500,0))="","⚠ no amount on Pledges",IF(INDEX(Pledges!$B$5:$B$2500,MATCH($G1737,Pledges!$K$5:$K$2500,0))="","",INDEX(Pledges!$B$5:$B$2500,MATCH($G1737,Pledges!$K$5:$K$2500,0)))),"⚠ phone not in Pledges"))</f>
      </c>
      <c r="C1737" s="12"/>
      <c r="D1737" s="13"/>
      <c r="E1737" s="22"/>
      <c r="F1737" s="23"/>
      <c r="G1737">
        <f>IF($A1737="","","#"&amp;TRIM(SUBSTITUTE(SUBSTITUTE(SUBSTITUTE(SUBSTITUTE(SUBSTITUTE(SUBSTITUTE($A1737,"-",""),"(",""),")",""),".",""),"+","")," ","")))</f>
      </c>
    </row>
    <row r="1738" spans="1:7" x14ac:dyDescent="0.3">
      <c r="A1738" s="11"/>
      <c r="B1738" s="38">
        <f>IF($A1738="","",IFERROR(IF(INDEX(Pledges!$D$5:$D$2500,MATCH($G1738,Pledges!$K$5:$K$2500,0))="","⚠ no amount on Pledges",IF(INDEX(Pledges!$B$5:$B$2500,MATCH($G1738,Pledges!$K$5:$K$2500,0))="","",INDEX(Pledges!$B$5:$B$2500,MATCH($G1738,Pledges!$K$5:$K$2500,0)))),"⚠ phone not in Pledges"))</f>
      </c>
      <c r="C1738" s="12"/>
      <c r="D1738" s="13"/>
      <c r="E1738" s="22"/>
      <c r="F1738" s="23"/>
      <c r="G1738">
        <f>IF($A1738="","","#"&amp;TRIM(SUBSTITUTE(SUBSTITUTE(SUBSTITUTE(SUBSTITUTE(SUBSTITUTE(SUBSTITUTE($A1738,"-",""),"(",""),")",""),".",""),"+","")," ","")))</f>
      </c>
    </row>
    <row r="1739" spans="1:7" x14ac:dyDescent="0.3">
      <c r="A1739" s="11"/>
      <c r="B1739" s="38">
        <f>IF($A1739="","",IFERROR(IF(INDEX(Pledges!$D$5:$D$2500,MATCH($G1739,Pledges!$K$5:$K$2500,0))="","⚠ no amount on Pledges",IF(INDEX(Pledges!$B$5:$B$2500,MATCH($G1739,Pledges!$K$5:$K$2500,0))="","",INDEX(Pledges!$B$5:$B$2500,MATCH($G1739,Pledges!$K$5:$K$2500,0)))),"⚠ phone not in Pledges"))</f>
      </c>
      <c r="C1739" s="12"/>
      <c r="D1739" s="13"/>
      <c r="E1739" s="22"/>
      <c r="F1739" s="23"/>
      <c r="G1739">
        <f>IF($A1739="","","#"&amp;TRIM(SUBSTITUTE(SUBSTITUTE(SUBSTITUTE(SUBSTITUTE(SUBSTITUTE(SUBSTITUTE($A1739,"-",""),"(",""),")",""),".",""),"+","")," ","")))</f>
      </c>
    </row>
    <row r="1740" spans="1:7" x14ac:dyDescent="0.3">
      <c r="A1740" s="11"/>
      <c r="B1740" s="38">
        <f>IF($A1740="","",IFERROR(IF(INDEX(Pledges!$D$5:$D$2500,MATCH($G1740,Pledges!$K$5:$K$2500,0))="","⚠ no amount on Pledges",IF(INDEX(Pledges!$B$5:$B$2500,MATCH($G1740,Pledges!$K$5:$K$2500,0))="","",INDEX(Pledges!$B$5:$B$2500,MATCH($G1740,Pledges!$K$5:$K$2500,0)))),"⚠ phone not in Pledges"))</f>
      </c>
      <c r="C1740" s="12"/>
      <c r="D1740" s="13"/>
      <c r="E1740" s="22"/>
      <c r="F1740" s="23"/>
      <c r="G1740">
        <f>IF($A1740="","","#"&amp;TRIM(SUBSTITUTE(SUBSTITUTE(SUBSTITUTE(SUBSTITUTE(SUBSTITUTE(SUBSTITUTE($A1740,"-",""),"(",""),")",""),".",""),"+","")," ","")))</f>
      </c>
    </row>
    <row r="1741" spans="1:7" x14ac:dyDescent="0.3">
      <c r="A1741" s="11"/>
      <c r="B1741" s="38">
        <f>IF($A1741="","",IFERROR(IF(INDEX(Pledges!$D$5:$D$2500,MATCH($G1741,Pledges!$K$5:$K$2500,0))="","⚠ no amount on Pledges",IF(INDEX(Pledges!$B$5:$B$2500,MATCH($G1741,Pledges!$K$5:$K$2500,0))="","",INDEX(Pledges!$B$5:$B$2500,MATCH($G1741,Pledges!$K$5:$K$2500,0)))),"⚠ phone not in Pledges"))</f>
      </c>
      <c r="C1741" s="12"/>
      <c r="D1741" s="13"/>
      <c r="E1741" s="22"/>
      <c r="F1741" s="23"/>
      <c r="G1741">
        <f>IF($A1741="","","#"&amp;TRIM(SUBSTITUTE(SUBSTITUTE(SUBSTITUTE(SUBSTITUTE(SUBSTITUTE(SUBSTITUTE($A1741,"-",""),"(",""),")",""),".",""),"+","")," ","")))</f>
      </c>
    </row>
    <row r="1742" spans="1:7" x14ac:dyDescent="0.3">
      <c r="A1742" s="11"/>
      <c r="B1742" s="38">
        <f>IF($A1742="","",IFERROR(IF(INDEX(Pledges!$D$5:$D$2500,MATCH($G1742,Pledges!$K$5:$K$2500,0))="","⚠ no amount on Pledges",IF(INDEX(Pledges!$B$5:$B$2500,MATCH($G1742,Pledges!$K$5:$K$2500,0))="","",INDEX(Pledges!$B$5:$B$2500,MATCH($G1742,Pledges!$K$5:$K$2500,0)))),"⚠ phone not in Pledges"))</f>
      </c>
      <c r="C1742" s="12"/>
      <c r="D1742" s="13"/>
      <c r="E1742" s="22"/>
      <c r="F1742" s="23"/>
      <c r="G1742">
        <f>IF($A1742="","","#"&amp;TRIM(SUBSTITUTE(SUBSTITUTE(SUBSTITUTE(SUBSTITUTE(SUBSTITUTE(SUBSTITUTE($A1742,"-",""),"(",""),")",""),".",""),"+","")," ","")))</f>
      </c>
    </row>
    <row r="1743" spans="1:7" x14ac:dyDescent="0.3">
      <c r="A1743" s="11"/>
      <c r="B1743" s="38">
        <f>IF($A1743="","",IFERROR(IF(INDEX(Pledges!$D$5:$D$2500,MATCH($G1743,Pledges!$K$5:$K$2500,0))="","⚠ no amount on Pledges",IF(INDEX(Pledges!$B$5:$B$2500,MATCH($G1743,Pledges!$K$5:$K$2500,0))="","",INDEX(Pledges!$B$5:$B$2500,MATCH($G1743,Pledges!$K$5:$K$2500,0)))),"⚠ phone not in Pledges"))</f>
      </c>
      <c r="C1743" s="12"/>
      <c r="D1743" s="13"/>
      <c r="E1743" s="22"/>
      <c r="F1743" s="23"/>
      <c r="G1743">
        <f>IF($A1743="","","#"&amp;TRIM(SUBSTITUTE(SUBSTITUTE(SUBSTITUTE(SUBSTITUTE(SUBSTITUTE(SUBSTITUTE($A1743,"-",""),"(",""),")",""),".",""),"+","")," ","")))</f>
      </c>
    </row>
    <row r="1744" spans="1:7" x14ac:dyDescent="0.3">
      <c r="A1744" s="11"/>
      <c r="B1744" s="38">
        <f>IF($A1744="","",IFERROR(IF(INDEX(Pledges!$D$5:$D$2500,MATCH($G1744,Pledges!$K$5:$K$2500,0))="","⚠ no amount on Pledges",IF(INDEX(Pledges!$B$5:$B$2500,MATCH($G1744,Pledges!$K$5:$K$2500,0))="","",INDEX(Pledges!$B$5:$B$2500,MATCH($G1744,Pledges!$K$5:$K$2500,0)))),"⚠ phone not in Pledges"))</f>
      </c>
      <c r="C1744" s="12"/>
      <c r="D1744" s="13"/>
      <c r="E1744" s="22"/>
      <c r="F1744" s="23"/>
      <c r="G1744">
        <f>IF($A1744="","","#"&amp;TRIM(SUBSTITUTE(SUBSTITUTE(SUBSTITUTE(SUBSTITUTE(SUBSTITUTE(SUBSTITUTE($A1744,"-",""),"(",""),")",""),".",""),"+","")," ","")))</f>
      </c>
    </row>
    <row r="1745" spans="1:7" x14ac:dyDescent="0.3">
      <c r="A1745" s="11"/>
      <c r="B1745" s="38">
        <f>IF($A1745="","",IFERROR(IF(INDEX(Pledges!$D$5:$D$2500,MATCH($G1745,Pledges!$K$5:$K$2500,0))="","⚠ no amount on Pledges",IF(INDEX(Pledges!$B$5:$B$2500,MATCH($G1745,Pledges!$K$5:$K$2500,0))="","",INDEX(Pledges!$B$5:$B$2500,MATCH($G1745,Pledges!$K$5:$K$2500,0)))),"⚠ phone not in Pledges"))</f>
      </c>
      <c r="C1745" s="12"/>
      <c r="D1745" s="13"/>
      <c r="E1745" s="22"/>
      <c r="F1745" s="23"/>
      <c r="G1745">
        <f>IF($A1745="","","#"&amp;TRIM(SUBSTITUTE(SUBSTITUTE(SUBSTITUTE(SUBSTITUTE(SUBSTITUTE(SUBSTITUTE($A1745,"-",""),"(",""),")",""),".",""),"+","")," ","")))</f>
      </c>
    </row>
    <row r="1746" spans="1:7" x14ac:dyDescent="0.3">
      <c r="A1746" s="11"/>
      <c r="B1746" s="38">
        <f>IF($A1746="","",IFERROR(IF(INDEX(Pledges!$D$5:$D$2500,MATCH($G1746,Pledges!$K$5:$K$2500,0))="","⚠ no amount on Pledges",IF(INDEX(Pledges!$B$5:$B$2500,MATCH($G1746,Pledges!$K$5:$K$2500,0))="","",INDEX(Pledges!$B$5:$B$2500,MATCH($G1746,Pledges!$K$5:$K$2500,0)))),"⚠ phone not in Pledges"))</f>
      </c>
      <c r="C1746" s="12"/>
      <c r="D1746" s="13"/>
      <c r="E1746" s="22"/>
      <c r="F1746" s="23"/>
      <c r="G1746">
        <f>IF($A1746="","","#"&amp;TRIM(SUBSTITUTE(SUBSTITUTE(SUBSTITUTE(SUBSTITUTE(SUBSTITUTE(SUBSTITUTE($A1746,"-",""),"(",""),")",""),".",""),"+","")," ","")))</f>
      </c>
    </row>
    <row r="1747" spans="1:7" x14ac:dyDescent="0.3">
      <c r="A1747" s="11"/>
      <c r="B1747" s="38">
        <f>IF($A1747="","",IFERROR(IF(INDEX(Pledges!$D$5:$D$2500,MATCH($G1747,Pledges!$K$5:$K$2500,0))="","⚠ no amount on Pledges",IF(INDEX(Pledges!$B$5:$B$2500,MATCH($G1747,Pledges!$K$5:$K$2500,0))="","",INDEX(Pledges!$B$5:$B$2500,MATCH($G1747,Pledges!$K$5:$K$2500,0)))),"⚠ phone not in Pledges"))</f>
      </c>
      <c r="C1747" s="12"/>
      <c r="D1747" s="13"/>
      <c r="E1747" s="22"/>
      <c r="F1747" s="23"/>
      <c r="G1747">
        <f>IF($A1747="","","#"&amp;TRIM(SUBSTITUTE(SUBSTITUTE(SUBSTITUTE(SUBSTITUTE(SUBSTITUTE(SUBSTITUTE($A1747,"-",""),"(",""),")",""),".",""),"+","")," ","")))</f>
      </c>
    </row>
    <row r="1748" spans="1:7" x14ac:dyDescent="0.3">
      <c r="A1748" s="11"/>
      <c r="B1748" s="38">
        <f>IF($A1748="","",IFERROR(IF(INDEX(Pledges!$D$5:$D$2500,MATCH($G1748,Pledges!$K$5:$K$2500,0))="","⚠ no amount on Pledges",IF(INDEX(Pledges!$B$5:$B$2500,MATCH($G1748,Pledges!$K$5:$K$2500,0))="","",INDEX(Pledges!$B$5:$B$2500,MATCH($G1748,Pledges!$K$5:$K$2500,0)))),"⚠ phone not in Pledges"))</f>
      </c>
      <c r="C1748" s="12"/>
      <c r="D1748" s="13"/>
      <c r="E1748" s="22"/>
      <c r="F1748" s="23"/>
      <c r="G1748">
        <f>IF($A1748="","","#"&amp;TRIM(SUBSTITUTE(SUBSTITUTE(SUBSTITUTE(SUBSTITUTE(SUBSTITUTE(SUBSTITUTE($A1748,"-",""),"(",""),")",""),".",""),"+","")," ","")))</f>
      </c>
    </row>
    <row r="1749" spans="1:7" x14ac:dyDescent="0.3">
      <c r="A1749" s="11"/>
      <c r="B1749" s="38">
        <f>IF($A1749="","",IFERROR(IF(INDEX(Pledges!$D$5:$D$2500,MATCH($G1749,Pledges!$K$5:$K$2500,0))="","⚠ no amount on Pledges",IF(INDEX(Pledges!$B$5:$B$2500,MATCH($G1749,Pledges!$K$5:$K$2500,0))="","",INDEX(Pledges!$B$5:$B$2500,MATCH($G1749,Pledges!$K$5:$K$2500,0)))),"⚠ phone not in Pledges"))</f>
      </c>
      <c r="C1749" s="12"/>
      <c r="D1749" s="13"/>
      <c r="E1749" s="22"/>
      <c r="F1749" s="23"/>
      <c r="G1749">
        <f>IF($A1749="","","#"&amp;TRIM(SUBSTITUTE(SUBSTITUTE(SUBSTITUTE(SUBSTITUTE(SUBSTITUTE(SUBSTITUTE($A1749,"-",""),"(",""),")",""),".",""),"+","")," ","")))</f>
      </c>
    </row>
    <row r="1750" spans="1:7" x14ac:dyDescent="0.3">
      <c r="A1750" s="11"/>
      <c r="B1750" s="38">
        <f>IF($A1750="","",IFERROR(IF(INDEX(Pledges!$D$5:$D$2500,MATCH($G1750,Pledges!$K$5:$K$2500,0))="","⚠ no amount on Pledges",IF(INDEX(Pledges!$B$5:$B$2500,MATCH($G1750,Pledges!$K$5:$K$2500,0))="","",INDEX(Pledges!$B$5:$B$2500,MATCH($G1750,Pledges!$K$5:$K$2500,0)))),"⚠ phone not in Pledges"))</f>
      </c>
      <c r="C1750" s="12"/>
      <c r="D1750" s="13"/>
      <c r="E1750" s="22"/>
      <c r="F1750" s="23"/>
      <c r="G1750">
        <f>IF($A1750="","","#"&amp;TRIM(SUBSTITUTE(SUBSTITUTE(SUBSTITUTE(SUBSTITUTE(SUBSTITUTE(SUBSTITUTE($A1750,"-",""),"(",""),")",""),".",""),"+","")," ","")))</f>
      </c>
    </row>
    <row r="1751" spans="1:7" x14ac:dyDescent="0.3">
      <c r="A1751" s="11"/>
      <c r="B1751" s="38">
        <f>IF($A1751="","",IFERROR(IF(INDEX(Pledges!$D$5:$D$2500,MATCH($G1751,Pledges!$K$5:$K$2500,0))="","⚠ no amount on Pledges",IF(INDEX(Pledges!$B$5:$B$2500,MATCH($G1751,Pledges!$K$5:$K$2500,0))="","",INDEX(Pledges!$B$5:$B$2500,MATCH($G1751,Pledges!$K$5:$K$2500,0)))),"⚠ phone not in Pledges"))</f>
      </c>
      <c r="C1751" s="12"/>
      <c r="D1751" s="13"/>
      <c r="E1751" s="22"/>
      <c r="F1751" s="23"/>
      <c r="G1751">
        <f>IF($A1751="","","#"&amp;TRIM(SUBSTITUTE(SUBSTITUTE(SUBSTITUTE(SUBSTITUTE(SUBSTITUTE(SUBSTITUTE($A1751,"-",""),"(",""),")",""),".",""),"+","")," ","")))</f>
      </c>
    </row>
    <row r="1752" spans="1:7" x14ac:dyDescent="0.3">
      <c r="A1752" s="11"/>
      <c r="B1752" s="38">
        <f>IF($A1752="","",IFERROR(IF(INDEX(Pledges!$D$5:$D$2500,MATCH($G1752,Pledges!$K$5:$K$2500,0))="","⚠ no amount on Pledges",IF(INDEX(Pledges!$B$5:$B$2500,MATCH($G1752,Pledges!$K$5:$K$2500,0))="","",INDEX(Pledges!$B$5:$B$2500,MATCH($G1752,Pledges!$K$5:$K$2500,0)))),"⚠ phone not in Pledges"))</f>
      </c>
      <c r="C1752" s="12"/>
      <c r="D1752" s="13"/>
      <c r="E1752" s="22"/>
      <c r="F1752" s="23"/>
      <c r="G1752">
        <f>IF($A1752="","","#"&amp;TRIM(SUBSTITUTE(SUBSTITUTE(SUBSTITUTE(SUBSTITUTE(SUBSTITUTE(SUBSTITUTE($A1752,"-",""),"(",""),")",""),".",""),"+","")," ","")))</f>
      </c>
    </row>
    <row r="1753" spans="1:7" x14ac:dyDescent="0.3">
      <c r="A1753" s="11"/>
      <c r="B1753" s="38">
        <f>IF($A1753="","",IFERROR(IF(INDEX(Pledges!$D$5:$D$2500,MATCH($G1753,Pledges!$K$5:$K$2500,0))="","⚠ no amount on Pledges",IF(INDEX(Pledges!$B$5:$B$2500,MATCH($G1753,Pledges!$K$5:$K$2500,0))="","",INDEX(Pledges!$B$5:$B$2500,MATCH($G1753,Pledges!$K$5:$K$2500,0)))),"⚠ phone not in Pledges"))</f>
      </c>
      <c r="C1753" s="12"/>
      <c r="D1753" s="13"/>
      <c r="E1753" s="22"/>
      <c r="F1753" s="23"/>
      <c r="G1753">
        <f>IF($A1753="","","#"&amp;TRIM(SUBSTITUTE(SUBSTITUTE(SUBSTITUTE(SUBSTITUTE(SUBSTITUTE(SUBSTITUTE($A1753,"-",""),"(",""),")",""),".",""),"+","")," ","")))</f>
      </c>
    </row>
    <row r="1754" spans="1:7" x14ac:dyDescent="0.3">
      <c r="A1754" s="11"/>
      <c r="B1754" s="38">
        <f>IF($A1754="","",IFERROR(IF(INDEX(Pledges!$D$5:$D$2500,MATCH($G1754,Pledges!$K$5:$K$2500,0))="","⚠ no amount on Pledges",IF(INDEX(Pledges!$B$5:$B$2500,MATCH($G1754,Pledges!$K$5:$K$2500,0))="","",INDEX(Pledges!$B$5:$B$2500,MATCH($G1754,Pledges!$K$5:$K$2500,0)))),"⚠ phone not in Pledges"))</f>
      </c>
      <c r="C1754" s="12"/>
      <c r="D1754" s="13"/>
      <c r="E1754" s="22"/>
      <c r="F1754" s="23"/>
      <c r="G1754">
        <f>IF($A1754="","","#"&amp;TRIM(SUBSTITUTE(SUBSTITUTE(SUBSTITUTE(SUBSTITUTE(SUBSTITUTE(SUBSTITUTE($A1754,"-",""),"(",""),")",""),".",""),"+","")," ","")))</f>
      </c>
    </row>
    <row r="1755" spans="1:7" x14ac:dyDescent="0.3">
      <c r="A1755" s="11"/>
      <c r="B1755" s="38">
        <f>IF($A1755="","",IFERROR(IF(INDEX(Pledges!$D$5:$D$2500,MATCH($G1755,Pledges!$K$5:$K$2500,0))="","⚠ no amount on Pledges",IF(INDEX(Pledges!$B$5:$B$2500,MATCH($G1755,Pledges!$K$5:$K$2500,0))="","",INDEX(Pledges!$B$5:$B$2500,MATCH($G1755,Pledges!$K$5:$K$2500,0)))),"⚠ phone not in Pledges"))</f>
      </c>
      <c r="C1755" s="12"/>
      <c r="D1755" s="13"/>
      <c r="E1755" s="22"/>
      <c r="F1755" s="23"/>
      <c r="G1755">
        <f>IF($A1755="","","#"&amp;TRIM(SUBSTITUTE(SUBSTITUTE(SUBSTITUTE(SUBSTITUTE(SUBSTITUTE(SUBSTITUTE($A1755,"-",""),"(",""),")",""),".",""),"+","")," ","")))</f>
      </c>
    </row>
    <row r="1756" spans="1:7" x14ac:dyDescent="0.3">
      <c r="A1756" s="11"/>
      <c r="B1756" s="38">
        <f>IF($A1756="","",IFERROR(IF(INDEX(Pledges!$D$5:$D$2500,MATCH($G1756,Pledges!$K$5:$K$2500,0))="","⚠ no amount on Pledges",IF(INDEX(Pledges!$B$5:$B$2500,MATCH($G1756,Pledges!$K$5:$K$2500,0))="","",INDEX(Pledges!$B$5:$B$2500,MATCH($G1756,Pledges!$K$5:$K$2500,0)))),"⚠ phone not in Pledges"))</f>
      </c>
      <c r="C1756" s="12"/>
      <c r="D1756" s="13"/>
      <c r="E1756" s="22"/>
      <c r="F1756" s="23"/>
      <c r="G1756">
        <f>IF($A1756="","","#"&amp;TRIM(SUBSTITUTE(SUBSTITUTE(SUBSTITUTE(SUBSTITUTE(SUBSTITUTE(SUBSTITUTE($A1756,"-",""),"(",""),")",""),".",""),"+","")," ","")))</f>
      </c>
    </row>
    <row r="1757" spans="1:7" x14ac:dyDescent="0.3">
      <c r="A1757" s="11"/>
      <c r="B1757" s="38">
        <f>IF($A1757="","",IFERROR(IF(INDEX(Pledges!$D$5:$D$2500,MATCH($G1757,Pledges!$K$5:$K$2500,0))="","⚠ no amount on Pledges",IF(INDEX(Pledges!$B$5:$B$2500,MATCH($G1757,Pledges!$K$5:$K$2500,0))="","",INDEX(Pledges!$B$5:$B$2500,MATCH($G1757,Pledges!$K$5:$K$2500,0)))),"⚠ phone not in Pledges"))</f>
      </c>
      <c r="C1757" s="12"/>
      <c r="D1757" s="13"/>
      <c r="E1757" s="22"/>
      <c r="F1757" s="23"/>
      <c r="G1757">
        <f>IF($A1757="","","#"&amp;TRIM(SUBSTITUTE(SUBSTITUTE(SUBSTITUTE(SUBSTITUTE(SUBSTITUTE(SUBSTITUTE($A1757,"-",""),"(",""),")",""),".",""),"+","")," ","")))</f>
      </c>
    </row>
    <row r="1758" spans="1:7" x14ac:dyDescent="0.3">
      <c r="A1758" s="11"/>
      <c r="B1758" s="38">
        <f>IF($A1758="","",IFERROR(IF(INDEX(Pledges!$D$5:$D$2500,MATCH($G1758,Pledges!$K$5:$K$2500,0))="","⚠ no amount on Pledges",IF(INDEX(Pledges!$B$5:$B$2500,MATCH($G1758,Pledges!$K$5:$K$2500,0))="","",INDEX(Pledges!$B$5:$B$2500,MATCH($G1758,Pledges!$K$5:$K$2500,0)))),"⚠ phone not in Pledges"))</f>
      </c>
      <c r="C1758" s="12"/>
      <c r="D1758" s="13"/>
      <c r="E1758" s="22"/>
      <c r="F1758" s="23"/>
      <c r="G1758">
        <f>IF($A1758="","","#"&amp;TRIM(SUBSTITUTE(SUBSTITUTE(SUBSTITUTE(SUBSTITUTE(SUBSTITUTE(SUBSTITUTE($A1758,"-",""),"(",""),")",""),".",""),"+","")," ","")))</f>
      </c>
    </row>
    <row r="1759" spans="1:7" x14ac:dyDescent="0.3">
      <c r="A1759" s="11"/>
      <c r="B1759" s="38">
        <f>IF($A1759="","",IFERROR(IF(INDEX(Pledges!$D$5:$D$2500,MATCH($G1759,Pledges!$K$5:$K$2500,0))="","⚠ no amount on Pledges",IF(INDEX(Pledges!$B$5:$B$2500,MATCH($G1759,Pledges!$K$5:$K$2500,0))="","",INDEX(Pledges!$B$5:$B$2500,MATCH($G1759,Pledges!$K$5:$K$2500,0)))),"⚠ phone not in Pledges"))</f>
      </c>
      <c r="C1759" s="12"/>
      <c r="D1759" s="13"/>
      <c r="E1759" s="22"/>
      <c r="F1759" s="23"/>
      <c r="G1759">
        <f>IF($A1759="","","#"&amp;TRIM(SUBSTITUTE(SUBSTITUTE(SUBSTITUTE(SUBSTITUTE(SUBSTITUTE(SUBSTITUTE($A1759,"-",""),"(",""),")",""),".",""),"+","")," ","")))</f>
      </c>
    </row>
    <row r="1760" spans="1:7" x14ac:dyDescent="0.3">
      <c r="A1760" s="11"/>
      <c r="B1760" s="38">
        <f>IF($A1760="","",IFERROR(IF(INDEX(Pledges!$D$5:$D$2500,MATCH($G1760,Pledges!$K$5:$K$2500,0))="","⚠ no amount on Pledges",IF(INDEX(Pledges!$B$5:$B$2500,MATCH($G1760,Pledges!$K$5:$K$2500,0))="","",INDEX(Pledges!$B$5:$B$2500,MATCH($G1760,Pledges!$K$5:$K$2500,0)))),"⚠ phone not in Pledges"))</f>
      </c>
      <c r="C1760" s="12"/>
      <c r="D1760" s="13"/>
      <c r="E1760" s="22"/>
      <c r="F1760" s="23"/>
      <c r="G1760">
        <f>IF($A1760="","","#"&amp;TRIM(SUBSTITUTE(SUBSTITUTE(SUBSTITUTE(SUBSTITUTE(SUBSTITUTE(SUBSTITUTE($A1760,"-",""),"(",""),")",""),".",""),"+","")," ","")))</f>
      </c>
    </row>
    <row r="1761" spans="1:7" x14ac:dyDescent="0.3">
      <c r="A1761" s="11"/>
      <c r="B1761" s="38">
        <f>IF($A1761="","",IFERROR(IF(INDEX(Pledges!$D$5:$D$2500,MATCH($G1761,Pledges!$K$5:$K$2500,0))="","⚠ no amount on Pledges",IF(INDEX(Pledges!$B$5:$B$2500,MATCH($G1761,Pledges!$K$5:$K$2500,0))="","",INDEX(Pledges!$B$5:$B$2500,MATCH($G1761,Pledges!$K$5:$K$2500,0)))),"⚠ phone not in Pledges"))</f>
      </c>
      <c r="C1761" s="12"/>
      <c r="D1761" s="13"/>
      <c r="E1761" s="22"/>
      <c r="F1761" s="23"/>
      <c r="G1761">
        <f>IF($A1761="","","#"&amp;TRIM(SUBSTITUTE(SUBSTITUTE(SUBSTITUTE(SUBSTITUTE(SUBSTITUTE(SUBSTITUTE($A1761,"-",""),"(",""),")",""),".",""),"+","")," ","")))</f>
      </c>
    </row>
    <row r="1762" spans="1:7" x14ac:dyDescent="0.3">
      <c r="A1762" s="11"/>
      <c r="B1762" s="38">
        <f>IF($A1762="","",IFERROR(IF(INDEX(Pledges!$D$5:$D$2500,MATCH($G1762,Pledges!$K$5:$K$2500,0))="","⚠ no amount on Pledges",IF(INDEX(Pledges!$B$5:$B$2500,MATCH($G1762,Pledges!$K$5:$K$2500,0))="","",INDEX(Pledges!$B$5:$B$2500,MATCH($G1762,Pledges!$K$5:$K$2500,0)))),"⚠ phone not in Pledges"))</f>
      </c>
      <c r="C1762" s="12"/>
      <c r="D1762" s="13"/>
      <c r="E1762" s="22"/>
      <c r="F1762" s="23"/>
      <c r="G1762">
        <f>IF($A1762="","","#"&amp;TRIM(SUBSTITUTE(SUBSTITUTE(SUBSTITUTE(SUBSTITUTE(SUBSTITUTE(SUBSTITUTE($A1762,"-",""),"(",""),")",""),".",""),"+","")," ","")))</f>
      </c>
    </row>
    <row r="1763" spans="1:7" x14ac:dyDescent="0.3">
      <c r="A1763" s="11"/>
      <c r="B1763" s="38">
        <f>IF($A1763="","",IFERROR(IF(INDEX(Pledges!$D$5:$D$2500,MATCH($G1763,Pledges!$K$5:$K$2500,0))="","⚠ no amount on Pledges",IF(INDEX(Pledges!$B$5:$B$2500,MATCH($G1763,Pledges!$K$5:$K$2500,0))="","",INDEX(Pledges!$B$5:$B$2500,MATCH($G1763,Pledges!$K$5:$K$2500,0)))),"⚠ phone not in Pledges"))</f>
      </c>
      <c r="C1763" s="12"/>
      <c r="D1763" s="13"/>
      <c r="E1763" s="22"/>
      <c r="F1763" s="23"/>
      <c r="G1763">
        <f>IF($A1763="","","#"&amp;TRIM(SUBSTITUTE(SUBSTITUTE(SUBSTITUTE(SUBSTITUTE(SUBSTITUTE(SUBSTITUTE($A1763,"-",""),"(",""),")",""),".",""),"+","")," ","")))</f>
      </c>
    </row>
    <row r="1764" spans="1:7" x14ac:dyDescent="0.3">
      <c r="A1764" s="11"/>
      <c r="B1764" s="38">
        <f>IF($A1764="","",IFERROR(IF(INDEX(Pledges!$D$5:$D$2500,MATCH($G1764,Pledges!$K$5:$K$2500,0))="","⚠ no amount on Pledges",IF(INDEX(Pledges!$B$5:$B$2500,MATCH($G1764,Pledges!$K$5:$K$2500,0))="","",INDEX(Pledges!$B$5:$B$2500,MATCH($G1764,Pledges!$K$5:$K$2500,0)))),"⚠ phone not in Pledges"))</f>
      </c>
      <c r="C1764" s="12"/>
      <c r="D1764" s="13"/>
      <c r="E1764" s="22"/>
      <c r="F1764" s="23"/>
      <c r="G1764">
        <f>IF($A1764="","","#"&amp;TRIM(SUBSTITUTE(SUBSTITUTE(SUBSTITUTE(SUBSTITUTE(SUBSTITUTE(SUBSTITUTE($A1764,"-",""),"(",""),")",""),".",""),"+","")," ","")))</f>
      </c>
    </row>
    <row r="1765" spans="1:7" x14ac:dyDescent="0.3">
      <c r="A1765" s="11"/>
      <c r="B1765" s="38">
        <f>IF($A1765="","",IFERROR(IF(INDEX(Pledges!$D$5:$D$2500,MATCH($G1765,Pledges!$K$5:$K$2500,0))="","⚠ no amount on Pledges",IF(INDEX(Pledges!$B$5:$B$2500,MATCH($G1765,Pledges!$K$5:$K$2500,0))="","",INDEX(Pledges!$B$5:$B$2500,MATCH($G1765,Pledges!$K$5:$K$2500,0)))),"⚠ phone not in Pledges"))</f>
      </c>
      <c r="C1765" s="12"/>
      <c r="D1765" s="13"/>
      <c r="E1765" s="22"/>
      <c r="F1765" s="23"/>
      <c r="G1765">
        <f>IF($A1765="","","#"&amp;TRIM(SUBSTITUTE(SUBSTITUTE(SUBSTITUTE(SUBSTITUTE(SUBSTITUTE(SUBSTITUTE($A1765,"-",""),"(",""),")",""),".",""),"+","")," ","")))</f>
      </c>
    </row>
    <row r="1766" spans="1:7" x14ac:dyDescent="0.3">
      <c r="A1766" s="11"/>
      <c r="B1766" s="38">
        <f>IF($A1766="","",IFERROR(IF(INDEX(Pledges!$D$5:$D$2500,MATCH($G1766,Pledges!$K$5:$K$2500,0))="","⚠ no amount on Pledges",IF(INDEX(Pledges!$B$5:$B$2500,MATCH($G1766,Pledges!$K$5:$K$2500,0))="","",INDEX(Pledges!$B$5:$B$2500,MATCH($G1766,Pledges!$K$5:$K$2500,0)))),"⚠ phone not in Pledges"))</f>
      </c>
      <c r="C1766" s="12"/>
      <c r="D1766" s="13"/>
      <c r="E1766" s="22"/>
      <c r="F1766" s="23"/>
      <c r="G1766">
        <f>IF($A1766="","","#"&amp;TRIM(SUBSTITUTE(SUBSTITUTE(SUBSTITUTE(SUBSTITUTE(SUBSTITUTE(SUBSTITUTE($A1766,"-",""),"(",""),")",""),".",""),"+","")," ","")))</f>
      </c>
    </row>
    <row r="1767" spans="1:7" x14ac:dyDescent="0.3">
      <c r="A1767" s="11"/>
      <c r="B1767" s="38">
        <f>IF($A1767="","",IFERROR(IF(INDEX(Pledges!$D$5:$D$2500,MATCH($G1767,Pledges!$K$5:$K$2500,0))="","⚠ no amount on Pledges",IF(INDEX(Pledges!$B$5:$B$2500,MATCH($G1767,Pledges!$K$5:$K$2500,0))="","",INDEX(Pledges!$B$5:$B$2500,MATCH($G1767,Pledges!$K$5:$K$2500,0)))),"⚠ phone not in Pledges"))</f>
      </c>
      <c r="C1767" s="12"/>
      <c r="D1767" s="13"/>
      <c r="E1767" s="22"/>
      <c r="F1767" s="23"/>
      <c r="G1767">
        <f>IF($A1767="","","#"&amp;TRIM(SUBSTITUTE(SUBSTITUTE(SUBSTITUTE(SUBSTITUTE(SUBSTITUTE(SUBSTITUTE($A1767,"-",""),"(",""),")",""),".",""),"+","")," ","")))</f>
      </c>
    </row>
    <row r="1768" spans="1:7" x14ac:dyDescent="0.3">
      <c r="A1768" s="11"/>
      <c r="B1768" s="38">
        <f>IF($A1768="","",IFERROR(IF(INDEX(Pledges!$D$5:$D$2500,MATCH($G1768,Pledges!$K$5:$K$2500,0))="","⚠ no amount on Pledges",IF(INDEX(Pledges!$B$5:$B$2500,MATCH($G1768,Pledges!$K$5:$K$2500,0))="","",INDEX(Pledges!$B$5:$B$2500,MATCH($G1768,Pledges!$K$5:$K$2500,0)))),"⚠ phone not in Pledges"))</f>
      </c>
      <c r="C1768" s="12"/>
      <c r="D1768" s="13"/>
      <c r="E1768" s="22"/>
      <c r="F1768" s="23"/>
      <c r="G1768">
        <f>IF($A1768="","","#"&amp;TRIM(SUBSTITUTE(SUBSTITUTE(SUBSTITUTE(SUBSTITUTE(SUBSTITUTE(SUBSTITUTE($A1768,"-",""),"(",""),")",""),".",""),"+","")," ","")))</f>
      </c>
    </row>
    <row r="1769" spans="1:7" x14ac:dyDescent="0.3">
      <c r="A1769" s="11"/>
      <c r="B1769" s="38">
        <f>IF($A1769="","",IFERROR(IF(INDEX(Pledges!$D$5:$D$2500,MATCH($G1769,Pledges!$K$5:$K$2500,0))="","⚠ no amount on Pledges",IF(INDEX(Pledges!$B$5:$B$2500,MATCH($G1769,Pledges!$K$5:$K$2500,0))="","",INDEX(Pledges!$B$5:$B$2500,MATCH($G1769,Pledges!$K$5:$K$2500,0)))),"⚠ phone not in Pledges"))</f>
      </c>
      <c r="C1769" s="12"/>
      <c r="D1769" s="13"/>
      <c r="E1769" s="22"/>
      <c r="F1769" s="23"/>
      <c r="G1769">
        <f>IF($A1769="","","#"&amp;TRIM(SUBSTITUTE(SUBSTITUTE(SUBSTITUTE(SUBSTITUTE(SUBSTITUTE(SUBSTITUTE($A1769,"-",""),"(",""),")",""),".",""),"+","")," ","")))</f>
      </c>
    </row>
    <row r="1770" spans="1:7" x14ac:dyDescent="0.3">
      <c r="A1770" s="11"/>
      <c r="B1770" s="38">
        <f>IF($A1770="","",IFERROR(IF(INDEX(Pledges!$D$5:$D$2500,MATCH($G1770,Pledges!$K$5:$K$2500,0))="","⚠ no amount on Pledges",IF(INDEX(Pledges!$B$5:$B$2500,MATCH($G1770,Pledges!$K$5:$K$2500,0))="","",INDEX(Pledges!$B$5:$B$2500,MATCH($G1770,Pledges!$K$5:$K$2500,0)))),"⚠ phone not in Pledges"))</f>
      </c>
      <c r="C1770" s="12"/>
      <c r="D1770" s="13"/>
      <c r="E1770" s="22"/>
      <c r="F1770" s="23"/>
      <c r="G1770">
        <f>IF($A1770="","","#"&amp;TRIM(SUBSTITUTE(SUBSTITUTE(SUBSTITUTE(SUBSTITUTE(SUBSTITUTE(SUBSTITUTE($A1770,"-",""),"(",""),")",""),".",""),"+","")," ","")))</f>
      </c>
    </row>
    <row r="1771" spans="1:7" x14ac:dyDescent="0.3">
      <c r="A1771" s="11"/>
      <c r="B1771" s="38">
        <f>IF($A1771="","",IFERROR(IF(INDEX(Pledges!$D$5:$D$2500,MATCH($G1771,Pledges!$K$5:$K$2500,0))="","⚠ no amount on Pledges",IF(INDEX(Pledges!$B$5:$B$2500,MATCH($G1771,Pledges!$K$5:$K$2500,0))="","",INDEX(Pledges!$B$5:$B$2500,MATCH($G1771,Pledges!$K$5:$K$2500,0)))),"⚠ phone not in Pledges"))</f>
      </c>
      <c r="C1771" s="12"/>
      <c r="D1771" s="13"/>
      <c r="E1771" s="22"/>
      <c r="F1771" s="23"/>
      <c r="G1771">
        <f>IF($A1771="","","#"&amp;TRIM(SUBSTITUTE(SUBSTITUTE(SUBSTITUTE(SUBSTITUTE(SUBSTITUTE(SUBSTITUTE($A1771,"-",""),"(",""),")",""),".",""),"+","")," ","")))</f>
      </c>
    </row>
    <row r="1772" spans="1:7" x14ac:dyDescent="0.3">
      <c r="A1772" s="11"/>
      <c r="B1772" s="38">
        <f>IF($A1772="","",IFERROR(IF(INDEX(Pledges!$D$5:$D$2500,MATCH($G1772,Pledges!$K$5:$K$2500,0))="","⚠ no amount on Pledges",IF(INDEX(Pledges!$B$5:$B$2500,MATCH($G1772,Pledges!$K$5:$K$2500,0))="","",INDEX(Pledges!$B$5:$B$2500,MATCH($G1772,Pledges!$K$5:$K$2500,0)))),"⚠ phone not in Pledges"))</f>
      </c>
      <c r="C1772" s="12"/>
      <c r="D1772" s="13"/>
      <c r="E1772" s="22"/>
      <c r="F1772" s="23"/>
      <c r="G1772">
        <f>IF($A1772="","","#"&amp;TRIM(SUBSTITUTE(SUBSTITUTE(SUBSTITUTE(SUBSTITUTE(SUBSTITUTE(SUBSTITUTE($A1772,"-",""),"(",""),")",""),".",""),"+","")," ","")))</f>
      </c>
    </row>
    <row r="1773" spans="1:7" x14ac:dyDescent="0.3">
      <c r="A1773" s="11"/>
      <c r="B1773" s="38">
        <f>IF($A1773="","",IFERROR(IF(INDEX(Pledges!$D$5:$D$2500,MATCH($G1773,Pledges!$K$5:$K$2500,0))="","⚠ no amount on Pledges",IF(INDEX(Pledges!$B$5:$B$2500,MATCH($G1773,Pledges!$K$5:$K$2500,0))="","",INDEX(Pledges!$B$5:$B$2500,MATCH($G1773,Pledges!$K$5:$K$2500,0)))),"⚠ phone not in Pledges"))</f>
      </c>
      <c r="C1773" s="12"/>
      <c r="D1773" s="13"/>
      <c r="E1773" s="22"/>
      <c r="F1773" s="23"/>
      <c r="G1773">
        <f>IF($A1773="","","#"&amp;TRIM(SUBSTITUTE(SUBSTITUTE(SUBSTITUTE(SUBSTITUTE(SUBSTITUTE(SUBSTITUTE($A1773,"-",""),"(",""),")",""),".",""),"+","")," ","")))</f>
      </c>
    </row>
    <row r="1774" spans="1:7" x14ac:dyDescent="0.3">
      <c r="A1774" s="11"/>
      <c r="B1774" s="38">
        <f>IF($A1774="","",IFERROR(IF(INDEX(Pledges!$D$5:$D$2500,MATCH($G1774,Pledges!$K$5:$K$2500,0))="","⚠ no amount on Pledges",IF(INDEX(Pledges!$B$5:$B$2500,MATCH($G1774,Pledges!$K$5:$K$2500,0))="","",INDEX(Pledges!$B$5:$B$2500,MATCH($G1774,Pledges!$K$5:$K$2500,0)))),"⚠ phone not in Pledges"))</f>
      </c>
      <c r="C1774" s="12"/>
      <c r="D1774" s="13"/>
      <c r="E1774" s="22"/>
      <c r="F1774" s="23"/>
      <c r="G1774">
        <f>IF($A1774="","","#"&amp;TRIM(SUBSTITUTE(SUBSTITUTE(SUBSTITUTE(SUBSTITUTE(SUBSTITUTE(SUBSTITUTE($A1774,"-",""),"(",""),")",""),".",""),"+","")," ","")))</f>
      </c>
    </row>
    <row r="1775" spans="1:7" x14ac:dyDescent="0.3">
      <c r="A1775" s="11"/>
      <c r="B1775" s="38">
        <f>IF($A1775="","",IFERROR(IF(INDEX(Pledges!$D$5:$D$2500,MATCH($G1775,Pledges!$K$5:$K$2500,0))="","⚠ no amount on Pledges",IF(INDEX(Pledges!$B$5:$B$2500,MATCH($G1775,Pledges!$K$5:$K$2500,0))="","",INDEX(Pledges!$B$5:$B$2500,MATCH($G1775,Pledges!$K$5:$K$2500,0)))),"⚠ phone not in Pledges"))</f>
      </c>
      <c r="C1775" s="12"/>
      <c r="D1775" s="13"/>
      <c r="E1775" s="22"/>
      <c r="F1775" s="23"/>
      <c r="G1775">
        <f>IF($A1775="","","#"&amp;TRIM(SUBSTITUTE(SUBSTITUTE(SUBSTITUTE(SUBSTITUTE(SUBSTITUTE(SUBSTITUTE($A1775,"-",""),"(",""),")",""),".",""),"+","")," ","")))</f>
      </c>
    </row>
    <row r="1776" spans="1:7" x14ac:dyDescent="0.3">
      <c r="A1776" s="11"/>
      <c r="B1776" s="38">
        <f>IF($A1776="","",IFERROR(IF(INDEX(Pledges!$D$5:$D$2500,MATCH($G1776,Pledges!$K$5:$K$2500,0))="","⚠ no amount on Pledges",IF(INDEX(Pledges!$B$5:$B$2500,MATCH($G1776,Pledges!$K$5:$K$2500,0))="","",INDEX(Pledges!$B$5:$B$2500,MATCH($G1776,Pledges!$K$5:$K$2500,0)))),"⚠ phone not in Pledges"))</f>
      </c>
      <c r="C1776" s="12"/>
      <c r="D1776" s="13"/>
      <c r="E1776" s="22"/>
      <c r="F1776" s="23"/>
      <c r="G1776">
        <f>IF($A1776="","","#"&amp;TRIM(SUBSTITUTE(SUBSTITUTE(SUBSTITUTE(SUBSTITUTE(SUBSTITUTE(SUBSTITUTE($A1776,"-",""),"(",""),")",""),".",""),"+","")," ","")))</f>
      </c>
    </row>
    <row r="1777" spans="1:7" x14ac:dyDescent="0.3">
      <c r="A1777" s="11"/>
      <c r="B1777" s="38">
        <f>IF($A1777="","",IFERROR(IF(INDEX(Pledges!$D$5:$D$2500,MATCH($G1777,Pledges!$K$5:$K$2500,0))="","⚠ no amount on Pledges",IF(INDEX(Pledges!$B$5:$B$2500,MATCH($G1777,Pledges!$K$5:$K$2500,0))="","",INDEX(Pledges!$B$5:$B$2500,MATCH($G1777,Pledges!$K$5:$K$2500,0)))),"⚠ phone not in Pledges"))</f>
      </c>
      <c r="C1777" s="12"/>
      <c r="D1777" s="13"/>
      <c r="E1777" s="22"/>
      <c r="F1777" s="23"/>
      <c r="G1777">
        <f>IF($A1777="","","#"&amp;TRIM(SUBSTITUTE(SUBSTITUTE(SUBSTITUTE(SUBSTITUTE(SUBSTITUTE(SUBSTITUTE($A1777,"-",""),"(",""),")",""),".",""),"+","")," ","")))</f>
      </c>
    </row>
    <row r="1778" spans="1:7" x14ac:dyDescent="0.3">
      <c r="A1778" s="11"/>
      <c r="B1778" s="38">
        <f>IF($A1778="","",IFERROR(IF(INDEX(Pledges!$D$5:$D$2500,MATCH($G1778,Pledges!$K$5:$K$2500,0))="","⚠ no amount on Pledges",IF(INDEX(Pledges!$B$5:$B$2500,MATCH($G1778,Pledges!$K$5:$K$2500,0))="","",INDEX(Pledges!$B$5:$B$2500,MATCH($G1778,Pledges!$K$5:$K$2500,0)))),"⚠ phone not in Pledges"))</f>
      </c>
      <c r="C1778" s="12"/>
      <c r="D1778" s="13"/>
      <c r="E1778" s="22"/>
      <c r="F1778" s="23"/>
      <c r="G1778">
        <f>IF($A1778="","","#"&amp;TRIM(SUBSTITUTE(SUBSTITUTE(SUBSTITUTE(SUBSTITUTE(SUBSTITUTE(SUBSTITUTE($A1778,"-",""),"(",""),")",""),".",""),"+","")," ","")))</f>
      </c>
    </row>
    <row r="1779" spans="1:7" x14ac:dyDescent="0.3">
      <c r="A1779" s="11"/>
      <c r="B1779" s="38">
        <f>IF($A1779="","",IFERROR(IF(INDEX(Pledges!$D$5:$D$2500,MATCH($G1779,Pledges!$K$5:$K$2500,0))="","⚠ no amount on Pledges",IF(INDEX(Pledges!$B$5:$B$2500,MATCH($G1779,Pledges!$K$5:$K$2500,0))="","",INDEX(Pledges!$B$5:$B$2500,MATCH($G1779,Pledges!$K$5:$K$2500,0)))),"⚠ phone not in Pledges"))</f>
      </c>
      <c r="C1779" s="12"/>
      <c r="D1779" s="13"/>
      <c r="E1779" s="22"/>
      <c r="F1779" s="23"/>
      <c r="G1779">
        <f>IF($A1779="","","#"&amp;TRIM(SUBSTITUTE(SUBSTITUTE(SUBSTITUTE(SUBSTITUTE(SUBSTITUTE(SUBSTITUTE($A1779,"-",""),"(",""),")",""),".",""),"+","")," ","")))</f>
      </c>
    </row>
    <row r="1780" spans="1:7" x14ac:dyDescent="0.3">
      <c r="A1780" s="11"/>
      <c r="B1780" s="38">
        <f>IF($A1780="","",IFERROR(IF(INDEX(Pledges!$D$5:$D$2500,MATCH($G1780,Pledges!$K$5:$K$2500,0))="","⚠ no amount on Pledges",IF(INDEX(Pledges!$B$5:$B$2500,MATCH($G1780,Pledges!$K$5:$K$2500,0))="","",INDEX(Pledges!$B$5:$B$2500,MATCH($G1780,Pledges!$K$5:$K$2500,0)))),"⚠ phone not in Pledges"))</f>
      </c>
      <c r="C1780" s="12"/>
      <c r="D1780" s="13"/>
      <c r="E1780" s="22"/>
      <c r="F1780" s="23"/>
      <c r="G1780">
        <f>IF($A1780="","","#"&amp;TRIM(SUBSTITUTE(SUBSTITUTE(SUBSTITUTE(SUBSTITUTE(SUBSTITUTE(SUBSTITUTE($A1780,"-",""),"(",""),")",""),".",""),"+","")," ","")))</f>
      </c>
    </row>
    <row r="1781" spans="1:7" x14ac:dyDescent="0.3">
      <c r="A1781" s="11"/>
      <c r="B1781" s="38">
        <f>IF($A1781="","",IFERROR(IF(INDEX(Pledges!$D$5:$D$2500,MATCH($G1781,Pledges!$K$5:$K$2500,0))="","⚠ no amount on Pledges",IF(INDEX(Pledges!$B$5:$B$2500,MATCH($G1781,Pledges!$K$5:$K$2500,0))="","",INDEX(Pledges!$B$5:$B$2500,MATCH($G1781,Pledges!$K$5:$K$2500,0)))),"⚠ phone not in Pledges"))</f>
      </c>
      <c r="C1781" s="12"/>
      <c r="D1781" s="13"/>
      <c r="E1781" s="22"/>
      <c r="F1781" s="23"/>
      <c r="G1781">
        <f>IF($A1781="","","#"&amp;TRIM(SUBSTITUTE(SUBSTITUTE(SUBSTITUTE(SUBSTITUTE(SUBSTITUTE(SUBSTITUTE($A1781,"-",""),"(",""),")",""),".",""),"+","")," ","")))</f>
      </c>
    </row>
    <row r="1782" spans="1:7" x14ac:dyDescent="0.3">
      <c r="A1782" s="11"/>
      <c r="B1782" s="38">
        <f>IF($A1782="","",IFERROR(IF(INDEX(Pledges!$D$5:$D$2500,MATCH($G1782,Pledges!$K$5:$K$2500,0))="","⚠ no amount on Pledges",IF(INDEX(Pledges!$B$5:$B$2500,MATCH($G1782,Pledges!$K$5:$K$2500,0))="","",INDEX(Pledges!$B$5:$B$2500,MATCH($G1782,Pledges!$K$5:$K$2500,0)))),"⚠ phone not in Pledges"))</f>
      </c>
      <c r="C1782" s="12"/>
      <c r="D1782" s="13"/>
      <c r="E1782" s="22"/>
      <c r="F1782" s="23"/>
      <c r="G1782">
        <f>IF($A1782="","","#"&amp;TRIM(SUBSTITUTE(SUBSTITUTE(SUBSTITUTE(SUBSTITUTE(SUBSTITUTE(SUBSTITUTE($A1782,"-",""),"(",""),")",""),".",""),"+","")," ","")))</f>
      </c>
    </row>
    <row r="1783" spans="1:7" x14ac:dyDescent="0.3">
      <c r="A1783" s="11"/>
      <c r="B1783" s="38">
        <f>IF($A1783="","",IFERROR(IF(INDEX(Pledges!$D$5:$D$2500,MATCH($G1783,Pledges!$K$5:$K$2500,0))="","⚠ no amount on Pledges",IF(INDEX(Pledges!$B$5:$B$2500,MATCH($G1783,Pledges!$K$5:$K$2500,0))="","",INDEX(Pledges!$B$5:$B$2500,MATCH($G1783,Pledges!$K$5:$K$2500,0)))),"⚠ phone not in Pledges"))</f>
      </c>
      <c r="C1783" s="12"/>
      <c r="D1783" s="13"/>
      <c r="E1783" s="22"/>
      <c r="F1783" s="23"/>
      <c r="G1783">
        <f>IF($A1783="","","#"&amp;TRIM(SUBSTITUTE(SUBSTITUTE(SUBSTITUTE(SUBSTITUTE(SUBSTITUTE(SUBSTITUTE($A1783,"-",""),"(",""),")",""),".",""),"+","")," ","")))</f>
      </c>
    </row>
    <row r="1784" spans="1:7" x14ac:dyDescent="0.3">
      <c r="A1784" s="11"/>
      <c r="B1784" s="38">
        <f>IF($A1784="","",IFERROR(IF(INDEX(Pledges!$D$5:$D$2500,MATCH($G1784,Pledges!$K$5:$K$2500,0))="","⚠ no amount on Pledges",IF(INDEX(Pledges!$B$5:$B$2500,MATCH($G1784,Pledges!$K$5:$K$2500,0))="","",INDEX(Pledges!$B$5:$B$2500,MATCH($G1784,Pledges!$K$5:$K$2500,0)))),"⚠ phone not in Pledges"))</f>
      </c>
      <c r="C1784" s="12"/>
      <c r="D1784" s="13"/>
      <c r="E1784" s="22"/>
      <c r="F1784" s="23"/>
      <c r="G1784">
        <f>IF($A1784="","","#"&amp;TRIM(SUBSTITUTE(SUBSTITUTE(SUBSTITUTE(SUBSTITUTE(SUBSTITUTE(SUBSTITUTE($A1784,"-",""),"(",""),")",""),".",""),"+","")," ","")))</f>
      </c>
    </row>
    <row r="1785" spans="1:7" x14ac:dyDescent="0.3">
      <c r="A1785" s="11"/>
      <c r="B1785" s="38">
        <f>IF($A1785="","",IFERROR(IF(INDEX(Pledges!$D$5:$D$2500,MATCH($G1785,Pledges!$K$5:$K$2500,0))="","⚠ no amount on Pledges",IF(INDEX(Pledges!$B$5:$B$2500,MATCH($G1785,Pledges!$K$5:$K$2500,0))="","",INDEX(Pledges!$B$5:$B$2500,MATCH($G1785,Pledges!$K$5:$K$2500,0)))),"⚠ phone not in Pledges"))</f>
      </c>
      <c r="C1785" s="12"/>
      <c r="D1785" s="13"/>
      <c r="E1785" s="22"/>
      <c r="F1785" s="23"/>
      <c r="G1785">
        <f>IF($A1785="","","#"&amp;TRIM(SUBSTITUTE(SUBSTITUTE(SUBSTITUTE(SUBSTITUTE(SUBSTITUTE(SUBSTITUTE($A1785,"-",""),"(",""),")",""),".",""),"+","")," ","")))</f>
      </c>
    </row>
    <row r="1786" spans="1:7" x14ac:dyDescent="0.3">
      <c r="A1786" s="11"/>
      <c r="B1786" s="38">
        <f>IF($A1786="","",IFERROR(IF(INDEX(Pledges!$D$5:$D$2500,MATCH($G1786,Pledges!$K$5:$K$2500,0))="","⚠ no amount on Pledges",IF(INDEX(Pledges!$B$5:$B$2500,MATCH($G1786,Pledges!$K$5:$K$2500,0))="","",INDEX(Pledges!$B$5:$B$2500,MATCH($G1786,Pledges!$K$5:$K$2500,0)))),"⚠ phone not in Pledges"))</f>
      </c>
      <c r="C1786" s="12"/>
      <c r="D1786" s="13"/>
      <c r="E1786" s="22"/>
      <c r="F1786" s="23"/>
      <c r="G1786">
        <f>IF($A1786="","","#"&amp;TRIM(SUBSTITUTE(SUBSTITUTE(SUBSTITUTE(SUBSTITUTE(SUBSTITUTE(SUBSTITUTE($A1786,"-",""),"(",""),")",""),".",""),"+","")," ","")))</f>
      </c>
    </row>
    <row r="1787" spans="1:7" x14ac:dyDescent="0.3">
      <c r="A1787" s="11"/>
      <c r="B1787" s="38">
        <f>IF($A1787="","",IFERROR(IF(INDEX(Pledges!$D$5:$D$2500,MATCH($G1787,Pledges!$K$5:$K$2500,0))="","⚠ no amount on Pledges",IF(INDEX(Pledges!$B$5:$B$2500,MATCH($G1787,Pledges!$K$5:$K$2500,0))="","",INDEX(Pledges!$B$5:$B$2500,MATCH($G1787,Pledges!$K$5:$K$2500,0)))),"⚠ phone not in Pledges"))</f>
      </c>
      <c r="C1787" s="12"/>
      <c r="D1787" s="13"/>
      <c r="E1787" s="22"/>
      <c r="F1787" s="23"/>
      <c r="G1787">
        <f>IF($A1787="","","#"&amp;TRIM(SUBSTITUTE(SUBSTITUTE(SUBSTITUTE(SUBSTITUTE(SUBSTITUTE(SUBSTITUTE($A1787,"-",""),"(",""),")",""),".",""),"+","")," ","")))</f>
      </c>
    </row>
    <row r="1788" spans="1:7" x14ac:dyDescent="0.3">
      <c r="A1788" s="11"/>
      <c r="B1788" s="38">
        <f>IF($A1788="","",IFERROR(IF(INDEX(Pledges!$D$5:$D$2500,MATCH($G1788,Pledges!$K$5:$K$2500,0))="","⚠ no amount on Pledges",IF(INDEX(Pledges!$B$5:$B$2500,MATCH($G1788,Pledges!$K$5:$K$2500,0))="","",INDEX(Pledges!$B$5:$B$2500,MATCH($G1788,Pledges!$K$5:$K$2500,0)))),"⚠ phone not in Pledges"))</f>
      </c>
      <c r="C1788" s="12"/>
      <c r="D1788" s="13"/>
      <c r="E1788" s="22"/>
      <c r="F1788" s="23"/>
      <c r="G1788">
        <f>IF($A1788="","","#"&amp;TRIM(SUBSTITUTE(SUBSTITUTE(SUBSTITUTE(SUBSTITUTE(SUBSTITUTE(SUBSTITUTE($A1788,"-",""),"(",""),")",""),".",""),"+","")," ","")))</f>
      </c>
    </row>
    <row r="1789" spans="1:7" x14ac:dyDescent="0.3">
      <c r="A1789" s="11"/>
      <c r="B1789" s="38">
        <f>IF($A1789="","",IFERROR(IF(INDEX(Pledges!$D$5:$D$2500,MATCH($G1789,Pledges!$K$5:$K$2500,0))="","⚠ no amount on Pledges",IF(INDEX(Pledges!$B$5:$B$2500,MATCH($G1789,Pledges!$K$5:$K$2500,0))="","",INDEX(Pledges!$B$5:$B$2500,MATCH($G1789,Pledges!$K$5:$K$2500,0)))),"⚠ phone not in Pledges"))</f>
      </c>
      <c r="C1789" s="12"/>
      <c r="D1789" s="13"/>
      <c r="E1789" s="22"/>
      <c r="F1789" s="23"/>
      <c r="G1789">
        <f>IF($A1789="","","#"&amp;TRIM(SUBSTITUTE(SUBSTITUTE(SUBSTITUTE(SUBSTITUTE(SUBSTITUTE(SUBSTITUTE($A1789,"-",""),"(",""),")",""),".",""),"+","")," ","")))</f>
      </c>
    </row>
    <row r="1790" spans="1:7" x14ac:dyDescent="0.3">
      <c r="A1790" s="11"/>
      <c r="B1790" s="38">
        <f>IF($A1790="","",IFERROR(IF(INDEX(Pledges!$D$5:$D$2500,MATCH($G1790,Pledges!$K$5:$K$2500,0))="","⚠ no amount on Pledges",IF(INDEX(Pledges!$B$5:$B$2500,MATCH($G1790,Pledges!$K$5:$K$2500,0))="","",INDEX(Pledges!$B$5:$B$2500,MATCH($G1790,Pledges!$K$5:$K$2500,0)))),"⚠ phone not in Pledges"))</f>
      </c>
      <c r="C1790" s="12"/>
      <c r="D1790" s="13"/>
      <c r="E1790" s="22"/>
      <c r="F1790" s="23"/>
      <c r="G1790">
        <f>IF($A1790="","","#"&amp;TRIM(SUBSTITUTE(SUBSTITUTE(SUBSTITUTE(SUBSTITUTE(SUBSTITUTE(SUBSTITUTE($A1790,"-",""),"(",""),")",""),".",""),"+","")," ","")))</f>
      </c>
    </row>
    <row r="1791" spans="1:7" x14ac:dyDescent="0.3">
      <c r="A1791" s="11"/>
      <c r="B1791" s="38">
        <f>IF($A1791="","",IFERROR(IF(INDEX(Pledges!$D$5:$D$2500,MATCH($G1791,Pledges!$K$5:$K$2500,0))="","⚠ no amount on Pledges",IF(INDEX(Pledges!$B$5:$B$2500,MATCH($G1791,Pledges!$K$5:$K$2500,0))="","",INDEX(Pledges!$B$5:$B$2500,MATCH($G1791,Pledges!$K$5:$K$2500,0)))),"⚠ phone not in Pledges"))</f>
      </c>
      <c r="C1791" s="12"/>
      <c r="D1791" s="13"/>
      <c r="E1791" s="22"/>
      <c r="F1791" s="23"/>
      <c r="G1791">
        <f>IF($A1791="","","#"&amp;TRIM(SUBSTITUTE(SUBSTITUTE(SUBSTITUTE(SUBSTITUTE(SUBSTITUTE(SUBSTITUTE($A1791,"-",""),"(",""),")",""),".",""),"+","")," ","")))</f>
      </c>
    </row>
    <row r="1792" spans="1:7" x14ac:dyDescent="0.3">
      <c r="A1792" s="11"/>
      <c r="B1792" s="38">
        <f>IF($A1792="","",IFERROR(IF(INDEX(Pledges!$D$5:$D$2500,MATCH($G1792,Pledges!$K$5:$K$2500,0))="","⚠ no amount on Pledges",IF(INDEX(Pledges!$B$5:$B$2500,MATCH($G1792,Pledges!$K$5:$K$2500,0))="","",INDEX(Pledges!$B$5:$B$2500,MATCH($G1792,Pledges!$K$5:$K$2500,0)))),"⚠ phone not in Pledges"))</f>
      </c>
      <c r="C1792" s="12"/>
      <c r="D1792" s="13"/>
      <c r="E1792" s="22"/>
      <c r="F1792" s="23"/>
      <c r="G1792">
        <f>IF($A1792="","","#"&amp;TRIM(SUBSTITUTE(SUBSTITUTE(SUBSTITUTE(SUBSTITUTE(SUBSTITUTE(SUBSTITUTE($A1792,"-",""),"(",""),")",""),".",""),"+","")," ","")))</f>
      </c>
    </row>
    <row r="1793" spans="1:7" x14ac:dyDescent="0.3">
      <c r="A1793" s="11"/>
      <c r="B1793" s="38">
        <f>IF($A1793="","",IFERROR(IF(INDEX(Pledges!$D$5:$D$2500,MATCH($G1793,Pledges!$K$5:$K$2500,0))="","⚠ no amount on Pledges",IF(INDEX(Pledges!$B$5:$B$2500,MATCH($G1793,Pledges!$K$5:$K$2500,0))="","",INDEX(Pledges!$B$5:$B$2500,MATCH($G1793,Pledges!$K$5:$K$2500,0)))),"⚠ phone not in Pledges"))</f>
      </c>
      <c r="C1793" s="12"/>
      <c r="D1793" s="13"/>
      <c r="E1793" s="22"/>
      <c r="F1793" s="23"/>
      <c r="G1793">
        <f>IF($A1793="","","#"&amp;TRIM(SUBSTITUTE(SUBSTITUTE(SUBSTITUTE(SUBSTITUTE(SUBSTITUTE(SUBSTITUTE($A1793,"-",""),"(",""),")",""),".",""),"+","")," ","")))</f>
      </c>
    </row>
    <row r="1794" spans="1:7" x14ac:dyDescent="0.3">
      <c r="A1794" s="11"/>
      <c r="B1794" s="38">
        <f>IF($A1794="","",IFERROR(IF(INDEX(Pledges!$D$5:$D$2500,MATCH($G1794,Pledges!$K$5:$K$2500,0))="","⚠ no amount on Pledges",IF(INDEX(Pledges!$B$5:$B$2500,MATCH($G1794,Pledges!$K$5:$K$2500,0))="","",INDEX(Pledges!$B$5:$B$2500,MATCH($G1794,Pledges!$K$5:$K$2500,0)))),"⚠ phone not in Pledges"))</f>
      </c>
      <c r="C1794" s="12"/>
      <c r="D1794" s="13"/>
      <c r="E1794" s="22"/>
      <c r="F1794" s="23"/>
      <c r="G1794">
        <f>IF($A1794="","","#"&amp;TRIM(SUBSTITUTE(SUBSTITUTE(SUBSTITUTE(SUBSTITUTE(SUBSTITUTE(SUBSTITUTE($A1794,"-",""),"(",""),")",""),".",""),"+","")," ","")))</f>
      </c>
    </row>
    <row r="1795" spans="1:7" x14ac:dyDescent="0.3">
      <c r="A1795" s="11"/>
      <c r="B1795" s="38">
        <f>IF($A1795="","",IFERROR(IF(INDEX(Pledges!$D$5:$D$2500,MATCH($G1795,Pledges!$K$5:$K$2500,0))="","⚠ no amount on Pledges",IF(INDEX(Pledges!$B$5:$B$2500,MATCH($G1795,Pledges!$K$5:$K$2500,0))="","",INDEX(Pledges!$B$5:$B$2500,MATCH($G1795,Pledges!$K$5:$K$2500,0)))),"⚠ phone not in Pledges"))</f>
      </c>
      <c r="C1795" s="12"/>
      <c r="D1795" s="13"/>
      <c r="E1795" s="22"/>
      <c r="F1795" s="23"/>
      <c r="G1795">
        <f>IF($A1795="","","#"&amp;TRIM(SUBSTITUTE(SUBSTITUTE(SUBSTITUTE(SUBSTITUTE(SUBSTITUTE(SUBSTITUTE($A1795,"-",""),"(",""),")",""),".",""),"+","")," ","")))</f>
      </c>
    </row>
    <row r="1796" spans="1:7" x14ac:dyDescent="0.3">
      <c r="A1796" s="11"/>
      <c r="B1796" s="38">
        <f>IF($A1796="","",IFERROR(IF(INDEX(Pledges!$D$5:$D$2500,MATCH($G1796,Pledges!$K$5:$K$2500,0))="","⚠ no amount on Pledges",IF(INDEX(Pledges!$B$5:$B$2500,MATCH($G1796,Pledges!$K$5:$K$2500,0))="","",INDEX(Pledges!$B$5:$B$2500,MATCH($G1796,Pledges!$K$5:$K$2500,0)))),"⚠ phone not in Pledges"))</f>
      </c>
      <c r="C1796" s="12"/>
      <c r="D1796" s="13"/>
      <c r="E1796" s="22"/>
      <c r="F1796" s="23"/>
      <c r="G1796">
        <f>IF($A1796="","","#"&amp;TRIM(SUBSTITUTE(SUBSTITUTE(SUBSTITUTE(SUBSTITUTE(SUBSTITUTE(SUBSTITUTE($A1796,"-",""),"(",""),")",""),".",""),"+","")," ","")))</f>
      </c>
    </row>
    <row r="1797" spans="1:7" x14ac:dyDescent="0.3">
      <c r="A1797" s="11"/>
      <c r="B1797" s="38">
        <f>IF($A1797="","",IFERROR(IF(INDEX(Pledges!$D$5:$D$2500,MATCH($G1797,Pledges!$K$5:$K$2500,0))="","⚠ no amount on Pledges",IF(INDEX(Pledges!$B$5:$B$2500,MATCH($G1797,Pledges!$K$5:$K$2500,0))="","",INDEX(Pledges!$B$5:$B$2500,MATCH($G1797,Pledges!$K$5:$K$2500,0)))),"⚠ phone not in Pledges"))</f>
      </c>
      <c r="C1797" s="12"/>
      <c r="D1797" s="13"/>
      <c r="E1797" s="22"/>
      <c r="F1797" s="23"/>
      <c r="G1797">
        <f>IF($A1797="","","#"&amp;TRIM(SUBSTITUTE(SUBSTITUTE(SUBSTITUTE(SUBSTITUTE(SUBSTITUTE(SUBSTITUTE($A1797,"-",""),"(",""),")",""),".",""),"+","")," ","")))</f>
      </c>
    </row>
    <row r="1798" spans="1:7" x14ac:dyDescent="0.3">
      <c r="A1798" s="11"/>
      <c r="B1798" s="38">
        <f>IF($A1798="","",IFERROR(IF(INDEX(Pledges!$D$5:$D$2500,MATCH($G1798,Pledges!$K$5:$K$2500,0))="","⚠ no amount on Pledges",IF(INDEX(Pledges!$B$5:$B$2500,MATCH($G1798,Pledges!$K$5:$K$2500,0))="","",INDEX(Pledges!$B$5:$B$2500,MATCH($G1798,Pledges!$K$5:$K$2500,0)))),"⚠ phone not in Pledges"))</f>
      </c>
      <c r="C1798" s="12"/>
      <c r="D1798" s="13"/>
      <c r="E1798" s="22"/>
      <c r="F1798" s="23"/>
      <c r="G1798">
        <f>IF($A1798="","","#"&amp;TRIM(SUBSTITUTE(SUBSTITUTE(SUBSTITUTE(SUBSTITUTE(SUBSTITUTE(SUBSTITUTE($A1798,"-",""),"(",""),")",""),".",""),"+","")," ","")))</f>
      </c>
    </row>
    <row r="1799" spans="1:7" x14ac:dyDescent="0.3">
      <c r="A1799" s="11"/>
      <c r="B1799" s="38">
        <f>IF($A1799="","",IFERROR(IF(INDEX(Pledges!$D$5:$D$2500,MATCH($G1799,Pledges!$K$5:$K$2500,0))="","⚠ no amount on Pledges",IF(INDEX(Pledges!$B$5:$B$2500,MATCH($G1799,Pledges!$K$5:$K$2500,0))="","",INDEX(Pledges!$B$5:$B$2500,MATCH($G1799,Pledges!$K$5:$K$2500,0)))),"⚠ phone not in Pledges"))</f>
      </c>
      <c r="C1799" s="12"/>
      <c r="D1799" s="13"/>
      <c r="E1799" s="22"/>
      <c r="F1799" s="23"/>
      <c r="G1799">
        <f>IF($A1799="","","#"&amp;TRIM(SUBSTITUTE(SUBSTITUTE(SUBSTITUTE(SUBSTITUTE(SUBSTITUTE(SUBSTITUTE($A1799,"-",""),"(",""),")",""),".",""),"+","")," ","")))</f>
      </c>
    </row>
    <row r="1800" spans="1:7" x14ac:dyDescent="0.3">
      <c r="A1800" s="11"/>
      <c r="B1800" s="38">
        <f>IF($A1800="","",IFERROR(IF(INDEX(Pledges!$D$5:$D$2500,MATCH($G1800,Pledges!$K$5:$K$2500,0))="","⚠ no amount on Pledges",IF(INDEX(Pledges!$B$5:$B$2500,MATCH($G1800,Pledges!$K$5:$K$2500,0))="","",INDEX(Pledges!$B$5:$B$2500,MATCH($G1800,Pledges!$K$5:$K$2500,0)))),"⚠ phone not in Pledges"))</f>
      </c>
      <c r="C1800" s="12"/>
      <c r="D1800" s="13"/>
      <c r="E1800" s="22"/>
      <c r="F1800" s="23"/>
      <c r="G1800">
        <f>IF($A1800="","","#"&amp;TRIM(SUBSTITUTE(SUBSTITUTE(SUBSTITUTE(SUBSTITUTE(SUBSTITUTE(SUBSTITUTE($A1800,"-",""),"(",""),")",""),".",""),"+","")," ","")))</f>
      </c>
    </row>
    <row r="1801" spans="1:7" x14ac:dyDescent="0.3">
      <c r="A1801" s="11"/>
      <c r="B1801" s="38">
        <f>IF($A1801="","",IFERROR(IF(INDEX(Pledges!$D$5:$D$2500,MATCH($G1801,Pledges!$K$5:$K$2500,0))="","⚠ no amount on Pledges",IF(INDEX(Pledges!$B$5:$B$2500,MATCH($G1801,Pledges!$K$5:$K$2500,0))="","",INDEX(Pledges!$B$5:$B$2500,MATCH($G1801,Pledges!$K$5:$K$2500,0)))),"⚠ phone not in Pledges"))</f>
      </c>
      <c r="C1801" s="12"/>
      <c r="D1801" s="13"/>
      <c r="E1801" s="22"/>
      <c r="F1801" s="23"/>
      <c r="G1801">
        <f>IF($A1801="","","#"&amp;TRIM(SUBSTITUTE(SUBSTITUTE(SUBSTITUTE(SUBSTITUTE(SUBSTITUTE(SUBSTITUTE($A1801,"-",""),"(",""),")",""),".",""),"+","")," ","")))</f>
      </c>
    </row>
    <row r="1802" spans="1:7" x14ac:dyDescent="0.3">
      <c r="A1802" s="11"/>
      <c r="B1802" s="38">
        <f>IF($A1802="","",IFERROR(IF(INDEX(Pledges!$D$5:$D$2500,MATCH($G1802,Pledges!$K$5:$K$2500,0))="","⚠ no amount on Pledges",IF(INDEX(Pledges!$B$5:$B$2500,MATCH($G1802,Pledges!$K$5:$K$2500,0))="","",INDEX(Pledges!$B$5:$B$2500,MATCH($G1802,Pledges!$K$5:$K$2500,0)))),"⚠ phone not in Pledges"))</f>
      </c>
      <c r="C1802" s="12"/>
      <c r="D1802" s="13"/>
      <c r="E1802" s="22"/>
      <c r="F1802" s="23"/>
      <c r="G1802">
        <f>IF($A1802="","","#"&amp;TRIM(SUBSTITUTE(SUBSTITUTE(SUBSTITUTE(SUBSTITUTE(SUBSTITUTE(SUBSTITUTE($A1802,"-",""),"(",""),")",""),".",""),"+","")," ","")))</f>
      </c>
    </row>
    <row r="1803" spans="1:7" x14ac:dyDescent="0.3">
      <c r="A1803" s="11"/>
      <c r="B1803" s="38">
        <f>IF($A1803="","",IFERROR(IF(INDEX(Pledges!$D$5:$D$2500,MATCH($G1803,Pledges!$K$5:$K$2500,0))="","⚠ no amount on Pledges",IF(INDEX(Pledges!$B$5:$B$2500,MATCH($G1803,Pledges!$K$5:$K$2500,0))="","",INDEX(Pledges!$B$5:$B$2500,MATCH($G1803,Pledges!$K$5:$K$2500,0)))),"⚠ phone not in Pledges"))</f>
      </c>
      <c r="C1803" s="12"/>
      <c r="D1803" s="13"/>
      <c r="E1803" s="22"/>
      <c r="F1803" s="23"/>
      <c r="G1803">
        <f>IF($A1803="","","#"&amp;TRIM(SUBSTITUTE(SUBSTITUTE(SUBSTITUTE(SUBSTITUTE(SUBSTITUTE(SUBSTITUTE($A1803,"-",""),"(",""),")",""),".",""),"+","")," ","")))</f>
      </c>
    </row>
    <row r="1804" spans="1:7" x14ac:dyDescent="0.3">
      <c r="A1804" s="11"/>
      <c r="B1804" s="38">
        <f>IF($A1804="","",IFERROR(IF(INDEX(Pledges!$D$5:$D$2500,MATCH($G1804,Pledges!$K$5:$K$2500,0))="","⚠ no amount on Pledges",IF(INDEX(Pledges!$B$5:$B$2500,MATCH($G1804,Pledges!$K$5:$K$2500,0))="","",INDEX(Pledges!$B$5:$B$2500,MATCH($G1804,Pledges!$K$5:$K$2500,0)))),"⚠ phone not in Pledges"))</f>
      </c>
      <c r="C1804" s="12"/>
      <c r="D1804" s="13"/>
      <c r="E1804" s="22"/>
      <c r="F1804" s="23"/>
      <c r="G1804">
        <f>IF($A1804="","","#"&amp;TRIM(SUBSTITUTE(SUBSTITUTE(SUBSTITUTE(SUBSTITUTE(SUBSTITUTE(SUBSTITUTE($A1804,"-",""),"(",""),")",""),".",""),"+","")," ","")))</f>
      </c>
    </row>
    <row r="1805" spans="1:7" x14ac:dyDescent="0.3">
      <c r="A1805" s="11"/>
      <c r="B1805" s="38">
        <f>IF($A1805="","",IFERROR(IF(INDEX(Pledges!$D$5:$D$2500,MATCH($G1805,Pledges!$K$5:$K$2500,0))="","⚠ no amount on Pledges",IF(INDEX(Pledges!$B$5:$B$2500,MATCH($G1805,Pledges!$K$5:$K$2500,0))="","",INDEX(Pledges!$B$5:$B$2500,MATCH($G1805,Pledges!$K$5:$K$2500,0)))),"⚠ phone not in Pledges"))</f>
      </c>
      <c r="C1805" s="12"/>
      <c r="D1805" s="13"/>
      <c r="E1805" s="22"/>
      <c r="F1805" s="23"/>
      <c r="G1805">
        <f>IF($A1805="","","#"&amp;TRIM(SUBSTITUTE(SUBSTITUTE(SUBSTITUTE(SUBSTITUTE(SUBSTITUTE(SUBSTITUTE($A1805,"-",""),"(",""),")",""),".",""),"+","")," ","")))</f>
      </c>
    </row>
    <row r="1806" spans="1:7" x14ac:dyDescent="0.3">
      <c r="A1806" s="11"/>
      <c r="B1806" s="38">
        <f>IF($A1806="","",IFERROR(IF(INDEX(Pledges!$D$5:$D$2500,MATCH($G1806,Pledges!$K$5:$K$2500,0))="","⚠ no amount on Pledges",IF(INDEX(Pledges!$B$5:$B$2500,MATCH($G1806,Pledges!$K$5:$K$2500,0))="","",INDEX(Pledges!$B$5:$B$2500,MATCH($G1806,Pledges!$K$5:$K$2500,0)))),"⚠ phone not in Pledges"))</f>
      </c>
      <c r="C1806" s="12"/>
      <c r="D1806" s="13"/>
      <c r="E1806" s="22"/>
      <c r="F1806" s="23"/>
      <c r="G1806">
        <f>IF($A1806="","","#"&amp;TRIM(SUBSTITUTE(SUBSTITUTE(SUBSTITUTE(SUBSTITUTE(SUBSTITUTE(SUBSTITUTE($A1806,"-",""),"(",""),")",""),".",""),"+","")," ","")))</f>
      </c>
    </row>
    <row r="1807" spans="1:7" x14ac:dyDescent="0.3">
      <c r="A1807" s="11"/>
      <c r="B1807" s="38">
        <f>IF($A1807="","",IFERROR(IF(INDEX(Pledges!$D$5:$D$2500,MATCH($G1807,Pledges!$K$5:$K$2500,0))="","⚠ no amount on Pledges",IF(INDEX(Pledges!$B$5:$B$2500,MATCH($G1807,Pledges!$K$5:$K$2500,0))="","",INDEX(Pledges!$B$5:$B$2500,MATCH($G1807,Pledges!$K$5:$K$2500,0)))),"⚠ phone not in Pledges"))</f>
      </c>
      <c r="C1807" s="12"/>
      <c r="D1807" s="13"/>
      <c r="E1807" s="22"/>
      <c r="F1807" s="23"/>
      <c r="G1807">
        <f>IF($A1807="","","#"&amp;TRIM(SUBSTITUTE(SUBSTITUTE(SUBSTITUTE(SUBSTITUTE(SUBSTITUTE(SUBSTITUTE($A1807,"-",""),"(",""),")",""),".",""),"+","")," ","")))</f>
      </c>
    </row>
    <row r="1808" spans="1:7" x14ac:dyDescent="0.3">
      <c r="A1808" s="11"/>
      <c r="B1808" s="38">
        <f>IF($A1808="","",IFERROR(IF(INDEX(Pledges!$D$5:$D$2500,MATCH($G1808,Pledges!$K$5:$K$2500,0))="","⚠ no amount on Pledges",IF(INDEX(Pledges!$B$5:$B$2500,MATCH($G1808,Pledges!$K$5:$K$2500,0))="","",INDEX(Pledges!$B$5:$B$2500,MATCH($G1808,Pledges!$K$5:$K$2500,0)))),"⚠ phone not in Pledges"))</f>
      </c>
      <c r="C1808" s="12"/>
      <c r="D1808" s="13"/>
      <c r="E1808" s="22"/>
      <c r="F1808" s="23"/>
      <c r="G1808">
        <f>IF($A1808="","","#"&amp;TRIM(SUBSTITUTE(SUBSTITUTE(SUBSTITUTE(SUBSTITUTE(SUBSTITUTE(SUBSTITUTE($A1808,"-",""),"(",""),")",""),".",""),"+","")," ","")))</f>
      </c>
    </row>
    <row r="1809" spans="1:7" x14ac:dyDescent="0.3">
      <c r="A1809" s="11"/>
      <c r="B1809" s="38">
        <f>IF($A1809="","",IFERROR(IF(INDEX(Pledges!$D$5:$D$2500,MATCH($G1809,Pledges!$K$5:$K$2500,0))="","⚠ no amount on Pledges",IF(INDEX(Pledges!$B$5:$B$2500,MATCH($G1809,Pledges!$K$5:$K$2500,0))="","",INDEX(Pledges!$B$5:$B$2500,MATCH($G1809,Pledges!$K$5:$K$2500,0)))),"⚠ phone not in Pledges"))</f>
      </c>
      <c r="C1809" s="12"/>
      <c r="D1809" s="13"/>
      <c r="E1809" s="22"/>
      <c r="F1809" s="23"/>
      <c r="G1809">
        <f>IF($A1809="","","#"&amp;TRIM(SUBSTITUTE(SUBSTITUTE(SUBSTITUTE(SUBSTITUTE(SUBSTITUTE(SUBSTITUTE($A1809,"-",""),"(",""),")",""),".",""),"+","")," ","")))</f>
      </c>
    </row>
    <row r="1810" spans="1:7" x14ac:dyDescent="0.3">
      <c r="A1810" s="11"/>
      <c r="B1810" s="38">
        <f>IF($A1810="","",IFERROR(IF(INDEX(Pledges!$D$5:$D$2500,MATCH($G1810,Pledges!$K$5:$K$2500,0))="","⚠ no amount on Pledges",IF(INDEX(Pledges!$B$5:$B$2500,MATCH($G1810,Pledges!$K$5:$K$2500,0))="","",INDEX(Pledges!$B$5:$B$2500,MATCH($G1810,Pledges!$K$5:$K$2500,0)))),"⚠ phone not in Pledges"))</f>
      </c>
      <c r="C1810" s="12"/>
      <c r="D1810" s="13"/>
      <c r="E1810" s="22"/>
      <c r="F1810" s="23"/>
      <c r="G1810">
        <f>IF($A1810="","","#"&amp;TRIM(SUBSTITUTE(SUBSTITUTE(SUBSTITUTE(SUBSTITUTE(SUBSTITUTE(SUBSTITUTE($A1810,"-",""),"(",""),")",""),".",""),"+","")," ","")))</f>
      </c>
    </row>
    <row r="1811" spans="1:7" x14ac:dyDescent="0.3">
      <c r="A1811" s="11"/>
      <c r="B1811" s="38">
        <f>IF($A1811="","",IFERROR(IF(INDEX(Pledges!$D$5:$D$2500,MATCH($G1811,Pledges!$K$5:$K$2500,0))="","⚠ no amount on Pledges",IF(INDEX(Pledges!$B$5:$B$2500,MATCH($G1811,Pledges!$K$5:$K$2500,0))="","",INDEX(Pledges!$B$5:$B$2500,MATCH($G1811,Pledges!$K$5:$K$2500,0)))),"⚠ phone not in Pledges"))</f>
      </c>
      <c r="C1811" s="12"/>
      <c r="D1811" s="13"/>
      <c r="E1811" s="22"/>
      <c r="F1811" s="23"/>
      <c r="G1811">
        <f>IF($A1811="","","#"&amp;TRIM(SUBSTITUTE(SUBSTITUTE(SUBSTITUTE(SUBSTITUTE(SUBSTITUTE(SUBSTITUTE($A1811,"-",""),"(",""),")",""),".",""),"+","")," ","")))</f>
      </c>
    </row>
    <row r="1812" spans="1:7" x14ac:dyDescent="0.3">
      <c r="A1812" s="11"/>
      <c r="B1812" s="38">
        <f>IF($A1812="","",IFERROR(IF(INDEX(Pledges!$D$5:$D$2500,MATCH($G1812,Pledges!$K$5:$K$2500,0))="","⚠ no amount on Pledges",IF(INDEX(Pledges!$B$5:$B$2500,MATCH($G1812,Pledges!$K$5:$K$2500,0))="","",INDEX(Pledges!$B$5:$B$2500,MATCH($G1812,Pledges!$K$5:$K$2500,0)))),"⚠ phone not in Pledges"))</f>
      </c>
      <c r="C1812" s="12"/>
      <c r="D1812" s="13"/>
      <c r="E1812" s="22"/>
      <c r="F1812" s="23"/>
      <c r="G1812">
        <f>IF($A1812="","","#"&amp;TRIM(SUBSTITUTE(SUBSTITUTE(SUBSTITUTE(SUBSTITUTE(SUBSTITUTE(SUBSTITUTE($A1812,"-",""),"(",""),")",""),".",""),"+","")," ","")))</f>
      </c>
    </row>
    <row r="1813" spans="1:7" x14ac:dyDescent="0.3">
      <c r="A1813" s="11"/>
      <c r="B1813" s="38">
        <f>IF($A1813="","",IFERROR(IF(INDEX(Pledges!$D$5:$D$2500,MATCH($G1813,Pledges!$K$5:$K$2500,0))="","⚠ no amount on Pledges",IF(INDEX(Pledges!$B$5:$B$2500,MATCH($G1813,Pledges!$K$5:$K$2500,0))="","",INDEX(Pledges!$B$5:$B$2500,MATCH($G1813,Pledges!$K$5:$K$2500,0)))),"⚠ phone not in Pledges"))</f>
      </c>
      <c r="C1813" s="12"/>
      <c r="D1813" s="13"/>
      <c r="E1813" s="22"/>
      <c r="F1813" s="23"/>
      <c r="G1813">
        <f>IF($A1813="","","#"&amp;TRIM(SUBSTITUTE(SUBSTITUTE(SUBSTITUTE(SUBSTITUTE(SUBSTITUTE(SUBSTITUTE($A1813,"-",""),"(",""),")",""),".",""),"+","")," ","")))</f>
      </c>
    </row>
    <row r="1814" spans="1:7" x14ac:dyDescent="0.3">
      <c r="A1814" s="11"/>
      <c r="B1814" s="38">
        <f>IF($A1814="","",IFERROR(IF(INDEX(Pledges!$D$5:$D$2500,MATCH($G1814,Pledges!$K$5:$K$2500,0))="","⚠ no amount on Pledges",IF(INDEX(Pledges!$B$5:$B$2500,MATCH($G1814,Pledges!$K$5:$K$2500,0))="","",INDEX(Pledges!$B$5:$B$2500,MATCH($G1814,Pledges!$K$5:$K$2500,0)))),"⚠ phone not in Pledges"))</f>
      </c>
      <c r="C1814" s="12"/>
      <c r="D1814" s="13"/>
      <c r="E1814" s="22"/>
      <c r="F1814" s="23"/>
      <c r="G1814">
        <f>IF($A1814="","","#"&amp;TRIM(SUBSTITUTE(SUBSTITUTE(SUBSTITUTE(SUBSTITUTE(SUBSTITUTE(SUBSTITUTE($A1814,"-",""),"(",""),")",""),".",""),"+","")," ","")))</f>
      </c>
    </row>
    <row r="1815" spans="1:7" x14ac:dyDescent="0.3">
      <c r="A1815" s="11"/>
      <c r="B1815" s="38">
        <f>IF($A1815="","",IFERROR(IF(INDEX(Pledges!$D$5:$D$2500,MATCH($G1815,Pledges!$K$5:$K$2500,0))="","⚠ no amount on Pledges",IF(INDEX(Pledges!$B$5:$B$2500,MATCH($G1815,Pledges!$K$5:$K$2500,0))="","",INDEX(Pledges!$B$5:$B$2500,MATCH($G1815,Pledges!$K$5:$K$2500,0)))),"⚠ phone not in Pledges"))</f>
      </c>
      <c r="C1815" s="12"/>
      <c r="D1815" s="13"/>
      <c r="E1815" s="22"/>
      <c r="F1815" s="23"/>
      <c r="G1815">
        <f>IF($A1815="","","#"&amp;TRIM(SUBSTITUTE(SUBSTITUTE(SUBSTITUTE(SUBSTITUTE(SUBSTITUTE(SUBSTITUTE($A1815,"-",""),"(",""),")",""),".",""),"+","")," ","")))</f>
      </c>
    </row>
    <row r="1816" spans="1:7" x14ac:dyDescent="0.3">
      <c r="A1816" s="11"/>
      <c r="B1816" s="38">
        <f>IF($A1816="","",IFERROR(IF(INDEX(Pledges!$D$5:$D$2500,MATCH($G1816,Pledges!$K$5:$K$2500,0))="","⚠ no amount on Pledges",IF(INDEX(Pledges!$B$5:$B$2500,MATCH($G1816,Pledges!$K$5:$K$2500,0))="","",INDEX(Pledges!$B$5:$B$2500,MATCH($G1816,Pledges!$K$5:$K$2500,0)))),"⚠ phone not in Pledges"))</f>
      </c>
      <c r="C1816" s="12"/>
      <c r="D1816" s="13"/>
      <c r="E1816" s="22"/>
      <c r="F1816" s="23"/>
      <c r="G1816">
        <f>IF($A1816="","","#"&amp;TRIM(SUBSTITUTE(SUBSTITUTE(SUBSTITUTE(SUBSTITUTE(SUBSTITUTE(SUBSTITUTE($A1816,"-",""),"(",""),")",""),".",""),"+","")," ","")))</f>
      </c>
    </row>
    <row r="1817" spans="1:7" x14ac:dyDescent="0.3">
      <c r="A1817" s="11"/>
      <c r="B1817" s="38">
        <f>IF($A1817="","",IFERROR(IF(INDEX(Pledges!$D$5:$D$2500,MATCH($G1817,Pledges!$K$5:$K$2500,0))="","⚠ no amount on Pledges",IF(INDEX(Pledges!$B$5:$B$2500,MATCH($G1817,Pledges!$K$5:$K$2500,0))="","",INDEX(Pledges!$B$5:$B$2500,MATCH($G1817,Pledges!$K$5:$K$2500,0)))),"⚠ phone not in Pledges"))</f>
      </c>
      <c r="C1817" s="12"/>
      <c r="D1817" s="13"/>
      <c r="E1817" s="22"/>
      <c r="F1817" s="23"/>
      <c r="G1817">
        <f>IF($A1817="","","#"&amp;TRIM(SUBSTITUTE(SUBSTITUTE(SUBSTITUTE(SUBSTITUTE(SUBSTITUTE(SUBSTITUTE($A1817,"-",""),"(",""),")",""),".",""),"+","")," ","")))</f>
      </c>
    </row>
    <row r="1818" spans="1:7" x14ac:dyDescent="0.3">
      <c r="A1818" s="11"/>
      <c r="B1818" s="38">
        <f>IF($A1818="","",IFERROR(IF(INDEX(Pledges!$D$5:$D$2500,MATCH($G1818,Pledges!$K$5:$K$2500,0))="","⚠ no amount on Pledges",IF(INDEX(Pledges!$B$5:$B$2500,MATCH($G1818,Pledges!$K$5:$K$2500,0))="","",INDEX(Pledges!$B$5:$B$2500,MATCH($G1818,Pledges!$K$5:$K$2500,0)))),"⚠ phone not in Pledges"))</f>
      </c>
      <c r="C1818" s="12"/>
      <c r="D1818" s="13"/>
      <c r="E1818" s="22"/>
      <c r="F1818" s="23"/>
      <c r="G1818">
        <f>IF($A1818="","","#"&amp;TRIM(SUBSTITUTE(SUBSTITUTE(SUBSTITUTE(SUBSTITUTE(SUBSTITUTE(SUBSTITUTE($A1818,"-",""),"(",""),")",""),".",""),"+","")," ","")))</f>
      </c>
    </row>
    <row r="1819" spans="1:7" x14ac:dyDescent="0.3">
      <c r="A1819" s="11"/>
      <c r="B1819" s="38">
        <f>IF($A1819="","",IFERROR(IF(INDEX(Pledges!$D$5:$D$2500,MATCH($G1819,Pledges!$K$5:$K$2500,0))="","⚠ no amount on Pledges",IF(INDEX(Pledges!$B$5:$B$2500,MATCH($G1819,Pledges!$K$5:$K$2500,0))="","",INDEX(Pledges!$B$5:$B$2500,MATCH($G1819,Pledges!$K$5:$K$2500,0)))),"⚠ phone not in Pledges"))</f>
      </c>
      <c r="C1819" s="12"/>
      <c r="D1819" s="13"/>
      <c r="E1819" s="22"/>
      <c r="F1819" s="23"/>
      <c r="G1819">
        <f>IF($A1819="","","#"&amp;TRIM(SUBSTITUTE(SUBSTITUTE(SUBSTITUTE(SUBSTITUTE(SUBSTITUTE(SUBSTITUTE($A1819,"-",""),"(",""),")",""),".",""),"+","")," ","")))</f>
      </c>
    </row>
    <row r="1820" spans="1:7" x14ac:dyDescent="0.3">
      <c r="A1820" s="11"/>
      <c r="B1820" s="38">
        <f>IF($A1820="","",IFERROR(IF(INDEX(Pledges!$D$5:$D$2500,MATCH($G1820,Pledges!$K$5:$K$2500,0))="","⚠ no amount on Pledges",IF(INDEX(Pledges!$B$5:$B$2500,MATCH($G1820,Pledges!$K$5:$K$2500,0))="","",INDEX(Pledges!$B$5:$B$2500,MATCH($G1820,Pledges!$K$5:$K$2500,0)))),"⚠ phone not in Pledges"))</f>
      </c>
      <c r="C1820" s="12"/>
      <c r="D1820" s="13"/>
      <c r="E1820" s="22"/>
      <c r="F1820" s="23"/>
      <c r="G1820">
        <f>IF($A1820="","","#"&amp;TRIM(SUBSTITUTE(SUBSTITUTE(SUBSTITUTE(SUBSTITUTE(SUBSTITUTE(SUBSTITUTE($A1820,"-",""),"(",""),")",""),".",""),"+","")," ","")))</f>
      </c>
    </row>
    <row r="1821" spans="1:7" x14ac:dyDescent="0.3">
      <c r="A1821" s="11"/>
      <c r="B1821" s="38">
        <f>IF($A1821="","",IFERROR(IF(INDEX(Pledges!$D$5:$D$2500,MATCH($G1821,Pledges!$K$5:$K$2500,0))="","⚠ no amount on Pledges",IF(INDEX(Pledges!$B$5:$B$2500,MATCH($G1821,Pledges!$K$5:$K$2500,0))="","",INDEX(Pledges!$B$5:$B$2500,MATCH($G1821,Pledges!$K$5:$K$2500,0)))),"⚠ phone not in Pledges"))</f>
      </c>
      <c r="C1821" s="12"/>
      <c r="D1821" s="13"/>
      <c r="E1821" s="22"/>
      <c r="F1821" s="23"/>
      <c r="G1821">
        <f>IF($A1821="","","#"&amp;TRIM(SUBSTITUTE(SUBSTITUTE(SUBSTITUTE(SUBSTITUTE(SUBSTITUTE(SUBSTITUTE($A1821,"-",""),"(",""),")",""),".",""),"+","")," ","")))</f>
      </c>
    </row>
    <row r="1822" spans="1:7" x14ac:dyDescent="0.3">
      <c r="A1822" s="11"/>
      <c r="B1822" s="38">
        <f>IF($A1822="","",IFERROR(IF(INDEX(Pledges!$D$5:$D$2500,MATCH($G1822,Pledges!$K$5:$K$2500,0))="","⚠ no amount on Pledges",IF(INDEX(Pledges!$B$5:$B$2500,MATCH($G1822,Pledges!$K$5:$K$2500,0))="","",INDEX(Pledges!$B$5:$B$2500,MATCH($G1822,Pledges!$K$5:$K$2500,0)))),"⚠ phone not in Pledges"))</f>
      </c>
      <c r="C1822" s="12"/>
      <c r="D1822" s="13"/>
      <c r="E1822" s="22"/>
      <c r="F1822" s="23"/>
      <c r="G1822">
        <f>IF($A1822="","","#"&amp;TRIM(SUBSTITUTE(SUBSTITUTE(SUBSTITUTE(SUBSTITUTE(SUBSTITUTE(SUBSTITUTE($A1822,"-",""),"(",""),")",""),".",""),"+","")," ","")))</f>
      </c>
    </row>
    <row r="1823" spans="1:7" x14ac:dyDescent="0.3">
      <c r="A1823" s="11"/>
      <c r="B1823" s="38">
        <f>IF($A1823="","",IFERROR(IF(INDEX(Pledges!$D$5:$D$2500,MATCH($G1823,Pledges!$K$5:$K$2500,0))="","⚠ no amount on Pledges",IF(INDEX(Pledges!$B$5:$B$2500,MATCH($G1823,Pledges!$K$5:$K$2500,0))="","",INDEX(Pledges!$B$5:$B$2500,MATCH($G1823,Pledges!$K$5:$K$2500,0)))),"⚠ phone not in Pledges"))</f>
      </c>
      <c r="C1823" s="12"/>
      <c r="D1823" s="13"/>
      <c r="E1823" s="22"/>
      <c r="F1823" s="23"/>
      <c r="G1823">
        <f>IF($A1823="","","#"&amp;TRIM(SUBSTITUTE(SUBSTITUTE(SUBSTITUTE(SUBSTITUTE(SUBSTITUTE(SUBSTITUTE($A1823,"-",""),"(",""),")",""),".",""),"+","")," ","")))</f>
      </c>
    </row>
    <row r="1824" spans="1:7" x14ac:dyDescent="0.3">
      <c r="A1824" s="11"/>
      <c r="B1824" s="38">
        <f>IF($A1824="","",IFERROR(IF(INDEX(Pledges!$D$5:$D$2500,MATCH($G1824,Pledges!$K$5:$K$2500,0))="","⚠ no amount on Pledges",IF(INDEX(Pledges!$B$5:$B$2500,MATCH($G1824,Pledges!$K$5:$K$2500,0))="","",INDEX(Pledges!$B$5:$B$2500,MATCH($G1824,Pledges!$K$5:$K$2500,0)))),"⚠ phone not in Pledges"))</f>
      </c>
      <c r="C1824" s="12"/>
      <c r="D1824" s="13"/>
      <c r="E1824" s="22"/>
      <c r="F1824" s="23"/>
      <c r="G1824">
        <f>IF($A1824="","","#"&amp;TRIM(SUBSTITUTE(SUBSTITUTE(SUBSTITUTE(SUBSTITUTE(SUBSTITUTE(SUBSTITUTE($A1824,"-",""),"(",""),")",""),".",""),"+","")," ","")))</f>
      </c>
    </row>
    <row r="1825" spans="1:7" x14ac:dyDescent="0.3">
      <c r="A1825" s="11"/>
      <c r="B1825" s="38">
        <f>IF($A1825="","",IFERROR(IF(INDEX(Pledges!$D$5:$D$2500,MATCH($G1825,Pledges!$K$5:$K$2500,0))="","⚠ no amount on Pledges",IF(INDEX(Pledges!$B$5:$B$2500,MATCH($G1825,Pledges!$K$5:$K$2500,0))="","",INDEX(Pledges!$B$5:$B$2500,MATCH($G1825,Pledges!$K$5:$K$2500,0)))),"⚠ phone not in Pledges"))</f>
      </c>
      <c r="C1825" s="12"/>
      <c r="D1825" s="13"/>
      <c r="E1825" s="22"/>
      <c r="F1825" s="23"/>
      <c r="G1825">
        <f>IF($A1825="","","#"&amp;TRIM(SUBSTITUTE(SUBSTITUTE(SUBSTITUTE(SUBSTITUTE(SUBSTITUTE(SUBSTITUTE($A1825,"-",""),"(",""),")",""),".",""),"+","")," ","")))</f>
      </c>
    </row>
    <row r="1826" spans="1:7" x14ac:dyDescent="0.3">
      <c r="A1826" s="11"/>
      <c r="B1826" s="38">
        <f>IF($A1826="","",IFERROR(IF(INDEX(Pledges!$D$5:$D$2500,MATCH($G1826,Pledges!$K$5:$K$2500,0))="","⚠ no amount on Pledges",IF(INDEX(Pledges!$B$5:$B$2500,MATCH($G1826,Pledges!$K$5:$K$2500,0))="","",INDEX(Pledges!$B$5:$B$2500,MATCH($G1826,Pledges!$K$5:$K$2500,0)))),"⚠ phone not in Pledges"))</f>
      </c>
      <c r="C1826" s="12"/>
      <c r="D1826" s="13"/>
      <c r="E1826" s="22"/>
      <c r="F1826" s="23"/>
      <c r="G1826">
        <f>IF($A1826="","","#"&amp;TRIM(SUBSTITUTE(SUBSTITUTE(SUBSTITUTE(SUBSTITUTE(SUBSTITUTE(SUBSTITUTE($A1826,"-",""),"(",""),")",""),".",""),"+","")," ","")))</f>
      </c>
    </row>
    <row r="1827" spans="1:7" x14ac:dyDescent="0.3">
      <c r="A1827" s="11"/>
      <c r="B1827" s="38">
        <f>IF($A1827="","",IFERROR(IF(INDEX(Pledges!$D$5:$D$2500,MATCH($G1827,Pledges!$K$5:$K$2500,0))="","⚠ no amount on Pledges",IF(INDEX(Pledges!$B$5:$B$2500,MATCH($G1827,Pledges!$K$5:$K$2500,0))="","",INDEX(Pledges!$B$5:$B$2500,MATCH($G1827,Pledges!$K$5:$K$2500,0)))),"⚠ phone not in Pledges"))</f>
      </c>
      <c r="C1827" s="12"/>
      <c r="D1827" s="13"/>
      <c r="E1827" s="22"/>
      <c r="F1827" s="23"/>
      <c r="G1827">
        <f>IF($A1827="","","#"&amp;TRIM(SUBSTITUTE(SUBSTITUTE(SUBSTITUTE(SUBSTITUTE(SUBSTITUTE(SUBSTITUTE($A1827,"-",""),"(",""),")",""),".",""),"+","")," ","")))</f>
      </c>
    </row>
    <row r="1828" spans="1:7" x14ac:dyDescent="0.3">
      <c r="A1828" s="11"/>
      <c r="B1828" s="38">
        <f>IF($A1828="","",IFERROR(IF(INDEX(Pledges!$D$5:$D$2500,MATCH($G1828,Pledges!$K$5:$K$2500,0))="","⚠ no amount on Pledges",IF(INDEX(Pledges!$B$5:$B$2500,MATCH($G1828,Pledges!$K$5:$K$2500,0))="","",INDEX(Pledges!$B$5:$B$2500,MATCH($G1828,Pledges!$K$5:$K$2500,0)))),"⚠ phone not in Pledges"))</f>
      </c>
      <c r="C1828" s="12"/>
      <c r="D1828" s="13"/>
      <c r="E1828" s="22"/>
      <c r="F1828" s="23"/>
      <c r="G1828">
        <f>IF($A1828="","","#"&amp;TRIM(SUBSTITUTE(SUBSTITUTE(SUBSTITUTE(SUBSTITUTE(SUBSTITUTE(SUBSTITUTE($A1828,"-",""),"(",""),")",""),".",""),"+","")," ","")))</f>
      </c>
    </row>
    <row r="1829" spans="1:7" x14ac:dyDescent="0.3">
      <c r="A1829" s="11"/>
      <c r="B1829" s="38">
        <f>IF($A1829="","",IFERROR(IF(INDEX(Pledges!$D$5:$D$2500,MATCH($G1829,Pledges!$K$5:$K$2500,0))="","⚠ no amount on Pledges",IF(INDEX(Pledges!$B$5:$B$2500,MATCH($G1829,Pledges!$K$5:$K$2500,0))="","",INDEX(Pledges!$B$5:$B$2500,MATCH($G1829,Pledges!$K$5:$K$2500,0)))),"⚠ phone not in Pledges"))</f>
      </c>
      <c r="C1829" s="12"/>
      <c r="D1829" s="13"/>
      <c r="E1829" s="22"/>
      <c r="F1829" s="23"/>
      <c r="G1829">
        <f>IF($A1829="","","#"&amp;TRIM(SUBSTITUTE(SUBSTITUTE(SUBSTITUTE(SUBSTITUTE(SUBSTITUTE(SUBSTITUTE($A1829,"-",""),"(",""),")",""),".",""),"+","")," ","")))</f>
      </c>
    </row>
    <row r="1830" spans="1:7" x14ac:dyDescent="0.3">
      <c r="A1830" s="11"/>
      <c r="B1830" s="38">
        <f>IF($A1830="","",IFERROR(IF(INDEX(Pledges!$D$5:$D$2500,MATCH($G1830,Pledges!$K$5:$K$2500,0))="","⚠ no amount on Pledges",IF(INDEX(Pledges!$B$5:$B$2500,MATCH($G1830,Pledges!$K$5:$K$2500,0))="","",INDEX(Pledges!$B$5:$B$2500,MATCH($G1830,Pledges!$K$5:$K$2500,0)))),"⚠ phone not in Pledges"))</f>
      </c>
      <c r="C1830" s="12"/>
      <c r="D1830" s="13"/>
      <c r="E1830" s="22"/>
      <c r="F1830" s="23"/>
      <c r="G1830">
        <f>IF($A1830="","","#"&amp;TRIM(SUBSTITUTE(SUBSTITUTE(SUBSTITUTE(SUBSTITUTE(SUBSTITUTE(SUBSTITUTE($A1830,"-",""),"(",""),")",""),".",""),"+","")," ","")))</f>
      </c>
    </row>
    <row r="1831" spans="1:7" x14ac:dyDescent="0.3">
      <c r="A1831" s="11"/>
      <c r="B1831" s="38">
        <f>IF($A1831="","",IFERROR(IF(INDEX(Pledges!$D$5:$D$2500,MATCH($G1831,Pledges!$K$5:$K$2500,0))="","⚠ no amount on Pledges",IF(INDEX(Pledges!$B$5:$B$2500,MATCH($G1831,Pledges!$K$5:$K$2500,0))="","",INDEX(Pledges!$B$5:$B$2500,MATCH($G1831,Pledges!$K$5:$K$2500,0)))),"⚠ phone not in Pledges"))</f>
      </c>
      <c r="C1831" s="12"/>
      <c r="D1831" s="13"/>
      <c r="E1831" s="22"/>
      <c r="F1831" s="23"/>
      <c r="G1831">
        <f>IF($A1831="","","#"&amp;TRIM(SUBSTITUTE(SUBSTITUTE(SUBSTITUTE(SUBSTITUTE(SUBSTITUTE(SUBSTITUTE($A1831,"-",""),"(",""),")",""),".",""),"+","")," ","")))</f>
      </c>
    </row>
    <row r="1832" spans="1:7" x14ac:dyDescent="0.3">
      <c r="A1832" s="11"/>
      <c r="B1832" s="38">
        <f>IF($A1832="","",IFERROR(IF(INDEX(Pledges!$D$5:$D$2500,MATCH($G1832,Pledges!$K$5:$K$2500,0))="","⚠ no amount on Pledges",IF(INDEX(Pledges!$B$5:$B$2500,MATCH($G1832,Pledges!$K$5:$K$2500,0))="","",INDEX(Pledges!$B$5:$B$2500,MATCH($G1832,Pledges!$K$5:$K$2500,0)))),"⚠ phone not in Pledges"))</f>
      </c>
      <c r="C1832" s="12"/>
      <c r="D1832" s="13"/>
      <c r="E1832" s="22"/>
      <c r="F1832" s="23"/>
      <c r="G1832">
        <f>IF($A1832="","","#"&amp;TRIM(SUBSTITUTE(SUBSTITUTE(SUBSTITUTE(SUBSTITUTE(SUBSTITUTE(SUBSTITUTE($A1832,"-",""),"(",""),")",""),".",""),"+","")," ","")))</f>
      </c>
    </row>
    <row r="1833" spans="1:7" x14ac:dyDescent="0.3">
      <c r="A1833" s="11"/>
      <c r="B1833" s="38">
        <f>IF($A1833="","",IFERROR(IF(INDEX(Pledges!$D$5:$D$2500,MATCH($G1833,Pledges!$K$5:$K$2500,0))="","⚠ no amount on Pledges",IF(INDEX(Pledges!$B$5:$B$2500,MATCH($G1833,Pledges!$K$5:$K$2500,0))="","",INDEX(Pledges!$B$5:$B$2500,MATCH($G1833,Pledges!$K$5:$K$2500,0)))),"⚠ phone not in Pledges"))</f>
      </c>
      <c r="C1833" s="12"/>
      <c r="D1833" s="13"/>
      <c r="E1833" s="22"/>
      <c r="F1833" s="23"/>
      <c r="G1833">
        <f>IF($A1833="","","#"&amp;TRIM(SUBSTITUTE(SUBSTITUTE(SUBSTITUTE(SUBSTITUTE(SUBSTITUTE(SUBSTITUTE($A1833,"-",""),"(",""),")",""),".",""),"+","")," ","")))</f>
      </c>
    </row>
    <row r="1834" spans="1:7" x14ac:dyDescent="0.3">
      <c r="A1834" s="11"/>
      <c r="B1834" s="38">
        <f>IF($A1834="","",IFERROR(IF(INDEX(Pledges!$D$5:$D$2500,MATCH($G1834,Pledges!$K$5:$K$2500,0))="","⚠ no amount on Pledges",IF(INDEX(Pledges!$B$5:$B$2500,MATCH($G1834,Pledges!$K$5:$K$2500,0))="","",INDEX(Pledges!$B$5:$B$2500,MATCH($G1834,Pledges!$K$5:$K$2500,0)))),"⚠ phone not in Pledges"))</f>
      </c>
      <c r="C1834" s="12"/>
      <c r="D1834" s="13"/>
      <c r="E1834" s="22"/>
      <c r="F1834" s="23"/>
      <c r="G1834">
        <f>IF($A1834="","","#"&amp;TRIM(SUBSTITUTE(SUBSTITUTE(SUBSTITUTE(SUBSTITUTE(SUBSTITUTE(SUBSTITUTE($A1834,"-",""),"(",""),")",""),".",""),"+","")," ","")))</f>
      </c>
    </row>
    <row r="1835" spans="1:7" x14ac:dyDescent="0.3">
      <c r="A1835" s="11"/>
      <c r="B1835" s="38">
        <f>IF($A1835="","",IFERROR(IF(INDEX(Pledges!$D$5:$D$2500,MATCH($G1835,Pledges!$K$5:$K$2500,0))="","⚠ no amount on Pledges",IF(INDEX(Pledges!$B$5:$B$2500,MATCH($G1835,Pledges!$K$5:$K$2500,0))="","",INDEX(Pledges!$B$5:$B$2500,MATCH($G1835,Pledges!$K$5:$K$2500,0)))),"⚠ phone not in Pledges"))</f>
      </c>
      <c r="C1835" s="12"/>
      <c r="D1835" s="13"/>
      <c r="E1835" s="22"/>
      <c r="F1835" s="23"/>
      <c r="G1835">
        <f>IF($A1835="","","#"&amp;TRIM(SUBSTITUTE(SUBSTITUTE(SUBSTITUTE(SUBSTITUTE(SUBSTITUTE(SUBSTITUTE($A1835,"-",""),"(",""),")",""),".",""),"+","")," ","")))</f>
      </c>
    </row>
    <row r="1836" spans="1:7" x14ac:dyDescent="0.3">
      <c r="A1836" s="11"/>
      <c r="B1836" s="38">
        <f>IF($A1836="","",IFERROR(IF(INDEX(Pledges!$D$5:$D$2500,MATCH($G1836,Pledges!$K$5:$K$2500,0))="","⚠ no amount on Pledges",IF(INDEX(Pledges!$B$5:$B$2500,MATCH($G1836,Pledges!$K$5:$K$2500,0))="","",INDEX(Pledges!$B$5:$B$2500,MATCH($G1836,Pledges!$K$5:$K$2500,0)))),"⚠ phone not in Pledges"))</f>
      </c>
      <c r="C1836" s="12"/>
      <c r="D1836" s="13"/>
      <c r="E1836" s="22"/>
      <c r="F1836" s="23"/>
      <c r="G1836">
        <f>IF($A1836="","","#"&amp;TRIM(SUBSTITUTE(SUBSTITUTE(SUBSTITUTE(SUBSTITUTE(SUBSTITUTE(SUBSTITUTE($A1836,"-",""),"(",""),")",""),".",""),"+","")," ","")))</f>
      </c>
    </row>
    <row r="1837" spans="1:7" x14ac:dyDescent="0.3">
      <c r="A1837" s="11"/>
      <c r="B1837" s="38">
        <f>IF($A1837="","",IFERROR(IF(INDEX(Pledges!$D$5:$D$2500,MATCH($G1837,Pledges!$K$5:$K$2500,0))="","⚠ no amount on Pledges",IF(INDEX(Pledges!$B$5:$B$2500,MATCH($G1837,Pledges!$K$5:$K$2500,0))="","",INDEX(Pledges!$B$5:$B$2500,MATCH($G1837,Pledges!$K$5:$K$2500,0)))),"⚠ phone not in Pledges"))</f>
      </c>
      <c r="C1837" s="12"/>
      <c r="D1837" s="13"/>
      <c r="E1837" s="22"/>
      <c r="F1837" s="23"/>
      <c r="G1837">
        <f>IF($A1837="","","#"&amp;TRIM(SUBSTITUTE(SUBSTITUTE(SUBSTITUTE(SUBSTITUTE(SUBSTITUTE(SUBSTITUTE($A1837,"-",""),"(",""),")",""),".",""),"+","")," ","")))</f>
      </c>
    </row>
    <row r="1838" spans="1:7" x14ac:dyDescent="0.3">
      <c r="A1838" s="11"/>
      <c r="B1838" s="38">
        <f>IF($A1838="","",IFERROR(IF(INDEX(Pledges!$D$5:$D$2500,MATCH($G1838,Pledges!$K$5:$K$2500,0))="","⚠ no amount on Pledges",IF(INDEX(Pledges!$B$5:$B$2500,MATCH($G1838,Pledges!$K$5:$K$2500,0))="","",INDEX(Pledges!$B$5:$B$2500,MATCH($G1838,Pledges!$K$5:$K$2500,0)))),"⚠ phone not in Pledges"))</f>
      </c>
      <c r="C1838" s="12"/>
      <c r="D1838" s="13"/>
      <c r="E1838" s="22"/>
      <c r="F1838" s="23"/>
      <c r="G1838">
        <f>IF($A1838="","","#"&amp;TRIM(SUBSTITUTE(SUBSTITUTE(SUBSTITUTE(SUBSTITUTE(SUBSTITUTE(SUBSTITUTE($A1838,"-",""),"(",""),")",""),".",""),"+","")," ","")))</f>
      </c>
    </row>
    <row r="1839" spans="1:7" x14ac:dyDescent="0.3">
      <c r="A1839" s="11"/>
      <c r="B1839" s="38">
        <f>IF($A1839="","",IFERROR(IF(INDEX(Pledges!$D$5:$D$2500,MATCH($G1839,Pledges!$K$5:$K$2500,0))="","⚠ no amount on Pledges",IF(INDEX(Pledges!$B$5:$B$2500,MATCH($G1839,Pledges!$K$5:$K$2500,0))="","",INDEX(Pledges!$B$5:$B$2500,MATCH($G1839,Pledges!$K$5:$K$2500,0)))),"⚠ phone not in Pledges"))</f>
      </c>
      <c r="C1839" s="12"/>
      <c r="D1839" s="13"/>
      <c r="E1839" s="22"/>
      <c r="F1839" s="23"/>
      <c r="G1839">
        <f>IF($A1839="","","#"&amp;TRIM(SUBSTITUTE(SUBSTITUTE(SUBSTITUTE(SUBSTITUTE(SUBSTITUTE(SUBSTITUTE($A1839,"-",""),"(",""),")",""),".",""),"+","")," ","")))</f>
      </c>
    </row>
    <row r="1840" spans="1:7" x14ac:dyDescent="0.3">
      <c r="A1840" s="11"/>
      <c r="B1840" s="38">
        <f>IF($A1840="","",IFERROR(IF(INDEX(Pledges!$D$5:$D$2500,MATCH($G1840,Pledges!$K$5:$K$2500,0))="","⚠ no amount on Pledges",IF(INDEX(Pledges!$B$5:$B$2500,MATCH($G1840,Pledges!$K$5:$K$2500,0))="","",INDEX(Pledges!$B$5:$B$2500,MATCH($G1840,Pledges!$K$5:$K$2500,0)))),"⚠ phone not in Pledges"))</f>
      </c>
      <c r="C1840" s="12"/>
      <c r="D1840" s="13"/>
      <c r="E1840" s="22"/>
      <c r="F1840" s="23"/>
      <c r="G1840">
        <f>IF($A1840="","","#"&amp;TRIM(SUBSTITUTE(SUBSTITUTE(SUBSTITUTE(SUBSTITUTE(SUBSTITUTE(SUBSTITUTE($A1840,"-",""),"(",""),")",""),".",""),"+","")," ","")))</f>
      </c>
    </row>
    <row r="1841" spans="1:7" x14ac:dyDescent="0.3">
      <c r="A1841" s="11"/>
      <c r="B1841" s="38">
        <f>IF($A1841="","",IFERROR(IF(INDEX(Pledges!$D$5:$D$2500,MATCH($G1841,Pledges!$K$5:$K$2500,0))="","⚠ no amount on Pledges",IF(INDEX(Pledges!$B$5:$B$2500,MATCH($G1841,Pledges!$K$5:$K$2500,0))="","",INDEX(Pledges!$B$5:$B$2500,MATCH($G1841,Pledges!$K$5:$K$2500,0)))),"⚠ phone not in Pledges"))</f>
      </c>
      <c r="C1841" s="12"/>
      <c r="D1841" s="13"/>
      <c r="E1841" s="22"/>
      <c r="F1841" s="23"/>
      <c r="G1841">
        <f>IF($A1841="","","#"&amp;TRIM(SUBSTITUTE(SUBSTITUTE(SUBSTITUTE(SUBSTITUTE(SUBSTITUTE(SUBSTITUTE($A1841,"-",""),"(",""),")",""),".",""),"+","")," ","")))</f>
      </c>
    </row>
    <row r="1842" spans="1:7" x14ac:dyDescent="0.3">
      <c r="A1842" s="11"/>
      <c r="B1842" s="38">
        <f>IF($A1842="","",IFERROR(IF(INDEX(Pledges!$D$5:$D$2500,MATCH($G1842,Pledges!$K$5:$K$2500,0))="","⚠ no amount on Pledges",IF(INDEX(Pledges!$B$5:$B$2500,MATCH($G1842,Pledges!$K$5:$K$2500,0))="","",INDEX(Pledges!$B$5:$B$2500,MATCH($G1842,Pledges!$K$5:$K$2500,0)))),"⚠ phone not in Pledges"))</f>
      </c>
      <c r="C1842" s="12"/>
      <c r="D1842" s="13"/>
      <c r="E1842" s="22"/>
      <c r="F1842" s="23"/>
      <c r="G1842">
        <f>IF($A1842="","","#"&amp;TRIM(SUBSTITUTE(SUBSTITUTE(SUBSTITUTE(SUBSTITUTE(SUBSTITUTE(SUBSTITUTE($A1842,"-",""),"(",""),")",""),".",""),"+","")," ","")))</f>
      </c>
    </row>
    <row r="1843" spans="1:7" x14ac:dyDescent="0.3">
      <c r="A1843" s="11"/>
      <c r="B1843" s="38">
        <f>IF($A1843="","",IFERROR(IF(INDEX(Pledges!$D$5:$D$2500,MATCH($G1843,Pledges!$K$5:$K$2500,0))="","⚠ no amount on Pledges",IF(INDEX(Pledges!$B$5:$B$2500,MATCH($G1843,Pledges!$K$5:$K$2500,0))="","",INDEX(Pledges!$B$5:$B$2500,MATCH($G1843,Pledges!$K$5:$K$2500,0)))),"⚠ phone not in Pledges"))</f>
      </c>
      <c r="C1843" s="12"/>
      <c r="D1843" s="13"/>
      <c r="E1843" s="22"/>
      <c r="F1843" s="23"/>
      <c r="G1843">
        <f>IF($A1843="","","#"&amp;TRIM(SUBSTITUTE(SUBSTITUTE(SUBSTITUTE(SUBSTITUTE(SUBSTITUTE(SUBSTITUTE($A1843,"-",""),"(",""),")",""),".",""),"+","")," ","")))</f>
      </c>
    </row>
    <row r="1844" spans="1:7" x14ac:dyDescent="0.3">
      <c r="A1844" s="11"/>
      <c r="B1844" s="38">
        <f>IF($A1844="","",IFERROR(IF(INDEX(Pledges!$D$5:$D$2500,MATCH($G1844,Pledges!$K$5:$K$2500,0))="","⚠ no amount on Pledges",IF(INDEX(Pledges!$B$5:$B$2500,MATCH($G1844,Pledges!$K$5:$K$2500,0))="","",INDEX(Pledges!$B$5:$B$2500,MATCH($G1844,Pledges!$K$5:$K$2500,0)))),"⚠ phone not in Pledges"))</f>
      </c>
      <c r="C1844" s="12"/>
      <c r="D1844" s="13"/>
      <c r="E1844" s="22"/>
      <c r="F1844" s="23"/>
      <c r="G1844">
        <f>IF($A1844="","","#"&amp;TRIM(SUBSTITUTE(SUBSTITUTE(SUBSTITUTE(SUBSTITUTE(SUBSTITUTE(SUBSTITUTE($A1844,"-",""),"(",""),")",""),".",""),"+","")," ","")))</f>
      </c>
    </row>
    <row r="1845" spans="1:7" x14ac:dyDescent="0.3">
      <c r="A1845" s="11"/>
      <c r="B1845" s="38">
        <f>IF($A1845="","",IFERROR(IF(INDEX(Pledges!$D$5:$D$2500,MATCH($G1845,Pledges!$K$5:$K$2500,0))="","⚠ no amount on Pledges",IF(INDEX(Pledges!$B$5:$B$2500,MATCH($G1845,Pledges!$K$5:$K$2500,0))="","",INDEX(Pledges!$B$5:$B$2500,MATCH($G1845,Pledges!$K$5:$K$2500,0)))),"⚠ phone not in Pledges"))</f>
      </c>
      <c r="C1845" s="12"/>
      <c r="D1845" s="13"/>
      <c r="E1845" s="22"/>
      <c r="F1845" s="23"/>
      <c r="G1845">
        <f>IF($A1845="","","#"&amp;TRIM(SUBSTITUTE(SUBSTITUTE(SUBSTITUTE(SUBSTITUTE(SUBSTITUTE(SUBSTITUTE($A1845,"-",""),"(",""),")",""),".",""),"+","")," ","")))</f>
      </c>
    </row>
    <row r="1846" spans="1:7" x14ac:dyDescent="0.3">
      <c r="A1846" s="11"/>
      <c r="B1846" s="38">
        <f>IF($A1846="","",IFERROR(IF(INDEX(Pledges!$D$5:$D$2500,MATCH($G1846,Pledges!$K$5:$K$2500,0))="","⚠ no amount on Pledges",IF(INDEX(Pledges!$B$5:$B$2500,MATCH($G1846,Pledges!$K$5:$K$2500,0))="","",INDEX(Pledges!$B$5:$B$2500,MATCH($G1846,Pledges!$K$5:$K$2500,0)))),"⚠ phone not in Pledges"))</f>
      </c>
      <c r="C1846" s="12"/>
      <c r="D1846" s="13"/>
      <c r="E1846" s="22"/>
      <c r="F1846" s="23"/>
      <c r="G1846">
        <f>IF($A1846="","","#"&amp;TRIM(SUBSTITUTE(SUBSTITUTE(SUBSTITUTE(SUBSTITUTE(SUBSTITUTE(SUBSTITUTE($A1846,"-",""),"(",""),")",""),".",""),"+","")," ","")))</f>
      </c>
    </row>
    <row r="1847" spans="1:7" x14ac:dyDescent="0.3">
      <c r="A1847" s="11"/>
      <c r="B1847" s="38">
        <f>IF($A1847="","",IFERROR(IF(INDEX(Pledges!$D$5:$D$2500,MATCH($G1847,Pledges!$K$5:$K$2500,0))="","⚠ no amount on Pledges",IF(INDEX(Pledges!$B$5:$B$2500,MATCH($G1847,Pledges!$K$5:$K$2500,0))="","",INDEX(Pledges!$B$5:$B$2500,MATCH($G1847,Pledges!$K$5:$K$2500,0)))),"⚠ phone not in Pledges"))</f>
      </c>
      <c r="C1847" s="12"/>
      <c r="D1847" s="13"/>
      <c r="E1847" s="22"/>
      <c r="F1847" s="23"/>
      <c r="G1847">
        <f>IF($A1847="","","#"&amp;TRIM(SUBSTITUTE(SUBSTITUTE(SUBSTITUTE(SUBSTITUTE(SUBSTITUTE(SUBSTITUTE($A1847,"-",""),"(",""),")",""),".",""),"+","")," ","")))</f>
      </c>
    </row>
    <row r="1848" spans="1:7" x14ac:dyDescent="0.3">
      <c r="A1848" s="11"/>
      <c r="B1848" s="38">
        <f>IF($A1848="","",IFERROR(IF(INDEX(Pledges!$D$5:$D$2500,MATCH($G1848,Pledges!$K$5:$K$2500,0))="","⚠ no amount on Pledges",IF(INDEX(Pledges!$B$5:$B$2500,MATCH($G1848,Pledges!$K$5:$K$2500,0))="","",INDEX(Pledges!$B$5:$B$2500,MATCH($G1848,Pledges!$K$5:$K$2500,0)))),"⚠ phone not in Pledges"))</f>
      </c>
      <c r="C1848" s="12"/>
      <c r="D1848" s="13"/>
      <c r="E1848" s="22"/>
      <c r="F1848" s="23"/>
      <c r="G1848">
        <f>IF($A1848="","","#"&amp;TRIM(SUBSTITUTE(SUBSTITUTE(SUBSTITUTE(SUBSTITUTE(SUBSTITUTE(SUBSTITUTE($A1848,"-",""),"(",""),")",""),".",""),"+","")," ","")))</f>
      </c>
    </row>
    <row r="1849" spans="1:7" x14ac:dyDescent="0.3">
      <c r="A1849" s="11"/>
      <c r="B1849" s="38">
        <f>IF($A1849="","",IFERROR(IF(INDEX(Pledges!$D$5:$D$2500,MATCH($G1849,Pledges!$K$5:$K$2500,0))="","⚠ no amount on Pledges",IF(INDEX(Pledges!$B$5:$B$2500,MATCH($G1849,Pledges!$K$5:$K$2500,0))="","",INDEX(Pledges!$B$5:$B$2500,MATCH($G1849,Pledges!$K$5:$K$2500,0)))),"⚠ phone not in Pledges"))</f>
      </c>
      <c r="C1849" s="12"/>
      <c r="D1849" s="13"/>
      <c r="E1849" s="22"/>
      <c r="F1849" s="23"/>
      <c r="G1849">
        <f>IF($A1849="","","#"&amp;TRIM(SUBSTITUTE(SUBSTITUTE(SUBSTITUTE(SUBSTITUTE(SUBSTITUTE(SUBSTITUTE($A1849,"-",""),"(",""),")",""),".",""),"+","")," ","")))</f>
      </c>
    </row>
    <row r="1850" spans="1:7" x14ac:dyDescent="0.3">
      <c r="A1850" s="11"/>
      <c r="B1850" s="38">
        <f>IF($A1850="","",IFERROR(IF(INDEX(Pledges!$D$5:$D$2500,MATCH($G1850,Pledges!$K$5:$K$2500,0))="","⚠ no amount on Pledges",IF(INDEX(Pledges!$B$5:$B$2500,MATCH($G1850,Pledges!$K$5:$K$2500,0))="","",INDEX(Pledges!$B$5:$B$2500,MATCH($G1850,Pledges!$K$5:$K$2500,0)))),"⚠ phone not in Pledges"))</f>
      </c>
      <c r="C1850" s="12"/>
      <c r="D1850" s="13"/>
      <c r="E1850" s="22"/>
      <c r="F1850" s="23"/>
      <c r="G1850">
        <f>IF($A1850="","","#"&amp;TRIM(SUBSTITUTE(SUBSTITUTE(SUBSTITUTE(SUBSTITUTE(SUBSTITUTE(SUBSTITUTE($A1850,"-",""),"(",""),")",""),".",""),"+","")," ","")))</f>
      </c>
    </row>
    <row r="1851" spans="1:7" x14ac:dyDescent="0.3">
      <c r="A1851" s="11"/>
      <c r="B1851" s="38">
        <f>IF($A1851="","",IFERROR(IF(INDEX(Pledges!$D$5:$D$2500,MATCH($G1851,Pledges!$K$5:$K$2500,0))="","⚠ no amount on Pledges",IF(INDEX(Pledges!$B$5:$B$2500,MATCH($G1851,Pledges!$K$5:$K$2500,0))="","",INDEX(Pledges!$B$5:$B$2500,MATCH($G1851,Pledges!$K$5:$K$2500,0)))),"⚠ phone not in Pledges"))</f>
      </c>
      <c r="C1851" s="12"/>
      <c r="D1851" s="13"/>
      <c r="E1851" s="22"/>
      <c r="F1851" s="23"/>
      <c r="G1851">
        <f>IF($A1851="","","#"&amp;TRIM(SUBSTITUTE(SUBSTITUTE(SUBSTITUTE(SUBSTITUTE(SUBSTITUTE(SUBSTITUTE($A1851,"-",""),"(",""),")",""),".",""),"+","")," ","")))</f>
      </c>
    </row>
    <row r="1852" spans="1:7" x14ac:dyDescent="0.3">
      <c r="A1852" s="11"/>
      <c r="B1852" s="38">
        <f>IF($A1852="","",IFERROR(IF(INDEX(Pledges!$D$5:$D$2500,MATCH($G1852,Pledges!$K$5:$K$2500,0))="","⚠ no amount on Pledges",IF(INDEX(Pledges!$B$5:$B$2500,MATCH($G1852,Pledges!$K$5:$K$2500,0))="","",INDEX(Pledges!$B$5:$B$2500,MATCH($G1852,Pledges!$K$5:$K$2500,0)))),"⚠ phone not in Pledges"))</f>
      </c>
      <c r="C1852" s="12"/>
      <c r="D1852" s="13"/>
      <c r="E1852" s="22"/>
      <c r="F1852" s="23"/>
      <c r="G1852">
        <f>IF($A1852="","","#"&amp;TRIM(SUBSTITUTE(SUBSTITUTE(SUBSTITUTE(SUBSTITUTE(SUBSTITUTE(SUBSTITUTE($A1852,"-",""),"(",""),")",""),".",""),"+","")," ","")))</f>
      </c>
    </row>
    <row r="1853" spans="1:7" x14ac:dyDescent="0.3">
      <c r="A1853" s="11"/>
      <c r="B1853" s="38">
        <f>IF($A1853="","",IFERROR(IF(INDEX(Pledges!$D$5:$D$2500,MATCH($G1853,Pledges!$K$5:$K$2500,0))="","⚠ no amount on Pledges",IF(INDEX(Pledges!$B$5:$B$2500,MATCH($G1853,Pledges!$K$5:$K$2500,0))="","",INDEX(Pledges!$B$5:$B$2500,MATCH($G1853,Pledges!$K$5:$K$2500,0)))),"⚠ phone not in Pledges"))</f>
      </c>
      <c r="C1853" s="12"/>
      <c r="D1853" s="13"/>
      <c r="E1853" s="22"/>
      <c r="F1853" s="23"/>
      <c r="G1853">
        <f>IF($A1853="","","#"&amp;TRIM(SUBSTITUTE(SUBSTITUTE(SUBSTITUTE(SUBSTITUTE(SUBSTITUTE(SUBSTITUTE($A1853,"-",""),"(",""),")",""),".",""),"+","")," ","")))</f>
      </c>
    </row>
    <row r="1854" spans="1:7" x14ac:dyDescent="0.3">
      <c r="A1854" s="11"/>
      <c r="B1854" s="38">
        <f>IF($A1854="","",IFERROR(IF(INDEX(Pledges!$D$5:$D$2500,MATCH($G1854,Pledges!$K$5:$K$2500,0))="","⚠ no amount on Pledges",IF(INDEX(Pledges!$B$5:$B$2500,MATCH($G1854,Pledges!$K$5:$K$2500,0))="","",INDEX(Pledges!$B$5:$B$2500,MATCH($G1854,Pledges!$K$5:$K$2500,0)))),"⚠ phone not in Pledges"))</f>
      </c>
      <c r="C1854" s="12"/>
      <c r="D1854" s="13"/>
      <c r="E1854" s="22"/>
      <c r="F1854" s="23"/>
      <c r="G1854">
        <f>IF($A1854="","","#"&amp;TRIM(SUBSTITUTE(SUBSTITUTE(SUBSTITUTE(SUBSTITUTE(SUBSTITUTE(SUBSTITUTE($A1854,"-",""),"(",""),")",""),".",""),"+","")," ","")))</f>
      </c>
    </row>
    <row r="1855" spans="1:7" x14ac:dyDescent="0.3">
      <c r="A1855" s="11"/>
      <c r="B1855" s="38">
        <f>IF($A1855="","",IFERROR(IF(INDEX(Pledges!$D$5:$D$2500,MATCH($G1855,Pledges!$K$5:$K$2500,0))="","⚠ no amount on Pledges",IF(INDEX(Pledges!$B$5:$B$2500,MATCH($G1855,Pledges!$K$5:$K$2500,0))="","",INDEX(Pledges!$B$5:$B$2500,MATCH($G1855,Pledges!$K$5:$K$2500,0)))),"⚠ phone not in Pledges"))</f>
      </c>
      <c r="C1855" s="12"/>
      <c r="D1855" s="13"/>
      <c r="E1855" s="22"/>
      <c r="F1855" s="23"/>
      <c r="G1855">
        <f>IF($A1855="","","#"&amp;TRIM(SUBSTITUTE(SUBSTITUTE(SUBSTITUTE(SUBSTITUTE(SUBSTITUTE(SUBSTITUTE($A1855,"-",""),"(",""),")",""),".",""),"+","")," ","")))</f>
      </c>
    </row>
    <row r="1856" spans="1:7" x14ac:dyDescent="0.3">
      <c r="A1856" s="11"/>
      <c r="B1856" s="38">
        <f>IF($A1856="","",IFERROR(IF(INDEX(Pledges!$D$5:$D$2500,MATCH($G1856,Pledges!$K$5:$K$2500,0))="","⚠ no amount on Pledges",IF(INDEX(Pledges!$B$5:$B$2500,MATCH($G1856,Pledges!$K$5:$K$2500,0))="","",INDEX(Pledges!$B$5:$B$2500,MATCH($G1856,Pledges!$K$5:$K$2500,0)))),"⚠ phone not in Pledges"))</f>
      </c>
      <c r="C1856" s="12"/>
      <c r="D1856" s="13"/>
      <c r="E1856" s="22"/>
      <c r="F1856" s="23"/>
      <c r="G1856">
        <f>IF($A1856="","","#"&amp;TRIM(SUBSTITUTE(SUBSTITUTE(SUBSTITUTE(SUBSTITUTE(SUBSTITUTE(SUBSTITUTE($A1856,"-",""),"(",""),")",""),".",""),"+","")," ","")))</f>
      </c>
    </row>
    <row r="1857" spans="1:7" x14ac:dyDescent="0.3">
      <c r="A1857" s="11"/>
      <c r="B1857" s="38">
        <f>IF($A1857="","",IFERROR(IF(INDEX(Pledges!$D$5:$D$2500,MATCH($G1857,Pledges!$K$5:$K$2500,0))="","⚠ no amount on Pledges",IF(INDEX(Pledges!$B$5:$B$2500,MATCH($G1857,Pledges!$K$5:$K$2500,0))="","",INDEX(Pledges!$B$5:$B$2500,MATCH($G1857,Pledges!$K$5:$K$2500,0)))),"⚠ phone not in Pledges"))</f>
      </c>
      <c r="C1857" s="12"/>
      <c r="D1857" s="13"/>
      <c r="E1857" s="22"/>
      <c r="F1857" s="23"/>
      <c r="G1857">
        <f>IF($A1857="","","#"&amp;TRIM(SUBSTITUTE(SUBSTITUTE(SUBSTITUTE(SUBSTITUTE(SUBSTITUTE(SUBSTITUTE($A1857,"-",""),"(",""),")",""),".",""),"+","")," ","")))</f>
      </c>
    </row>
    <row r="1858" spans="1:7" x14ac:dyDescent="0.3">
      <c r="A1858" s="11"/>
      <c r="B1858" s="38">
        <f>IF($A1858="","",IFERROR(IF(INDEX(Pledges!$D$5:$D$2500,MATCH($G1858,Pledges!$K$5:$K$2500,0))="","⚠ no amount on Pledges",IF(INDEX(Pledges!$B$5:$B$2500,MATCH($G1858,Pledges!$K$5:$K$2500,0))="","",INDEX(Pledges!$B$5:$B$2500,MATCH($G1858,Pledges!$K$5:$K$2500,0)))),"⚠ phone not in Pledges"))</f>
      </c>
      <c r="C1858" s="12"/>
      <c r="D1858" s="13"/>
      <c r="E1858" s="22"/>
      <c r="F1858" s="23"/>
      <c r="G1858">
        <f>IF($A1858="","","#"&amp;TRIM(SUBSTITUTE(SUBSTITUTE(SUBSTITUTE(SUBSTITUTE(SUBSTITUTE(SUBSTITUTE($A1858,"-",""),"(",""),")",""),".",""),"+","")," ","")))</f>
      </c>
    </row>
    <row r="1859" spans="1:7" x14ac:dyDescent="0.3">
      <c r="A1859" s="11"/>
      <c r="B1859" s="38">
        <f>IF($A1859="","",IFERROR(IF(INDEX(Pledges!$D$5:$D$2500,MATCH($G1859,Pledges!$K$5:$K$2500,0))="","⚠ no amount on Pledges",IF(INDEX(Pledges!$B$5:$B$2500,MATCH($G1859,Pledges!$K$5:$K$2500,0))="","",INDEX(Pledges!$B$5:$B$2500,MATCH($G1859,Pledges!$K$5:$K$2500,0)))),"⚠ phone not in Pledges"))</f>
      </c>
      <c r="C1859" s="12"/>
      <c r="D1859" s="13"/>
      <c r="E1859" s="22"/>
      <c r="F1859" s="23"/>
      <c r="G1859">
        <f>IF($A1859="","","#"&amp;TRIM(SUBSTITUTE(SUBSTITUTE(SUBSTITUTE(SUBSTITUTE(SUBSTITUTE(SUBSTITUTE($A1859,"-",""),"(",""),")",""),".",""),"+","")," ","")))</f>
      </c>
    </row>
    <row r="1860" spans="1:7" x14ac:dyDescent="0.3">
      <c r="A1860" s="11"/>
      <c r="B1860" s="38">
        <f>IF($A1860="","",IFERROR(IF(INDEX(Pledges!$D$5:$D$2500,MATCH($G1860,Pledges!$K$5:$K$2500,0))="","⚠ no amount on Pledges",IF(INDEX(Pledges!$B$5:$B$2500,MATCH($G1860,Pledges!$K$5:$K$2500,0))="","",INDEX(Pledges!$B$5:$B$2500,MATCH($G1860,Pledges!$K$5:$K$2500,0)))),"⚠ phone not in Pledges"))</f>
      </c>
      <c r="C1860" s="12"/>
      <c r="D1860" s="13"/>
      <c r="E1860" s="22"/>
      <c r="F1860" s="23"/>
      <c r="G1860">
        <f>IF($A1860="","","#"&amp;TRIM(SUBSTITUTE(SUBSTITUTE(SUBSTITUTE(SUBSTITUTE(SUBSTITUTE(SUBSTITUTE($A1860,"-",""),"(",""),")",""),".",""),"+","")," ","")))</f>
      </c>
    </row>
    <row r="1861" spans="1:7" x14ac:dyDescent="0.3">
      <c r="A1861" s="11"/>
      <c r="B1861" s="38">
        <f>IF($A1861="","",IFERROR(IF(INDEX(Pledges!$D$5:$D$2500,MATCH($G1861,Pledges!$K$5:$K$2500,0))="","⚠ no amount on Pledges",IF(INDEX(Pledges!$B$5:$B$2500,MATCH($G1861,Pledges!$K$5:$K$2500,0))="","",INDEX(Pledges!$B$5:$B$2500,MATCH($G1861,Pledges!$K$5:$K$2500,0)))),"⚠ phone not in Pledges"))</f>
      </c>
      <c r="C1861" s="12"/>
      <c r="D1861" s="13"/>
      <c r="E1861" s="22"/>
      <c r="F1861" s="23"/>
      <c r="G1861">
        <f>IF($A1861="","","#"&amp;TRIM(SUBSTITUTE(SUBSTITUTE(SUBSTITUTE(SUBSTITUTE(SUBSTITUTE(SUBSTITUTE($A1861,"-",""),"(",""),")",""),".",""),"+","")," ","")))</f>
      </c>
    </row>
    <row r="1862" spans="1:7" x14ac:dyDescent="0.3">
      <c r="A1862" s="11"/>
      <c r="B1862" s="38">
        <f>IF($A1862="","",IFERROR(IF(INDEX(Pledges!$D$5:$D$2500,MATCH($G1862,Pledges!$K$5:$K$2500,0))="","⚠ no amount on Pledges",IF(INDEX(Pledges!$B$5:$B$2500,MATCH($G1862,Pledges!$K$5:$K$2500,0))="","",INDEX(Pledges!$B$5:$B$2500,MATCH($G1862,Pledges!$K$5:$K$2500,0)))),"⚠ phone not in Pledges"))</f>
      </c>
      <c r="C1862" s="12"/>
      <c r="D1862" s="13"/>
      <c r="E1862" s="22"/>
      <c r="F1862" s="23"/>
      <c r="G1862">
        <f>IF($A1862="","","#"&amp;TRIM(SUBSTITUTE(SUBSTITUTE(SUBSTITUTE(SUBSTITUTE(SUBSTITUTE(SUBSTITUTE($A1862,"-",""),"(",""),")",""),".",""),"+","")," ","")))</f>
      </c>
    </row>
    <row r="1863" spans="1:7" x14ac:dyDescent="0.3">
      <c r="A1863" s="11"/>
      <c r="B1863" s="38">
        <f>IF($A1863="","",IFERROR(IF(INDEX(Pledges!$D$5:$D$2500,MATCH($G1863,Pledges!$K$5:$K$2500,0))="","⚠ no amount on Pledges",IF(INDEX(Pledges!$B$5:$B$2500,MATCH($G1863,Pledges!$K$5:$K$2500,0))="","",INDEX(Pledges!$B$5:$B$2500,MATCH($G1863,Pledges!$K$5:$K$2500,0)))),"⚠ phone not in Pledges"))</f>
      </c>
      <c r="C1863" s="12"/>
      <c r="D1863" s="13"/>
      <c r="E1863" s="22"/>
      <c r="F1863" s="23"/>
      <c r="G1863">
        <f>IF($A1863="","","#"&amp;TRIM(SUBSTITUTE(SUBSTITUTE(SUBSTITUTE(SUBSTITUTE(SUBSTITUTE(SUBSTITUTE($A1863,"-",""),"(",""),")",""),".",""),"+","")," ","")))</f>
      </c>
    </row>
    <row r="1864" spans="1:7" x14ac:dyDescent="0.3">
      <c r="A1864" s="11"/>
      <c r="B1864" s="38">
        <f>IF($A1864="","",IFERROR(IF(INDEX(Pledges!$D$5:$D$2500,MATCH($G1864,Pledges!$K$5:$K$2500,0))="","⚠ no amount on Pledges",IF(INDEX(Pledges!$B$5:$B$2500,MATCH($G1864,Pledges!$K$5:$K$2500,0))="","",INDEX(Pledges!$B$5:$B$2500,MATCH($G1864,Pledges!$K$5:$K$2500,0)))),"⚠ phone not in Pledges"))</f>
      </c>
      <c r="C1864" s="12"/>
      <c r="D1864" s="13"/>
      <c r="E1864" s="22"/>
      <c r="F1864" s="23"/>
      <c r="G1864">
        <f>IF($A1864="","","#"&amp;TRIM(SUBSTITUTE(SUBSTITUTE(SUBSTITUTE(SUBSTITUTE(SUBSTITUTE(SUBSTITUTE($A1864,"-",""),"(",""),")",""),".",""),"+","")," ","")))</f>
      </c>
    </row>
    <row r="1865" spans="1:7" x14ac:dyDescent="0.3">
      <c r="A1865" s="11"/>
      <c r="B1865" s="38">
        <f>IF($A1865="","",IFERROR(IF(INDEX(Pledges!$D$5:$D$2500,MATCH($G1865,Pledges!$K$5:$K$2500,0))="","⚠ no amount on Pledges",IF(INDEX(Pledges!$B$5:$B$2500,MATCH($G1865,Pledges!$K$5:$K$2500,0))="","",INDEX(Pledges!$B$5:$B$2500,MATCH($G1865,Pledges!$K$5:$K$2500,0)))),"⚠ phone not in Pledges"))</f>
      </c>
      <c r="C1865" s="12"/>
      <c r="D1865" s="13"/>
      <c r="E1865" s="22"/>
      <c r="F1865" s="23"/>
      <c r="G1865">
        <f>IF($A1865="","","#"&amp;TRIM(SUBSTITUTE(SUBSTITUTE(SUBSTITUTE(SUBSTITUTE(SUBSTITUTE(SUBSTITUTE($A1865,"-",""),"(",""),")",""),".",""),"+","")," ","")))</f>
      </c>
    </row>
    <row r="1866" spans="1:7" x14ac:dyDescent="0.3">
      <c r="A1866" s="11"/>
      <c r="B1866" s="38">
        <f>IF($A1866="","",IFERROR(IF(INDEX(Pledges!$D$5:$D$2500,MATCH($G1866,Pledges!$K$5:$K$2500,0))="","⚠ no amount on Pledges",IF(INDEX(Pledges!$B$5:$B$2500,MATCH($G1866,Pledges!$K$5:$K$2500,0))="","",INDEX(Pledges!$B$5:$B$2500,MATCH($G1866,Pledges!$K$5:$K$2500,0)))),"⚠ phone not in Pledges"))</f>
      </c>
      <c r="C1866" s="12"/>
      <c r="D1866" s="13"/>
      <c r="E1866" s="22"/>
      <c r="F1866" s="23"/>
      <c r="G1866">
        <f>IF($A1866="","","#"&amp;TRIM(SUBSTITUTE(SUBSTITUTE(SUBSTITUTE(SUBSTITUTE(SUBSTITUTE(SUBSTITUTE($A1866,"-",""),"(",""),")",""),".",""),"+","")," ","")))</f>
      </c>
    </row>
    <row r="1867" spans="1:7" x14ac:dyDescent="0.3">
      <c r="A1867" s="11"/>
      <c r="B1867" s="38">
        <f>IF($A1867="","",IFERROR(IF(INDEX(Pledges!$D$5:$D$2500,MATCH($G1867,Pledges!$K$5:$K$2500,0))="","⚠ no amount on Pledges",IF(INDEX(Pledges!$B$5:$B$2500,MATCH($G1867,Pledges!$K$5:$K$2500,0))="","",INDEX(Pledges!$B$5:$B$2500,MATCH($G1867,Pledges!$K$5:$K$2500,0)))),"⚠ phone not in Pledges"))</f>
      </c>
      <c r="C1867" s="12"/>
      <c r="D1867" s="13"/>
      <c r="E1867" s="22"/>
      <c r="F1867" s="23"/>
      <c r="G1867">
        <f>IF($A1867="","","#"&amp;TRIM(SUBSTITUTE(SUBSTITUTE(SUBSTITUTE(SUBSTITUTE(SUBSTITUTE(SUBSTITUTE($A1867,"-",""),"(",""),")",""),".",""),"+","")," ","")))</f>
      </c>
    </row>
    <row r="1868" spans="1:7" x14ac:dyDescent="0.3">
      <c r="A1868" s="11"/>
      <c r="B1868" s="38">
        <f>IF($A1868="","",IFERROR(IF(INDEX(Pledges!$D$5:$D$2500,MATCH($G1868,Pledges!$K$5:$K$2500,0))="","⚠ no amount on Pledges",IF(INDEX(Pledges!$B$5:$B$2500,MATCH($G1868,Pledges!$K$5:$K$2500,0))="","",INDEX(Pledges!$B$5:$B$2500,MATCH($G1868,Pledges!$K$5:$K$2500,0)))),"⚠ phone not in Pledges"))</f>
      </c>
      <c r="C1868" s="12"/>
      <c r="D1868" s="13"/>
      <c r="E1868" s="22"/>
      <c r="F1868" s="23"/>
      <c r="G1868">
        <f>IF($A1868="","","#"&amp;TRIM(SUBSTITUTE(SUBSTITUTE(SUBSTITUTE(SUBSTITUTE(SUBSTITUTE(SUBSTITUTE($A1868,"-",""),"(",""),")",""),".",""),"+","")," ","")))</f>
      </c>
    </row>
    <row r="1869" spans="1:7" x14ac:dyDescent="0.3">
      <c r="A1869" s="11"/>
      <c r="B1869" s="38">
        <f>IF($A1869="","",IFERROR(IF(INDEX(Pledges!$D$5:$D$2500,MATCH($G1869,Pledges!$K$5:$K$2500,0))="","⚠ no amount on Pledges",IF(INDEX(Pledges!$B$5:$B$2500,MATCH($G1869,Pledges!$K$5:$K$2500,0))="","",INDEX(Pledges!$B$5:$B$2500,MATCH($G1869,Pledges!$K$5:$K$2500,0)))),"⚠ phone not in Pledges"))</f>
      </c>
      <c r="C1869" s="12"/>
      <c r="D1869" s="13"/>
      <c r="E1869" s="22"/>
      <c r="F1869" s="23"/>
      <c r="G1869">
        <f>IF($A1869="","","#"&amp;TRIM(SUBSTITUTE(SUBSTITUTE(SUBSTITUTE(SUBSTITUTE(SUBSTITUTE(SUBSTITUTE($A1869,"-",""),"(",""),")",""),".",""),"+","")," ","")))</f>
      </c>
    </row>
    <row r="1870" spans="1:7" x14ac:dyDescent="0.3">
      <c r="A1870" s="11"/>
      <c r="B1870" s="38">
        <f>IF($A1870="","",IFERROR(IF(INDEX(Pledges!$D$5:$D$2500,MATCH($G1870,Pledges!$K$5:$K$2500,0))="","⚠ no amount on Pledges",IF(INDEX(Pledges!$B$5:$B$2500,MATCH($G1870,Pledges!$K$5:$K$2500,0))="","",INDEX(Pledges!$B$5:$B$2500,MATCH($G1870,Pledges!$K$5:$K$2500,0)))),"⚠ phone not in Pledges"))</f>
      </c>
      <c r="C1870" s="12"/>
      <c r="D1870" s="13"/>
      <c r="E1870" s="22"/>
      <c r="F1870" s="23"/>
      <c r="G1870">
        <f>IF($A1870="","","#"&amp;TRIM(SUBSTITUTE(SUBSTITUTE(SUBSTITUTE(SUBSTITUTE(SUBSTITUTE(SUBSTITUTE($A1870,"-",""),"(",""),")",""),".",""),"+","")," ","")))</f>
      </c>
    </row>
    <row r="1871" spans="1:7" x14ac:dyDescent="0.3">
      <c r="A1871" s="11"/>
      <c r="B1871" s="38">
        <f>IF($A1871="","",IFERROR(IF(INDEX(Pledges!$D$5:$D$2500,MATCH($G1871,Pledges!$K$5:$K$2500,0))="","⚠ no amount on Pledges",IF(INDEX(Pledges!$B$5:$B$2500,MATCH($G1871,Pledges!$K$5:$K$2500,0))="","",INDEX(Pledges!$B$5:$B$2500,MATCH($G1871,Pledges!$K$5:$K$2500,0)))),"⚠ phone not in Pledges"))</f>
      </c>
      <c r="C1871" s="12"/>
      <c r="D1871" s="13"/>
      <c r="E1871" s="22"/>
      <c r="F1871" s="23"/>
      <c r="G1871">
        <f>IF($A1871="","","#"&amp;TRIM(SUBSTITUTE(SUBSTITUTE(SUBSTITUTE(SUBSTITUTE(SUBSTITUTE(SUBSTITUTE($A1871,"-",""),"(",""),")",""),".",""),"+","")," ","")))</f>
      </c>
    </row>
    <row r="1872" spans="1:7" x14ac:dyDescent="0.3">
      <c r="A1872" s="11"/>
      <c r="B1872" s="38">
        <f>IF($A1872="","",IFERROR(IF(INDEX(Pledges!$D$5:$D$2500,MATCH($G1872,Pledges!$K$5:$K$2500,0))="","⚠ no amount on Pledges",IF(INDEX(Pledges!$B$5:$B$2500,MATCH($G1872,Pledges!$K$5:$K$2500,0))="","",INDEX(Pledges!$B$5:$B$2500,MATCH($G1872,Pledges!$K$5:$K$2500,0)))),"⚠ phone not in Pledges"))</f>
      </c>
      <c r="C1872" s="12"/>
      <c r="D1872" s="13"/>
      <c r="E1872" s="22"/>
      <c r="F1872" s="23"/>
      <c r="G1872">
        <f>IF($A1872="","","#"&amp;TRIM(SUBSTITUTE(SUBSTITUTE(SUBSTITUTE(SUBSTITUTE(SUBSTITUTE(SUBSTITUTE($A1872,"-",""),"(",""),")",""),".",""),"+","")," ","")))</f>
      </c>
    </row>
    <row r="1873" spans="1:7" x14ac:dyDescent="0.3">
      <c r="A1873" s="11"/>
      <c r="B1873" s="38">
        <f>IF($A1873="","",IFERROR(IF(INDEX(Pledges!$D$5:$D$2500,MATCH($G1873,Pledges!$K$5:$K$2500,0))="","⚠ no amount on Pledges",IF(INDEX(Pledges!$B$5:$B$2500,MATCH($G1873,Pledges!$K$5:$K$2500,0))="","",INDEX(Pledges!$B$5:$B$2500,MATCH($G1873,Pledges!$K$5:$K$2500,0)))),"⚠ phone not in Pledges"))</f>
      </c>
      <c r="C1873" s="12"/>
      <c r="D1873" s="13"/>
      <c r="E1873" s="22"/>
      <c r="F1873" s="23"/>
      <c r="G1873">
        <f>IF($A1873="","","#"&amp;TRIM(SUBSTITUTE(SUBSTITUTE(SUBSTITUTE(SUBSTITUTE(SUBSTITUTE(SUBSTITUTE($A1873,"-",""),"(",""),")",""),".",""),"+","")," ","")))</f>
      </c>
    </row>
    <row r="1874" spans="1:7" x14ac:dyDescent="0.3">
      <c r="A1874" s="11"/>
      <c r="B1874" s="38">
        <f>IF($A1874="","",IFERROR(IF(INDEX(Pledges!$D$5:$D$2500,MATCH($G1874,Pledges!$K$5:$K$2500,0))="","⚠ no amount on Pledges",IF(INDEX(Pledges!$B$5:$B$2500,MATCH($G1874,Pledges!$K$5:$K$2500,0))="","",INDEX(Pledges!$B$5:$B$2500,MATCH($G1874,Pledges!$K$5:$K$2500,0)))),"⚠ phone not in Pledges"))</f>
      </c>
      <c r="C1874" s="12"/>
      <c r="D1874" s="13"/>
      <c r="E1874" s="22"/>
      <c r="F1874" s="23"/>
      <c r="G1874">
        <f>IF($A1874="","","#"&amp;TRIM(SUBSTITUTE(SUBSTITUTE(SUBSTITUTE(SUBSTITUTE(SUBSTITUTE(SUBSTITUTE($A1874,"-",""),"(",""),")",""),".",""),"+","")," ","")))</f>
      </c>
    </row>
    <row r="1875" spans="1:7" x14ac:dyDescent="0.3">
      <c r="A1875" s="11"/>
      <c r="B1875" s="38">
        <f>IF($A1875="","",IFERROR(IF(INDEX(Pledges!$D$5:$D$2500,MATCH($G1875,Pledges!$K$5:$K$2500,0))="","⚠ no amount on Pledges",IF(INDEX(Pledges!$B$5:$B$2500,MATCH($G1875,Pledges!$K$5:$K$2500,0))="","",INDEX(Pledges!$B$5:$B$2500,MATCH($G1875,Pledges!$K$5:$K$2500,0)))),"⚠ phone not in Pledges"))</f>
      </c>
      <c r="C1875" s="12"/>
      <c r="D1875" s="13"/>
      <c r="E1875" s="22"/>
      <c r="F1875" s="23"/>
      <c r="G1875">
        <f>IF($A1875="","","#"&amp;TRIM(SUBSTITUTE(SUBSTITUTE(SUBSTITUTE(SUBSTITUTE(SUBSTITUTE(SUBSTITUTE($A1875,"-",""),"(",""),")",""),".",""),"+","")," ","")))</f>
      </c>
    </row>
    <row r="1876" spans="1:7" x14ac:dyDescent="0.3">
      <c r="A1876" s="11"/>
      <c r="B1876" s="38">
        <f>IF($A1876="","",IFERROR(IF(INDEX(Pledges!$D$5:$D$2500,MATCH($G1876,Pledges!$K$5:$K$2500,0))="","⚠ no amount on Pledges",IF(INDEX(Pledges!$B$5:$B$2500,MATCH($G1876,Pledges!$K$5:$K$2500,0))="","",INDEX(Pledges!$B$5:$B$2500,MATCH($G1876,Pledges!$K$5:$K$2500,0)))),"⚠ phone not in Pledges"))</f>
      </c>
      <c r="C1876" s="12"/>
      <c r="D1876" s="13"/>
      <c r="E1876" s="22"/>
      <c r="F1876" s="23"/>
      <c r="G1876">
        <f>IF($A1876="","","#"&amp;TRIM(SUBSTITUTE(SUBSTITUTE(SUBSTITUTE(SUBSTITUTE(SUBSTITUTE(SUBSTITUTE($A1876,"-",""),"(",""),")",""),".",""),"+","")," ","")))</f>
      </c>
    </row>
    <row r="1877" spans="1:7" x14ac:dyDescent="0.3">
      <c r="A1877" s="11"/>
      <c r="B1877" s="38">
        <f>IF($A1877="","",IFERROR(IF(INDEX(Pledges!$D$5:$D$2500,MATCH($G1877,Pledges!$K$5:$K$2500,0))="","⚠ no amount on Pledges",IF(INDEX(Pledges!$B$5:$B$2500,MATCH($G1877,Pledges!$K$5:$K$2500,0))="","",INDEX(Pledges!$B$5:$B$2500,MATCH($G1877,Pledges!$K$5:$K$2500,0)))),"⚠ phone not in Pledges"))</f>
      </c>
      <c r="C1877" s="12"/>
      <c r="D1877" s="13"/>
      <c r="E1877" s="22"/>
      <c r="F1877" s="23"/>
      <c r="G1877">
        <f>IF($A1877="","","#"&amp;TRIM(SUBSTITUTE(SUBSTITUTE(SUBSTITUTE(SUBSTITUTE(SUBSTITUTE(SUBSTITUTE($A1877,"-",""),"(",""),")",""),".",""),"+","")," ","")))</f>
      </c>
    </row>
    <row r="1878" spans="1:7" x14ac:dyDescent="0.3">
      <c r="A1878" s="11"/>
      <c r="B1878" s="38">
        <f>IF($A1878="","",IFERROR(IF(INDEX(Pledges!$D$5:$D$2500,MATCH($G1878,Pledges!$K$5:$K$2500,0))="","⚠ no amount on Pledges",IF(INDEX(Pledges!$B$5:$B$2500,MATCH($G1878,Pledges!$K$5:$K$2500,0))="","",INDEX(Pledges!$B$5:$B$2500,MATCH($G1878,Pledges!$K$5:$K$2500,0)))),"⚠ phone not in Pledges"))</f>
      </c>
      <c r="C1878" s="12"/>
      <c r="D1878" s="13"/>
      <c r="E1878" s="22"/>
      <c r="F1878" s="23"/>
      <c r="G1878">
        <f>IF($A1878="","","#"&amp;TRIM(SUBSTITUTE(SUBSTITUTE(SUBSTITUTE(SUBSTITUTE(SUBSTITUTE(SUBSTITUTE($A1878,"-",""),"(",""),")",""),".",""),"+","")," ","")))</f>
      </c>
    </row>
    <row r="1879" spans="1:7" x14ac:dyDescent="0.3">
      <c r="A1879" s="11"/>
      <c r="B1879" s="38">
        <f>IF($A1879="","",IFERROR(IF(INDEX(Pledges!$D$5:$D$2500,MATCH($G1879,Pledges!$K$5:$K$2500,0))="","⚠ no amount on Pledges",IF(INDEX(Pledges!$B$5:$B$2500,MATCH($G1879,Pledges!$K$5:$K$2500,0))="","",INDEX(Pledges!$B$5:$B$2500,MATCH($G1879,Pledges!$K$5:$K$2500,0)))),"⚠ phone not in Pledges"))</f>
      </c>
      <c r="C1879" s="12"/>
      <c r="D1879" s="13"/>
      <c r="E1879" s="22"/>
      <c r="F1879" s="23"/>
      <c r="G1879">
        <f>IF($A1879="","","#"&amp;TRIM(SUBSTITUTE(SUBSTITUTE(SUBSTITUTE(SUBSTITUTE(SUBSTITUTE(SUBSTITUTE($A1879,"-",""),"(",""),")",""),".",""),"+","")," ","")))</f>
      </c>
    </row>
    <row r="1880" spans="1:7" x14ac:dyDescent="0.3">
      <c r="A1880" s="11"/>
      <c r="B1880" s="38">
        <f>IF($A1880="","",IFERROR(IF(INDEX(Pledges!$D$5:$D$2500,MATCH($G1880,Pledges!$K$5:$K$2500,0))="","⚠ no amount on Pledges",IF(INDEX(Pledges!$B$5:$B$2500,MATCH($G1880,Pledges!$K$5:$K$2500,0))="","",INDEX(Pledges!$B$5:$B$2500,MATCH($G1880,Pledges!$K$5:$K$2500,0)))),"⚠ phone not in Pledges"))</f>
      </c>
      <c r="C1880" s="12"/>
      <c r="D1880" s="13"/>
      <c r="E1880" s="22"/>
      <c r="F1880" s="23"/>
      <c r="G1880">
        <f>IF($A1880="","","#"&amp;TRIM(SUBSTITUTE(SUBSTITUTE(SUBSTITUTE(SUBSTITUTE(SUBSTITUTE(SUBSTITUTE($A1880,"-",""),"(",""),")",""),".",""),"+","")," ","")))</f>
      </c>
    </row>
    <row r="1881" spans="1:7" x14ac:dyDescent="0.3">
      <c r="A1881" s="11"/>
      <c r="B1881" s="38">
        <f>IF($A1881="","",IFERROR(IF(INDEX(Pledges!$D$5:$D$2500,MATCH($G1881,Pledges!$K$5:$K$2500,0))="","⚠ no amount on Pledges",IF(INDEX(Pledges!$B$5:$B$2500,MATCH($G1881,Pledges!$K$5:$K$2500,0))="","",INDEX(Pledges!$B$5:$B$2500,MATCH($G1881,Pledges!$K$5:$K$2500,0)))),"⚠ phone not in Pledges"))</f>
      </c>
      <c r="C1881" s="12"/>
      <c r="D1881" s="13"/>
      <c r="E1881" s="22"/>
      <c r="F1881" s="23"/>
      <c r="G1881">
        <f>IF($A1881="","","#"&amp;TRIM(SUBSTITUTE(SUBSTITUTE(SUBSTITUTE(SUBSTITUTE(SUBSTITUTE(SUBSTITUTE($A1881,"-",""),"(",""),")",""),".",""),"+","")," ","")))</f>
      </c>
    </row>
    <row r="1882" spans="1:7" x14ac:dyDescent="0.3">
      <c r="A1882" s="11"/>
      <c r="B1882" s="38">
        <f>IF($A1882="","",IFERROR(IF(INDEX(Pledges!$D$5:$D$2500,MATCH($G1882,Pledges!$K$5:$K$2500,0))="","⚠ no amount on Pledges",IF(INDEX(Pledges!$B$5:$B$2500,MATCH($G1882,Pledges!$K$5:$K$2500,0))="","",INDEX(Pledges!$B$5:$B$2500,MATCH($G1882,Pledges!$K$5:$K$2500,0)))),"⚠ phone not in Pledges"))</f>
      </c>
      <c r="C1882" s="12"/>
      <c r="D1882" s="13"/>
      <c r="E1882" s="22"/>
      <c r="F1882" s="23"/>
      <c r="G1882">
        <f>IF($A1882="","","#"&amp;TRIM(SUBSTITUTE(SUBSTITUTE(SUBSTITUTE(SUBSTITUTE(SUBSTITUTE(SUBSTITUTE($A1882,"-",""),"(",""),")",""),".",""),"+","")," ","")))</f>
      </c>
    </row>
    <row r="1883" spans="1:7" x14ac:dyDescent="0.3">
      <c r="A1883" s="11"/>
      <c r="B1883" s="38">
        <f>IF($A1883="","",IFERROR(IF(INDEX(Pledges!$D$5:$D$2500,MATCH($G1883,Pledges!$K$5:$K$2500,0))="","⚠ no amount on Pledges",IF(INDEX(Pledges!$B$5:$B$2500,MATCH($G1883,Pledges!$K$5:$K$2500,0))="","",INDEX(Pledges!$B$5:$B$2500,MATCH($G1883,Pledges!$K$5:$K$2500,0)))),"⚠ phone not in Pledges"))</f>
      </c>
      <c r="C1883" s="12"/>
      <c r="D1883" s="13"/>
      <c r="E1883" s="22"/>
      <c r="F1883" s="23"/>
      <c r="G1883">
        <f>IF($A1883="","","#"&amp;TRIM(SUBSTITUTE(SUBSTITUTE(SUBSTITUTE(SUBSTITUTE(SUBSTITUTE(SUBSTITUTE($A1883,"-",""),"(",""),")",""),".",""),"+","")," ","")))</f>
      </c>
    </row>
    <row r="1884" spans="1:7" x14ac:dyDescent="0.3">
      <c r="A1884" s="11"/>
      <c r="B1884" s="38">
        <f>IF($A1884="","",IFERROR(IF(INDEX(Pledges!$D$5:$D$2500,MATCH($G1884,Pledges!$K$5:$K$2500,0))="","⚠ no amount on Pledges",IF(INDEX(Pledges!$B$5:$B$2500,MATCH($G1884,Pledges!$K$5:$K$2500,0))="","",INDEX(Pledges!$B$5:$B$2500,MATCH($G1884,Pledges!$K$5:$K$2500,0)))),"⚠ phone not in Pledges"))</f>
      </c>
      <c r="C1884" s="12"/>
      <c r="D1884" s="13"/>
      <c r="E1884" s="22"/>
      <c r="F1884" s="23"/>
      <c r="G1884">
        <f>IF($A1884="","","#"&amp;TRIM(SUBSTITUTE(SUBSTITUTE(SUBSTITUTE(SUBSTITUTE(SUBSTITUTE(SUBSTITUTE($A1884,"-",""),"(",""),")",""),".",""),"+","")," ","")))</f>
      </c>
    </row>
    <row r="1885" spans="1:7" x14ac:dyDescent="0.3">
      <c r="A1885" s="11"/>
      <c r="B1885" s="38">
        <f>IF($A1885="","",IFERROR(IF(INDEX(Pledges!$D$5:$D$2500,MATCH($G1885,Pledges!$K$5:$K$2500,0))="","⚠ no amount on Pledges",IF(INDEX(Pledges!$B$5:$B$2500,MATCH($G1885,Pledges!$K$5:$K$2500,0))="","",INDEX(Pledges!$B$5:$B$2500,MATCH($G1885,Pledges!$K$5:$K$2500,0)))),"⚠ phone not in Pledges"))</f>
      </c>
      <c r="C1885" s="12"/>
      <c r="D1885" s="13"/>
      <c r="E1885" s="22"/>
      <c r="F1885" s="23"/>
      <c r="G1885">
        <f>IF($A1885="","","#"&amp;TRIM(SUBSTITUTE(SUBSTITUTE(SUBSTITUTE(SUBSTITUTE(SUBSTITUTE(SUBSTITUTE($A1885,"-",""),"(",""),")",""),".",""),"+","")," ","")))</f>
      </c>
    </row>
    <row r="1886" spans="1:7" x14ac:dyDescent="0.3">
      <c r="A1886" s="11"/>
      <c r="B1886" s="38">
        <f>IF($A1886="","",IFERROR(IF(INDEX(Pledges!$D$5:$D$2500,MATCH($G1886,Pledges!$K$5:$K$2500,0))="","⚠ no amount on Pledges",IF(INDEX(Pledges!$B$5:$B$2500,MATCH($G1886,Pledges!$K$5:$K$2500,0))="","",INDEX(Pledges!$B$5:$B$2500,MATCH($G1886,Pledges!$K$5:$K$2500,0)))),"⚠ phone not in Pledges"))</f>
      </c>
      <c r="C1886" s="12"/>
      <c r="D1886" s="13"/>
      <c r="E1886" s="22"/>
      <c r="F1886" s="23"/>
      <c r="G1886">
        <f>IF($A1886="","","#"&amp;TRIM(SUBSTITUTE(SUBSTITUTE(SUBSTITUTE(SUBSTITUTE(SUBSTITUTE(SUBSTITUTE($A1886,"-",""),"(",""),")",""),".",""),"+","")," ","")))</f>
      </c>
    </row>
    <row r="1887" spans="1:7" x14ac:dyDescent="0.3">
      <c r="A1887" s="11"/>
      <c r="B1887" s="38">
        <f>IF($A1887="","",IFERROR(IF(INDEX(Pledges!$D$5:$D$2500,MATCH($G1887,Pledges!$K$5:$K$2500,0))="","⚠ no amount on Pledges",IF(INDEX(Pledges!$B$5:$B$2500,MATCH($G1887,Pledges!$K$5:$K$2500,0))="","",INDEX(Pledges!$B$5:$B$2500,MATCH($G1887,Pledges!$K$5:$K$2500,0)))),"⚠ phone not in Pledges"))</f>
      </c>
      <c r="C1887" s="12"/>
      <c r="D1887" s="13"/>
      <c r="E1887" s="22"/>
      <c r="F1887" s="23"/>
      <c r="G1887">
        <f>IF($A1887="","","#"&amp;TRIM(SUBSTITUTE(SUBSTITUTE(SUBSTITUTE(SUBSTITUTE(SUBSTITUTE(SUBSTITUTE($A1887,"-",""),"(",""),")",""),".",""),"+","")," ","")))</f>
      </c>
    </row>
    <row r="1888" spans="1:7" x14ac:dyDescent="0.3">
      <c r="A1888" s="11"/>
      <c r="B1888" s="38">
        <f>IF($A1888="","",IFERROR(IF(INDEX(Pledges!$D$5:$D$2500,MATCH($G1888,Pledges!$K$5:$K$2500,0))="","⚠ no amount on Pledges",IF(INDEX(Pledges!$B$5:$B$2500,MATCH($G1888,Pledges!$K$5:$K$2500,0))="","",INDEX(Pledges!$B$5:$B$2500,MATCH($G1888,Pledges!$K$5:$K$2500,0)))),"⚠ phone not in Pledges"))</f>
      </c>
      <c r="C1888" s="12"/>
      <c r="D1888" s="13"/>
      <c r="E1888" s="22"/>
      <c r="F1888" s="23"/>
      <c r="G1888">
        <f>IF($A1888="","","#"&amp;TRIM(SUBSTITUTE(SUBSTITUTE(SUBSTITUTE(SUBSTITUTE(SUBSTITUTE(SUBSTITUTE($A1888,"-",""),"(",""),")",""),".",""),"+","")," ","")))</f>
      </c>
    </row>
    <row r="1889" spans="1:7" x14ac:dyDescent="0.3">
      <c r="A1889" s="11"/>
      <c r="B1889" s="38">
        <f>IF($A1889="","",IFERROR(IF(INDEX(Pledges!$D$5:$D$2500,MATCH($G1889,Pledges!$K$5:$K$2500,0))="","⚠ no amount on Pledges",IF(INDEX(Pledges!$B$5:$B$2500,MATCH($G1889,Pledges!$K$5:$K$2500,0))="","",INDEX(Pledges!$B$5:$B$2500,MATCH($G1889,Pledges!$K$5:$K$2500,0)))),"⚠ phone not in Pledges"))</f>
      </c>
      <c r="C1889" s="12"/>
      <c r="D1889" s="13"/>
      <c r="E1889" s="22"/>
      <c r="F1889" s="23"/>
      <c r="G1889">
        <f>IF($A1889="","","#"&amp;TRIM(SUBSTITUTE(SUBSTITUTE(SUBSTITUTE(SUBSTITUTE(SUBSTITUTE(SUBSTITUTE($A1889,"-",""),"(",""),")",""),".",""),"+","")," ","")))</f>
      </c>
    </row>
    <row r="1890" spans="1:7" x14ac:dyDescent="0.3">
      <c r="A1890" s="11"/>
      <c r="B1890" s="38">
        <f>IF($A1890="","",IFERROR(IF(INDEX(Pledges!$D$5:$D$2500,MATCH($G1890,Pledges!$K$5:$K$2500,0))="","⚠ no amount on Pledges",IF(INDEX(Pledges!$B$5:$B$2500,MATCH($G1890,Pledges!$K$5:$K$2500,0))="","",INDEX(Pledges!$B$5:$B$2500,MATCH($G1890,Pledges!$K$5:$K$2500,0)))),"⚠ phone not in Pledges"))</f>
      </c>
      <c r="C1890" s="12"/>
      <c r="D1890" s="13"/>
      <c r="E1890" s="22"/>
      <c r="F1890" s="23"/>
      <c r="G1890">
        <f>IF($A1890="","","#"&amp;TRIM(SUBSTITUTE(SUBSTITUTE(SUBSTITUTE(SUBSTITUTE(SUBSTITUTE(SUBSTITUTE($A1890,"-",""),"(",""),")",""),".",""),"+","")," ","")))</f>
      </c>
    </row>
    <row r="1891" spans="1:7" x14ac:dyDescent="0.3">
      <c r="A1891" s="11"/>
      <c r="B1891" s="38">
        <f>IF($A1891="","",IFERROR(IF(INDEX(Pledges!$D$5:$D$2500,MATCH($G1891,Pledges!$K$5:$K$2500,0))="","⚠ no amount on Pledges",IF(INDEX(Pledges!$B$5:$B$2500,MATCH($G1891,Pledges!$K$5:$K$2500,0))="","",INDEX(Pledges!$B$5:$B$2500,MATCH($G1891,Pledges!$K$5:$K$2500,0)))),"⚠ phone not in Pledges"))</f>
      </c>
      <c r="C1891" s="12"/>
      <c r="D1891" s="13"/>
      <c r="E1891" s="22"/>
      <c r="F1891" s="23"/>
      <c r="G1891">
        <f>IF($A1891="","","#"&amp;TRIM(SUBSTITUTE(SUBSTITUTE(SUBSTITUTE(SUBSTITUTE(SUBSTITUTE(SUBSTITUTE($A1891,"-",""),"(",""),")",""),".",""),"+","")," ","")))</f>
      </c>
    </row>
    <row r="1892" spans="1:7" x14ac:dyDescent="0.3">
      <c r="A1892" s="11"/>
      <c r="B1892" s="38">
        <f>IF($A1892="","",IFERROR(IF(INDEX(Pledges!$D$5:$D$2500,MATCH($G1892,Pledges!$K$5:$K$2500,0))="","⚠ no amount on Pledges",IF(INDEX(Pledges!$B$5:$B$2500,MATCH($G1892,Pledges!$K$5:$K$2500,0))="","",INDEX(Pledges!$B$5:$B$2500,MATCH($G1892,Pledges!$K$5:$K$2500,0)))),"⚠ phone not in Pledges"))</f>
      </c>
      <c r="C1892" s="12"/>
      <c r="D1892" s="13"/>
      <c r="E1892" s="22"/>
      <c r="F1892" s="23"/>
      <c r="G1892">
        <f>IF($A1892="","","#"&amp;TRIM(SUBSTITUTE(SUBSTITUTE(SUBSTITUTE(SUBSTITUTE(SUBSTITUTE(SUBSTITUTE($A1892,"-",""),"(",""),")",""),".",""),"+","")," ","")))</f>
      </c>
    </row>
    <row r="1893" spans="1:7" x14ac:dyDescent="0.3">
      <c r="A1893" s="11"/>
      <c r="B1893" s="38">
        <f>IF($A1893="","",IFERROR(IF(INDEX(Pledges!$D$5:$D$2500,MATCH($G1893,Pledges!$K$5:$K$2500,0))="","⚠ no amount on Pledges",IF(INDEX(Pledges!$B$5:$B$2500,MATCH($G1893,Pledges!$K$5:$K$2500,0))="","",INDEX(Pledges!$B$5:$B$2500,MATCH($G1893,Pledges!$K$5:$K$2500,0)))),"⚠ phone not in Pledges"))</f>
      </c>
      <c r="C1893" s="12"/>
      <c r="D1893" s="13"/>
      <c r="E1893" s="22"/>
      <c r="F1893" s="23"/>
      <c r="G1893">
        <f>IF($A1893="","","#"&amp;TRIM(SUBSTITUTE(SUBSTITUTE(SUBSTITUTE(SUBSTITUTE(SUBSTITUTE(SUBSTITUTE($A1893,"-",""),"(",""),")",""),".",""),"+","")," ","")))</f>
      </c>
    </row>
    <row r="1894" spans="1:7" x14ac:dyDescent="0.3">
      <c r="A1894" s="11"/>
      <c r="B1894" s="38">
        <f>IF($A1894="","",IFERROR(IF(INDEX(Pledges!$D$5:$D$2500,MATCH($G1894,Pledges!$K$5:$K$2500,0))="","⚠ no amount on Pledges",IF(INDEX(Pledges!$B$5:$B$2500,MATCH($G1894,Pledges!$K$5:$K$2500,0))="","",INDEX(Pledges!$B$5:$B$2500,MATCH($G1894,Pledges!$K$5:$K$2500,0)))),"⚠ phone not in Pledges"))</f>
      </c>
      <c r="C1894" s="12"/>
      <c r="D1894" s="13"/>
      <c r="E1894" s="22"/>
      <c r="F1894" s="23"/>
      <c r="G1894">
        <f>IF($A1894="","","#"&amp;TRIM(SUBSTITUTE(SUBSTITUTE(SUBSTITUTE(SUBSTITUTE(SUBSTITUTE(SUBSTITUTE($A1894,"-",""),"(",""),")",""),".",""),"+","")," ","")))</f>
      </c>
    </row>
    <row r="1895" spans="1:7" x14ac:dyDescent="0.3">
      <c r="A1895" s="11"/>
      <c r="B1895" s="38">
        <f>IF($A1895="","",IFERROR(IF(INDEX(Pledges!$D$5:$D$2500,MATCH($G1895,Pledges!$K$5:$K$2500,0))="","⚠ no amount on Pledges",IF(INDEX(Pledges!$B$5:$B$2500,MATCH($G1895,Pledges!$K$5:$K$2500,0))="","",INDEX(Pledges!$B$5:$B$2500,MATCH($G1895,Pledges!$K$5:$K$2500,0)))),"⚠ phone not in Pledges"))</f>
      </c>
      <c r="C1895" s="12"/>
      <c r="D1895" s="13"/>
      <c r="E1895" s="22"/>
      <c r="F1895" s="23"/>
      <c r="G1895">
        <f>IF($A1895="","","#"&amp;TRIM(SUBSTITUTE(SUBSTITUTE(SUBSTITUTE(SUBSTITUTE(SUBSTITUTE(SUBSTITUTE($A1895,"-",""),"(",""),")",""),".",""),"+","")," ","")))</f>
      </c>
    </row>
    <row r="1896" spans="1:7" x14ac:dyDescent="0.3">
      <c r="A1896" s="11"/>
      <c r="B1896" s="38">
        <f>IF($A1896="","",IFERROR(IF(INDEX(Pledges!$D$5:$D$2500,MATCH($G1896,Pledges!$K$5:$K$2500,0))="","⚠ no amount on Pledges",IF(INDEX(Pledges!$B$5:$B$2500,MATCH($G1896,Pledges!$K$5:$K$2500,0))="","",INDEX(Pledges!$B$5:$B$2500,MATCH($G1896,Pledges!$K$5:$K$2500,0)))),"⚠ phone not in Pledges"))</f>
      </c>
      <c r="C1896" s="12"/>
      <c r="D1896" s="13"/>
      <c r="E1896" s="22"/>
      <c r="F1896" s="23"/>
      <c r="G1896">
        <f>IF($A1896="","","#"&amp;TRIM(SUBSTITUTE(SUBSTITUTE(SUBSTITUTE(SUBSTITUTE(SUBSTITUTE(SUBSTITUTE($A1896,"-",""),"(",""),")",""),".",""),"+","")," ","")))</f>
      </c>
    </row>
    <row r="1897" spans="1:7" x14ac:dyDescent="0.3">
      <c r="A1897" s="11"/>
      <c r="B1897" s="38">
        <f>IF($A1897="","",IFERROR(IF(INDEX(Pledges!$D$5:$D$2500,MATCH($G1897,Pledges!$K$5:$K$2500,0))="","⚠ no amount on Pledges",IF(INDEX(Pledges!$B$5:$B$2500,MATCH($G1897,Pledges!$K$5:$K$2500,0))="","",INDEX(Pledges!$B$5:$B$2500,MATCH($G1897,Pledges!$K$5:$K$2500,0)))),"⚠ phone not in Pledges"))</f>
      </c>
      <c r="C1897" s="12"/>
      <c r="D1897" s="13"/>
      <c r="E1897" s="22"/>
      <c r="F1897" s="23"/>
      <c r="G1897">
        <f>IF($A1897="","","#"&amp;TRIM(SUBSTITUTE(SUBSTITUTE(SUBSTITUTE(SUBSTITUTE(SUBSTITUTE(SUBSTITUTE($A1897,"-",""),"(",""),")",""),".",""),"+","")," ","")))</f>
      </c>
    </row>
    <row r="1898" spans="1:7" x14ac:dyDescent="0.3">
      <c r="A1898" s="11"/>
      <c r="B1898" s="38">
        <f>IF($A1898="","",IFERROR(IF(INDEX(Pledges!$D$5:$D$2500,MATCH($G1898,Pledges!$K$5:$K$2500,0))="","⚠ no amount on Pledges",IF(INDEX(Pledges!$B$5:$B$2500,MATCH($G1898,Pledges!$K$5:$K$2500,0))="","",INDEX(Pledges!$B$5:$B$2500,MATCH($G1898,Pledges!$K$5:$K$2500,0)))),"⚠ phone not in Pledges"))</f>
      </c>
      <c r="C1898" s="12"/>
      <c r="D1898" s="13"/>
      <c r="E1898" s="22"/>
      <c r="F1898" s="23"/>
      <c r="G1898">
        <f>IF($A1898="","","#"&amp;TRIM(SUBSTITUTE(SUBSTITUTE(SUBSTITUTE(SUBSTITUTE(SUBSTITUTE(SUBSTITUTE($A1898,"-",""),"(",""),")",""),".",""),"+","")," ","")))</f>
      </c>
    </row>
    <row r="1899" spans="1:7" x14ac:dyDescent="0.3">
      <c r="A1899" s="11"/>
      <c r="B1899" s="38">
        <f>IF($A1899="","",IFERROR(IF(INDEX(Pledges!$D$5:$D$2500,MATCH($G1899,Pledges!$K$5:$K$2500,0))="","⚠ no amount on Pledges",IF(INDEX(Pledges!$B$5:$B$2500,MATCH($G1899,Pledges!$K$5:$K$2500,0))="","",INDEX(Pledges!$B$5:$B$2500,MATCH($G1899,Pledges!$K$5:$K$2500,0)))),"⚠ phone not in Pledges"))</f>
      </c>
      <c r="C1899" s="12"/>
      <c r="D1899" s="13"/>
      <c r="E1899" s="22"/>
      <c r="F1899" s="23"/>
      <c r="G1899">
        <f>IF($A1899="","","#"&amp;TRIM(SUBSTITUTE(SUBSTITUTE(SUBSTITUTE(SUBSTITUTE(SUBSTITUTE(SUBSTITUTE($A1899,"-",""),"(",""),")",""),".",""),"+","")," ","")))</f>
      </c>
    </row>
    <row r="1900" spans="1:7" x14ac:dyDescent="0.3">
      <c r="A1900" s="11"/>
      <c r="B1900" s="38">
        <f>IF($A1900="","",IFERROR(IF(INDEX(Pledges!$D$5:$D$2500,MATCH($G1900,Pledges!$K$5:$K$2500,0))="","⚠ no amount on Pledges",IF(INDEX(Pledges!$B$5:$B$2500,MATCH($G1900,Pledges!$K$5:$K$2500,0))="","",INDEX(Pledges!$B$5:$B$2500,MATCH($G1900,Pledges!$K$5:$K$2500,0)))),"⚠ phone not in Pledges"))</f>
      </c>
      <c r="C1900" s="12"/>
      <c r="D1900" s="13"/>
      <c r="E1900" s="22"/>
      <c r="F1900" s="23"/>
      <c r="G1900">
        <f>IF($A1900="","","#"&amp;TRIM(SUBSTITUTE(SUBSTITUTE(SUBSTITUTE(SUBSTITUTE(SUBSTITUTE(SUBSTITUTE($A1900,"-",""),"(",""),")",""),".",""),"+","")," ","")))</f>
      </c>
    </row>
    <row r="1901" spans="1:7" x14ac:dyDescent="0.3">
      <c r="A1901" s="11"/>
      <c r="B1901" s="38">
        <f>IF($A1901="","",IFERROR(IF(INDEX(Pledges!$D$5:$D$2500,MATCH($G1901,Pledges!$K$5:$K$2500,0))="","⚠ no amount on Pledges",IF(INDEX(Pledges!$B$5:$B$2500,MATCH($G1901,Pledges!$K$5:$K$2500,0))="","",INDEX(Pledges!$B$5:$B$2500,MATCH($G1901,Pledges!$K$5:$K$2500,0)))),"⚠ phone not in Pledges"))</f>
      </c>
      <c r="C1901" s="12"/>
      <c r="D1901" s="13"/>
      <c r="E1901" s="22"/>
      <c r="F1901" s="23"/>
      <c r="G1901">
        <f>IF($A1901="","","#"&amp;TRIM(SUBSTITUTE(SUBSTITUTE(SUBSTITUTE(SUBSTITUTE(SUBSTITUTE(SUBSTITUTE($A1901,"-",""),"(",""),")",""),".",""),"+","")," ","")))</f>
      </c>
    </row>
    <row r="1902" spans="1:7" x14ac:dyDescent="0.3">
      <c r="A1902" s="11"/>
      <c r="B1902" s="38">
        <f>IF($A1902="","",IFERROR(IF(INDEX(Pledges!$D$5:$D$2500,MATCH($G1902,Pledges!$K$5:$K$2500,0))="","⚠ no amount on Pledges",IF(INDEX(Pledges!$B$5:$B$2500,MATCH($G1902,Pledges!$K$5:$K$2500,0))="","",INDEX(Pledges!$B$5:$B$2500,MATCH($G1902,Pledges!$K$5:$K$2500,0)))),"⚠ phone not in Pledges"))</f>
      </c>
      <c r="C1902" s="12"/>
      <c r="D1902" s="13"/>
      <c r="E1902" s="22"/>
      <c r="F1902" s="23"/>
      <c r="G1902">
        <f>IF($A1902="","","#"&amp;TRIM(SUBSTITUTE(SUBSTITUTE(SUBSTITUTE(SUBSTITUTE(SUBSTITUTE(SUBSTITUTE($A1902,"-",""),"(",""),")",""),".",""),"+","")," ","")))</f>
      </c>
    </row>
    <row r="1903" spans="1:7" x14ac:dyDescent="0.3">
      <c r="A1903" s="11"/>
      <c r="B1903" s="38">
        <f>IF($A1903="","",IFERROR(IF(INDEX(Pledges!$D$5:$D$2500,MATCH($G1903,Pledges!$K$5:$K$2500,0))="","⚠ no amount on Pledges",IF(INDEX(Pledges!$B$5:$B$2500,MATCH($G1903,Pledges!$K$5:$K$2500,0))="","",INDEX(Pledges!$B$5:$B$2500,MATCH($G1903,Pledges!$K$5:$K$2500,0)))),"⚠ phone not in Pledges"))</f>
      </c>
      <c r="C1903" s="12"/>
      <c r="D1903" s="13"/>
      <c r="E1903" s="22"/>
      <c r="F1903" s="23"/>
      <c r="G1903">
        <f>IF($A1903="","","#"&amp;TRIM(SUBSTITUTE(SUBSTITUTE(SUBSTITUTE(SUBSTITUTE(SUBSTITUTE(SUBSTITUTE($A1903,"-",""),"(",""),")",""),".",""),"+","")," ","")))</f>
      </c>
    </row>
    <row r="1904" spans="1:7" x14ac:dyDescent="0.3">
      <c r="A1904" s="11"/>
      <c r="B1904" s="38">
        <f>IF($A1904="","",IFERROR(IF(INDEX(Pledges!$D$5:$D$2500,MATCH($G1904,Pledges!$K$5:$K$2500,0))="","⚠ no amount on Pledges",IF(INDEX(Pledges!$B$5:$B$2500,MATCH($G1904,Pledges!$K$5:$K$2500,0))="","",INDEX(Pledges!$B$5:$B$2500,MATCH($G1904,Pledges!$K$5:$K$2500,0)))),"⚠ phone not in Pledges"))</f>
      </c>
      <c r="C1904" s="12"/>
      <c r="D1904" s="13"/>
      <c r="E1904" s="22"/>
      <c r="F1904" s="23"/>
      <c r="G1904">
        <f>IF($A1904="","","#"&amp;TRIM(SUBSTITUTE(SUBSTITUTE(SUBSTITUTE(SUBSTITUTE(SUBSTITUTE(SUBSTITUTE($A1904,"-",""),"(",""),")",""),".",""),"+","")," ","")))</f>
      </c>
    </row>
    <row r="1905" spans="1:7" x14ac:dyDescent="0.3">
      <c r="A1905" s="11"/>
      <c r="B1905" s="38">
        <f>IF($A1905="","",IFERROR(IF(INDEX(Pledges!$D$5:$D$2500,MATCH($G1905,Pledges!$K$5:$K$2500,0))="","⚠ no amount on Pledges",IF(INDEX(Pledges!$B$5:$B$2500,MATCH($G1905,Pledges!$K$5:$K$2500,0))="","",INDEX(Pledges!$B$5:$B$2500,MATCH($G1905,Pledges!$K$5:$K$2500,0)))),"⚠ phone not in Pledges"))</f>
      </c>
      <c r="C1905" s="12"/>
      <c r="D1905" s="13"/>
      <c r="E1905" s="22"/>
      <c r="F1905" s="23"/>
      <c r="G1905">
        <f>IF($A1905="","","#"&amp;TRIM(SUBSTITUTE(SUBSTITUTE(SUBSTITUTE(SUBSTITUTE(SUBSTITUTE(SUBSTITUTE($A1905,"-",""),"(",""),")",""),".",""),"+","")," ","")))</f>
      </c>
    </row>
    <row r="1906" spans="1:7" x14ac:dyDescent="0.3">
      <c r="A1906" s="11"/>
      <c r="B1906" s="38">
        <f>IF($A1906="","",IFERROR(IF(INDEX(Pledges!$D$5:$D$2500,MATCH($G1906,Pledges!$K$5:$K$2500,0))="","⚠ no amount on Pledges",IF(INDEX(Pledges!$B$5:$B$2500,MATCH($G1906,Pledges!$K$5:$K$2500,0))="","",INDEX(Pledges!$B$5:$B$2500,MATCH($G1906,Pledges!$K$5:$K$2500,0)))),"⚠ phone not in Pledges"))</f>
      </c>
      <c r="C1906" s="12"/>
      <c r="D1906" s="13"/>
      <c r="E1906" s="22"/>
      <c r="F1906" s="23"/>
      <c r="G1906">
        <f>IF($A1906="","","#"&amp;TRIM(SUBSTITUTE(SUBSTITUTE(SUBSTITUTE(SUBSTITUTE(SUBSTITUTE(SUBSTITUTE($A1906,"-",""),"(",""),")",""),".",""),"+","")," ","")))</f>
      </c>
    </row>
    <row r="1907" spans="1:7" x14ac:dyDescent="0.3">
      <c r="A1907" s="11"/>
      <c r="B1907" s="38">
        <f>IF($A1907="","",IFERROR(IF(INDEX(Pledges!$D$5:$D$2500,MATCH($G1907,Pledges!$K$5:$K$2500,0))="","⚠ no amount on Pledges",IF(INDEX(Pledges!$B$5:$B$2500,MATCH($G1907,Pledges!$K$5:$K$2500,0))="","",INDEX(Pledges!$B$5:$B$2500,MATCH($G1907,Pledges!$K$5:$K$2500,0)))),"⚠ phone not in Pledges"))</f>
      </c>
      <c r="C1907" s="12"/>
      <c r="D1907" s="13"/>
      <c r="E1907" s="22"/>
      <c r="F1907" s="23"/>
      <c r="G1907">
        <f>IF($A1907="","","#"&amp;TRIM(SUBSTITUTE(SUBSTITUTE(SUBSTITUTE(SUBSTITUTE(SUBSTITUTE(SUBSTITUTE($A1907,"-",""),"(",""),")",""),".",""),"+","")," ","")))</f>
      </c>
    </row>
    <row r="1908" spans="1:7" x14ac:dyDescent="0.3">
      <c r="A1908" s="11"/>
      <c r="B1908" s="38">
        <f>IF($A1908="","",IFERROR(IF(INDEX(Pledges!$D$5:$D$2500,MATCH($G1908,Pledges!$K$5:$K$2500,0))="","⚠ no amount on Pledges",IF(INDEX(Pledges!$B$5:$B$2500,MATCH($G1908,Pledges!$K$5:$K$2500,0))="","",INDEX(Pledges!$B$5:$B$2500,MATCH($G1908,Pledges!$K$5:$K$2500,0)))),"⚠ phone not in Pledges"))</f>
      </c>
      <c r="C1908" s="12"/>
      <c r="D1908" s="13"/>
      <c r="E1908" s="22"/>
      <c r="F1908" s="23"/>
      <c r="G1908">
        <f>IF($A1908="","","#"&amp;TRIM(SUBSTITUTE(SUBSTITUTE(SUBSTITUTE(SUBSTITUTE(SUBSTITUTE(SUBSTITUTE($A1908,"-",""),"(",""),")",""),".",""),"+","")," ","")))</f>
      </c>
    </row>
    <row r="1909" spans="1:7" x14ac:dyDescent="0.3">
      <c r="A1909" s="11"/>
      <c r="B1909" s="38">
        <f>IF($A1909="","",IFERROR(IF(INDEX(Pledges!$D$5:$D$2500,MATCH($G1909,Pledges!$K$5:$K$2500,0))="","⚠ no amount on Pledges",IF(INDEX(Pledges!$B$5:$B$2500,MATCH($G1909,Pledges!$K$5:$K$2500,0))="","",INDEX(Pledges!$B$5:$B$2500,MATCH($G1909,Pledges!$K$5:$K$2500,0)))),"⚠ phone not in Pledges"))</f>
      </c>
      <c r="C1909" s="12"/>
      <c r="D1909" s="13"/>
      <c r="E1909" s="22"/>
      <c r="F1909" s="23"/>
      <c r="G1909">
        <f>IF($A1909="","","#"&amp;TRIM(SUBSTITUTE(SUBSTITUTE(SUBSTITUTE(SUBSTITUTE(SUBSTITUTE(SUBSTITUTE($A1909,"-",""),"(",""),")",""),".",""),"+","")," ","")))</f>
      </c>
    </row>
    <row r="1910" spans="1:7" x14ac:dyDescent="0.3">
      <c r="A1910" s="11"/>
      <c r="B1910" s="38">
        <f>IF($A1910="","",IFERROR(IF(INDEX(Pledges!$D$5:$D$2500,MATCH($G1910,Pledges!$K$5:$K$2500,0))="","⚠ no amount on Pledges",IF(INDEX(Pledges!$B$5:$B$2500,MATCH($G1910,Pledges!$K$5:$K$2500,0))="","",INDEX(Pledges!$B$5:$B$2500,MATCH($G1910,Pledges!$K$5:$K$2500,0)))),"⚠ phone not in Pledges"))</f>
      </c>
      <c r="C1910" s="12"/>
      <c r="D1910" s="13"/>
      <c r="E1910" s="22"/>
      <c r="F1910" s="23"/>
      <c r="G1910">
        <f>IF($A1910="","","#"&amp;TRIM(SUBSTITUTE(SUBSTITUTE(SUBSTITUTE(SUBSTITUTE(SUBSTITUTE(SUBSTITUTE($A1910,"-",""),"(",""),")",""),".",""),"+","")," ","")))</f>
      </c>
    </row>
    <row r="1911" spans="1:7" x14ac:dyDescent="0.3">
      <c r="A1911" s="11"/>
      <c r="B1911" s="38">
        <f>IF($A1911="","",IFERROR(IF(INDEX(Pledges!$D$5:$D$2500,MATCH($G1911,Pledges!$K$5:$K$2500,0))="","⚠ no amount on Pledges",IF(INDEX(Pledges!$B$5:$B$2500,MATCH($G1911,Pledges!$K$5:$K$2500,0))="","",INDEX(Pledges!$B$5:$B$2500,MATCH($G1911,Pledges!$K$5:$K$2500,0)))),"⚠ phone not in Pledges"))</f>
      </c>
      <c r="C1911" s="12"/>
      <c r="D1911" s="13"/>
      <c r="E1911" s="22"/>
      <c r="F1911" s="23"/>
      <c r="G1911">
        <f>IF($A1911="","","#"&amp;TRIM(SUBSTITUTE(SUBSTITUTE(SUBSTITUTE(SUBSTITUTE(SUBSTITUTE(SUBSTITUTE($A1911,"-",""),"(",""),")",""),".",""),"+","")," ","")))</f>
      </c>
    </row>
    <row r="1912" spans="1:7" x14ac:dyDescent="0.3">
      <c r="A1912" s="11"/>
      <c r="B1912" s="38">
        <f>IF($A1912="","",IFERROR(IF(INDEX(Pledges!$D$5:$D$2500,MATCH($G1912,Pledges!$K$5:$K$2500,0))="","⚠ no amount on Pledges",IF(INDEX(Pledges!$B$5:$B$2500,MATCH($G1912,Pledges!$K$5:$K$2500,0))="","",INDEX(Pledges!$B$5:$B$2500,MATCH($G1912,Pledges!$K$5:$K$2500,0)))),"⚠ phone not in Pledges"))</f>
      </c>
      <c r="C1912" s="12"/>
      <c r="D1912" s="13"/>
      <c r="E1912" s="22"/>
      <c r="F1912" s="23"/>
      <c r="G1912">
        <f>IF($A1912="","","#"&amp;TRIM(SUBSTITUTE(SUBSTITUTE(SUBSTITUTE(SUBSTITUTE(SUBSTITUTE(SUBSTITUTE($A1912,"-",""),"(",""),")",""),".",""),"+","")," ","")))</f>
      </c>
    </row>
    <row r="1913" spans="1:7" x14ac:dyDescent="0.3">
      <c r="A1913" s="11"/>
      <c r="B1913" s="38">
        <f>IF($A1913="","",IFERROR(IF(INDEX(Pledges!$D$5:$D$2500,MATCH($G1913,Pledges!$K$5:$K$2500,0))="","⚠ no amount on Pledges",IF(INDEX(Pledges!$B$5:$B$2500,MATCH($G1913,Pledges!$K$5:$K$2500,0))="","",INDEX(Pledges!$B$5:$B$2500,MATCH($G1913,Pledges!$K$5:$K$2500,0)))),"⚠ phone not in Pledges"))</f>
      </c>
      <c r="C1913" s="12"/>
      <c r="D1913" s="13"/>
      <c r="E1913" s="22"/>
      <c r="F1913" s="23"/>
      <c r="G1913">
        <f>IF($A1913="","","#"&amp;TRIM(SUBSTITUTE(SUBSTITUTE(SUBSTITUTE(SUBSTITUTE(SUBSTITUTE(SUBSTITUTE($A1913,"-",""),"(",""),")",""),".",""),"+","")," ","")))</f>
      </c>
    </row>
    <row r="1914" spans="1:7" x14ac:dyDescent="0.3">
      <c r="A1914" s="11"/>
      <c r="B1914" s="38">
        <f>IF($A1914="","",IFERROR(IF(INDEX(Pledges!$D$5:$D$2500,MATCH($G1914,Pledges!$K$5:$K$2500,0))="","⚠ no amount on Pledges",IF(INDEX(Pledges!$B$5:$B$2500,MATCH($G1914,Pledges!$K$5:$K$2500,0))="","",INDEX(Pledges!$B$5:$B$2500,MATCH($G1914,Pledges!$K$5:$K$2500,0)))),"⚠ phone not in Pledges"))</f>
      </c>
      <c r="C1914" s="12"/>
      <c r="D1914" s="13"/>
      <c r="E1914" s="22"/>
      <c r="F1914" s="23"/>
      <c r="G1914">
        <f>IF($A1914="","","#"&amp;TRIM(SUBSTITUTE(SUBSTITUTE(SUBSTITUTE(SUBSTITUTE(SUBSTITUTE(SUBSTITUTE($A1914,"-",""),"(",""),")",""),".",""),"+","")," ","")))</f>
      </c>
    </row>
    <row r="1915" spans="1:7" x14ac:dyDescent="0.3">
      <c r="A1915" s="11"/>
      <c r="B1915" s="38">
        <f>IF($A1915="","",IFERROR(IF(INDEX(Pledges!$D$5:$D$2500,MATCH($G1915,Pledges!$K$5:$K$2500,0))="","⚠ no amount on Pledges",IF(INDEX(Pledges!$B$5:$B$2500,MATCH($G1915,Pledges!$K$5:$K$2500,0))="","",INDEX(Pledges!$B$5:$B$2500,MATCH($G1915,Pledges!$K$5:$K$2500,0)))),"⚠ phone not in Pledges"))</f>
      </c>
      <c r="C1915" s="12"/>
      <c r="D1915" s="13"/>
      <c r="E1915" s="22"/>
      <c r="F1915" s="23"/>
      <c r="G1915">
        <f>IF($A1915="","","#"&amp;TRIM(SUBSTITUTE(SUBSTITUTE(SUBSTITUTE(SUBSTITUTE(SUBSTITUTE(SUBSTITUTE($A1915,"-",""),"(",""),")",""),".",""),"+","")," ","")))</f>
      </c>
    </row>
    <row r="1916" spans="1:7" x14ac:dyDescent="0.3">
      <c r="A1916" s="11"/>
      <c r="B1916" s="38">
        <f>IF($A1916="","",IFERROR(IF(INDEX(Pledges!$D$5:$D$2500,MATCH($G1916,Pledges!$K$5:$K$2500,0))="","⚠ no amount on Pledges",IF(INDEX(Pledges!$B$5:$B$2500,MATCH($G1916,Pledges!$K$5:$K$2500,0))="","",INDEX(Pledges!$B$5:$B$2500,MATCH($G1916,Pledges!$K$5:$K$2500,0)))),"⚠ phone not in Pledges"))</f>
      </c>
      <c r="C1916" s="12"/>
      <c r="D1916" s="13"/>
      <c r="E1916" s="22"/>
      <c r="F1916" s="23"/>
      <c r="G1916">
        <f>IF($A1916="","","#"&amp;TRIM(SUBSTITUTE(SUBSTITUTE(SUBSTITUTE(SUBSTITUTE(SUBSTITUTE(SUBSTITUTE($A1916,"-",""),"(",""),")",""),".",""),"+","")," ","")))</f>
      </c>
    </row>
    <row r="1917" spans="1:7" x14ac:dyDescent="0.3">
      <c r="A1917" s="11"/>
      <c r="B1917" s="38">
        <f>IF($A1917="","",IFERROR(IF(INDEX(Pledges!$D$5:$D$2500,MATCH($G1917,Pledges!$K$5:$K$2500,0))="","⚠ no amount on Pledges",IF(INDEX(Pledges!$B$5:$B$2500,MATCH($G1917,Pledges!$K$5:$K$2500,0))="","",INDEX(Pledges!$B$5:$B$2500,MATCH($G1917,Pledges!$K$5:$K$2500,0)))),"⚠ phone not in Pledges"))</f>
      </c>
      <c r="C1917" s="12"/>
      <c r="D1917" s="13"/>
      <c r="E1917" s="22"/>
      <c r="F1917" s="23"/>
      <c r="G1917">
        <f>IF($A1917="","","#"&amp;TRIM(SUBSTITUTE(SUBSTITUTE(SUBSTITUTE(SUBSTITUTE(SUBSTITUTE(SUBSTITUTE($A1917,"-",""),"(",""),")",""),".",""),"+","")," ","")))</f>
      </c>
    </row>
    <row r="1918" spans="1:7" x14ac:dyDescent="0.3">
      <c r="A1918" s="11"/>
      <c r="B1918" s="38">
        <f>IF($A1918="","",IFERROR(IF(INDEX(Pledges!$D$5:$D$2500,MATCH($G1918,Pledges!$K$5:$K$2500,0))="","⚠ no amount on Pledges",IF(INDEX(Pledges!$B$5:$B$2500,MATCH($G1918,Pledges!$K$5:$K$2500,0))="","",INDEX(Pledges!$B$5:$B$2500,MATCH($G1918,Pledges!$K$5:$K$2500,0)))),"⚠ phone not in Pledges"))</f>
      </c>
      <c r="C1918" s="12"/>
      <c r="D1918" s="13"/>
      <c r="E1918" s="22"/>
      <c r="F1918" s="23"/>
      <c r="G1918">
        <f>IF($A1918="","","#"&amp;TRIM(SUBSTITUTE(SUBSTITUTE(SUBSTITUTE(SUBSTITUTE(SUBSTITUTE(SUBSTITUTE($A1918,"-",""),"(",""),")",""),".",""),"+","")," ","")))</f>
      </c>
    </row>
    <row r="1919" spans="1:7" x14ac:dyDescent="0.3">
      <c r="A1919" s="11"/>
      <c r="B1919" s="38">
        <f>IF($A1919="","",IFERROR(IF(INDEX(Pledges!$D$5:$D$2500,MATCH($G1919,Pledges!$K$5:$K$2500,0))="","⚠ no amount on Pledges",IF(INDEX(Pledges!$B$5:$B$2500,MATCH($G1919,Pledges!$K$5:$K$2500,0))="","",INDEX(Pledges!$B$5:$B$2500,MATCH($G1919,Pledges!$K$5:$K$2500,0)))),"⚠ phone not in Pledges"))</f>
      </c>
      <c r="C1919" s="12"/>
      <c r="D1919" s="13"/>
      <c r="E1919" s="22"/>
      <c r="F1919" s="23"/>
      <c r="G1919">
        <f>IF($A1919="","","#"&amp;TRIM(SUBSTITUTE(SUBSTITUTE(SUBSTITUTE(SUBSTITUTE(SUBSTITUTE(SUBSTITUTE($A1919,"-",""),"(",""),")",""),".",""),"+","")," ","")))</f>
      </c>
    </row>
    <row r="1920" spans="1:7" x14ac:dyDescent="0.3">
      <c r="A1920" s="11"/>
      <c r="B1920" s="38">
        <f>IF($A1920="","",IFERROR(IF(INDEX(Pledges!$D$5:$D$2500,MATCH($G1920,Pledges!$K$5:$K$2500,0))="","⚠ no amount on Pledges",IF(INDEX(Pledges!$B$5:$B$2500,MATCH($G1920,Pledges!$K$5:$K$2500,0))="","",INDEX(Pledges!$B$5:$B$2500,MATCH($G1920,Pledges!$K$5:$K$2500,0)))),"⚠ phone not in Pledges"))</f>
      </c>
      <c r="C1920" s="12"/>
      <c r="D1920" s="13"/>
      <c r="E1920" s="22"/>
      <c r="F1920" s="23"/>
      <c r="G1920">
        <f>IF($A1920="","","#"&amp;TRIM(SUBSTITUTE(SUBSTITUTE(SUBSTITUTE(SUBSTITUTE(SUBSTITUTE(SUBSTITUTE($A1920,"-",""),"(",""),")",""),".",""),"+","")," ","")))</f>
      </c>
    </row>
    <row r="1921" spans="1:7" x14ac:dyDescent="0.3">
      <c r="A1921" s="11"/>
      <c r="B1921" s="38">
        <f>IF($A1921="","",IFERROR(IF(INDEX(Pledges!$D$5:$D$2500,MATCH($G1921,Pledges!$K$5:$K$2500,0))="","⚠ no amount on Pledges",IF(INDEX(Pledges!$B$5:$B$2500,MATCH($G1921,Pledges!$K$5:$K$2500,0))="","",INDEX(Pledges!$B$5:$B$2500,MATCH($G1921,Pledges!$K$5:$K$2500,0)))),"⚠ phone not in Pledges"))</f>
      </c>
      <c r="C1921" s="12"/>
      <c r="D1921" s="13"/>
      <c r="E1921" s="22"/>
      <c r="F1921" s="23"/>
      <c r="G1921">
        <f>IF($A1921="","","#"&amp;TRIM(SUBSTITUTE(SUBSTITUTE(SUBSTITUTE(SUBSTITUTE(SUBSTITUTE(SUBSTITUTE($A1921,"-",""),"(",""),")",""),".",""),"+","")," ","")))</f>
      </c>
    </row>
    <row r="1922" spans="1:7" x14ac:dyDescent="0.3">
      <c r="A1922" s="11"/>
      <c r="B1922" s="38">
        <f>IF($A1922="","",IFERROR(IF(INDEX(Pledges!$D$5:$D$2500,MATCH($G1922,Pledges!$K$5:$K$2500,0))="","⚠ no amount on Pledges",IF(INDEX(Pledges!$B$5:$B$2500,MATCH($G1922,Pledges!$K$5:$K$2500,0))="","",INDEX(Pledges!$B$5:$B$2500,MATCH($G1922,Pledges!$K$5:$K$2500,0)))),"⚠ phone not in Pledges"))</f>
      </c>
      <c r="C1922" s="12"/>
      <c r="D1922" s="13"/>
      <c r="E1922" s="22"/>
      <c r="F1922" s="23"/>
      <c r="G1922">
        <f>IF($A1922="","","#"&amp;TRIM(SUBSTITUTE(SUBSTITUTE(SUBSTITUTE(SUBSTITUTE(SUBSTITUTE(SUBSTITUTE($A1922,"-",""),"(",""),")",""),".",""),"+","")," ","")))</f>
      </c>
    </row>
    <row r="1923" spans="1:7" x14ac:dyDescent="0.3">
      <c r="A1923" s="11"/>
      <c r="B1923" s="38">
        <f>IF($A1923="","",IFERROR(IF(INDEX(Pledges!$D$5:$D$2500,MATCH($G1923,Pledges!$K$5:$K$2500,0))="","⚠ no amount on Pledges",IF(INDEX(Pledges!$B$5:$B$2500,MATCH($G1923,Pledges!$K$5:$K$2500,0))="","",INDEX(Pledges!$B$5:$B$2500,MATCH($G1923,Pledges!$K$5:$K$2500,0)))),"⚠ phone not in Pledges"))</f>
      </c>
      <c r="C1923" s="12"/>
      <c r="D1923" s="13"/>
      <c r="E1923" s="22"/>
      <c r="F1923" s="23"/>
      <c r="G1923">
        <f>IF($A1923="","","#"&amp;TRIM(SUBSTITUTE(SUBSTITUTE(SUBSTITUTE(SUBSTITUTE(SUBSTITUTE(SUBSTITUTE($A1923,"-",""),"(",""),")",""),".",""),"+","")," ","")))</f>
      </c>
    </row>
    <row r="1924" spans="1:7" x14ac:dyDescent="0.3">
      <c r="A1924" s="11"/>
      <c r="B1924" s="38">
        <f>IF($A1924="","",IFERROR(IF(INDEX(Pledges!$D$5:$D$2500,MATCH($G1924,Pledges!$K$5:$K$2500,0))="","⚠ no amount on Pledges",IF(INDEX(Pledges!$B$5:$B$2500,MATCH($G1924,Pledges!$K$5:$K$2500,0))="","",INDEX(Pledges!$B$5:$B$2500,MATCH($G1924,Pledges!$K$5:$K$2500,0)))),"⚠ phone not in Pledges"))</f>
      </c>
      <c r="C1924" s="12"/>
      <c r="D1924" s="13"/>
      <c r="E1924" s="22"/>
      <c r="F1924" s="23"/>
      <c r="G1924">
        <f>IF($A1924="","","#"&amp;TRIM(SUBSTITUTE(SUBSTITUTE(SUBSTITUTE(SUBSTITUTE(SUBSTITUTE(SUBSTITUTE($A1924,"-",""),"(",""),")",""),".",""),"+","")," ","")))</f>
      </c>
    </row>
    <row r="1925" spans="1:7" x14ac:dyDescent="0.3">
      <c r="A1925" s="11"/>
      <c r="B1925" s="38">
        <f>IF($A1925="","",IFERROR(IF(INDEX(Pledges!$D$5:$D$2500,MATCH($G1925,Pledges!$K$5:$K$2500,0))="","⚠ no amount on Pledges",IF(INDEX(Pledges!$B$5:$B$2500,MATCH($G1925,Pledges!$K$5:$K$2500,0))="","",INDEX(Pledges!$B$5:$B$2500,MATCH($G1925,Pledges!$K$5:$K$2500,0)))),"⚠ phone not in Pledges"))</f>
      </c>
      <c r="C1925" s="12"/>
      <c r="D1925" s="13"/>
      <c r="E1925" s="22"/>
      <c r="F1925" s="23"/>
      <c r="G1925">
        <f>IF($A1925="","","#"&amp;TRIM(SUBSTITUTE(SUBSTITUTE(SUBSTITUTE(SUBSTITUTE(SUBSTITUTE(SUBSTITUTE($A1925,"-",""),"(",""),")",""),".",""),"+","")," ","")))</f>
      </c>
    </row>
    <row r="1926" spans="1:7" x14ac:dyDescent="0.3">
      <c r="A1926" s="11"/>
      <c r="B1926" s="38">
        <f>IF($A1926="","",IFERROR(IF(INDEX(Pledges!$D$5:$D$2500,MATCH($G1926,Pledges!$K$5:$K$2500,0))="","⚠ no amount on Pledges",IF(INDEX(Pledges!$B$5:$B$2500,MATCH($G1926,Pledges!$K$5:$K$2500,0))="","",INDEX(Pledges!$B$5:$B$2500,MATCH($G1926,Pledges!$K$5:$K$2500,0)))),"⚠ phone not in Pledges"))</f>
      </c>
      <c r="C1926" s="12"/>
      <c r="D1926" s="13"/>
      <c r="E1926" s="22"/>
      <c r="F1926" s="23"/>
      <c r="G1926">
        <f>IF($A1926="","","#"&amp;TRIM(SUBSTITUTE(SUBSTITUTE(SUBSTITUTE(SUBSTITUTE(SUBSTITUTE(SUBSTITUTE($A1926,"-",""),"(",""),")",""),".",""),"+","")," ","")))</f>
      </c>
    </row>
    <row r="1927" spans="1:7" x14ac:dyDescent="0.3">
      <c r="A1927" s="11"/>
      <c r="B1927" s="38">
        <f>IF($A1927="","",IFERROR(IF(INDEX(Pledges!$D$5:$D$2500,MATCH($G1927,Pledges!$K$5:$K$2500,0))="","⚠ no amount on Pledges",IF(INDEX(Pledges!$B$5:$B$2500,MATCH($G1927,Pledges!$K$5:$K$2500,0))="","",INDEX(Pledges!$B$5:$B$2500,MATCH($G1927,Pledges!$K$5:$K$2500,0)))),"⚠ phone not in Pledges"))</f>
      </c>
      <c r="C1927" s="12"/>
      <c r="D1927" s="13"/>
      <c r="E1927" s="22"/>
      <c r="F1927" s="23"/>
      <c r="G1927">
        <f>IF($A1927="","","#"&amp;TRIM(SUBSTITUTE(SUBSTITUTE(SUBSTITUTE(SUBSTITUTE(SUBSTITUTE(SUBSTITUTE($A1927,"-",""),"(",""),")",""),".",""),"+","")," ","")))</f>
      </c>
    </row>
    <row r="1928" spans="1:7" x14ac:dyDescent="0.3">
      <c r="A1928" s="11"/>
      <c r="B1928" s="38">
        <f>IF($A1928="","",IFERROR(IF(INDEX(Pledges!$D$5:$D$2500,MATCH($G1928,Pledges!$K$5:$K$2500,0))="","⚠ no amount on Pledges",IF(INDEX(Pledges!$B$5:$B$2500,MATCH($G1928,Pledges!$K$5:$K$2500,0))="","",INDEX(Pledges!$B$5:$B$2500,MATCH($G1928,Pledges!$K$5:$K$2500,0)))),"⚠ phone not in Pledges"))</f>
      </c>
      <c r="C1928" s="12"/>
      <c r="D1928" s="13"/>
      <c r="E1928" s="22"/>
      <c r="F1928" s="23"/>
      <c r="G1928">
        <f>IF($A1928="","","#"&amp;TRIM(SUBSTITUTE(SUBSTITUTE(SUBSTITUTE(SUBSTITUTE(SUBSTITUTE(SUBSTITUTE($A1928,"-",""),"(",""),")",""),".",""),"+","")," ","")))</f>
      </c>
    </row>
    <row r="1929" spans="1:7" x14ac:dyDescent="0.3">
      <c r="A1929" s="11"/>
      <c r="B1929" s="38">
        <f>IF($A1929="","",IFERROR(IF(INDEX(Pledges!$D$5:$D$2500,MATCH($G1929,Pledges!$K$5:$K$2500,0))="","⚠ no amount on Pledges",IF(INDEX(Pledges!$B$5:$B$2500,MATCH($G1929,Pledges!$K$5:$K$2500,0))="","",INDEX(Pledges!$B$5:$B$2500,MATCH($G1929,Pledges!$K$5:$K$2500,0)))),"⚠ phone not in Pledges"))</f>
      </c>
      <c r="C1929" s="12"/>
      <c r="D1929" s="13"/>
      <c r="E1929" s="22"/>
      <c r="F1929" s="23"/>
      <c r="G1929">
        <f>IF($A1929="","","#"&amp;TRIM(SUBSTITUTE(SUBSTITUTE(SUBSTITUTE(SUBSTITUTE(SUBSTITUTE(SUBSTITUTE($A1929,"-",""),"(",""),")",""),".",""),"+","")," ","")))</f>
      </c>
    </row>
    <row r="1930" spans="1:7" x14ac:dyDescent="0.3">
      <c r="A1930" s="11"/>
      <c r="B1930" s="38">
        <f>IF($A1930="","",IFERROR(IF(INDEX(Pledges!$D$5:$D$2500,MATCH($G1930,Pledges!$K$5:$K$2500,0))="","⚠ no amount on Pledges",IF(INDEX(Pledges!$B$5:$B$2500,MATCH($G1930,Pledges!$K$5:$K$2500,0))="","",INDEX(Pledges!$B$5:$B$2500,MATCH($G1930,Pledges!$K$5:$K$2500,0)))),"⚠ phone not in Pledges"))</f>
      </c>
      <c r="C1930" s="12"/>
      <c r="D1930" s="13"/>
      <c r="E1930" s="22"/>
      <c r="F1930" s="23"/>
      <c r="G1930">
        <f>IF($A1930="","","#"&amp;TRIM(SUBSTITUTE(SUBSTITUTE(SUBSTITUTE(SUBSTITUTE(SUBSTITUTE(SUBSTITUTE($A1930,"-",""),"(",""),")",""),".",""),"+","")," ","")))</f>
      </c>
    </row>
    <row r="1931" spans="1:7" x14ac:dyDescent="0.3">
      <c r="A1931" s="11"/>
      <c r="B1931" s="38">
        <f>IF($A1931="","",IFERROR(IF(INDEX(Pledges!$D$5:$D$2500,MATCH($G1931,Pledges!$K$5:$K$2500,0))="","⚠ no amount on Pledges",IF(INDEX(Pledges!$B$5:$B$2500,MATCH($G1931,Pledges!$K$5:$K$2500,0))="","",INDEX(Pledges!$B$5:$B$2500,MATCH($G1931,Pledges!$K$5:$K$2500,0)))),"⚠ phone not in Pledges"))</f>
      </c>
      <c r="C1931" s="12"/>
      <c r="D1931" s="13"/>
      <c r="E1931" s="22"/>
      <c r="F1931" s="23"/>
      <c r="G1931">
        <f>IF($A1931="","","#"&amp;TRIM(SUBSTITUTE(SUBSTITUTE(SUBSTITUTE(SUBSTITUTE(SUBSTITUTE(SUBSTITUTE($A1931,"-",""),"(",""),")",""),".",""),"+","")," ","")))</f>
      </c>
    </row>
    <row r="1932" spans="1:7" x14ac:dyDescent="0.3">
      <c r="A1932" s="11"/>
      <c r="B1932" s="38">
        <f>IF($A1932="","",IFERROR(IF(INDEX(Pledges!$D$5:$D$2500,MATCH($G1932,Pledges!$K$5:$K$2500,0))="","⚠ no amount on Pledges",IF(INDEX(Pledges!$B$5:$B$2500,MATCH($G1932,Pledges!$K$5:$K$2500,0))="","",INDEX(Pledges!$B$5:$B$2500,MATCH($G1932,Pledges!$K$5:$K$2500,0)))),"⚠ phone not in Pledges"))</f>
      </c>
      <c r="C1932" s="12"/>
      <c r="D1932" s="13"/>
      <c r="E1932" s="22"/>
      <c r="F1932" s="23"/>
      <c r="G1932">
        <f>IF($A1932="","","#"&amp;TRIM(SUBSTITUTE(SUBSTITUTE(SUBSTITUTE(SUBSTITUTE(SUBSTITUTE(SUBSTITUTE($A1932,"-",""),"(",""),")",""),".",""),"+","")," ","")))</f>
      </c>
    </row>
    <row r="1933" spans="1:7" x14ac:dyDescent="0.3">
      <c r="A1933" s="11"/>
      <c r="B1933" s="38">
        <f>IF($A1933="","",IFERROR(IF(INDEX(Pledges!$D$5:$D$2500,MATCH($G1933,Pledges!$K$5:$K$2500,0))="","⚠ no amount on Pledges",IF(INDEX(Pledges!$B$5:$B$2500,MATCH($G1933,Pledges!$K$5:$K$2500,0))="","",INDEX(Pledges!$B$5:$B$2500,MATCH($G1933,Pledges!$K$5:$K$2500,0)))),"⚠ phone not in Pledges"))</f>
      </c>
      <c r="C1933" s="12"/>
      <c r="D1933" s="13"/>
      <c r="E1933" s="22"/>
      <c r="F1933" s="23"/>
      <c r="G1933">
        <f>IF($A1933="","","#"&amp;TRIM(SUBSTITUTE(SUBSTITUTE(SUBSTITUTE(SUBSTITUTE(SUBSTITUTE(SUBSTITUTE($A1933,"-",""),"(",""),")",""),".",""),"+","")," ","")))</f>
      </c>
    </row>
    <row r="1934" spans="1:7" x14ac:dyDescent="0.3">
      <c r="A1934" s="11"/>
      <c r="B1934" s="38">
        <f>IF($A1934="","",IFERROR(IF(INDEX(Pledges!$D$5:$D$2500,MATCH($G1934,Pledges!$K$5:$K$2500,0))="","⚠ no amount on Pledges",IF(INDEX(Pledges!$B$5:$B$2500,MATCH($G1934,Pledges!$K$5:$K$2500,0))="","",INDEX(Pledges!$B$5:$B$2500,MATCH($G1934,Pledges!$K$5:$K$2500,0)))),"⚠ phone not in Pledges"))</f>
      </c>
      <c r="C1934" s="12"/>
      <c r="D1934" s="13"/>
      <c r="E1934" s="22"/>
      <c r="F1934" s="23"/>
      <c r="G1934">
        <f>IF($A1934="","","#"&amp;TRIM(SUBSTITUTE(SUBSTITUTE(SUBSTITUTE(SUBSTITUTE(SUBSTITUTE(SUBSTITUTE($A1934,"-",""),"(",""),")",""),".",""),"+","")," ","")))</f>
      </c>
    </row>
    <row r="1935" spans="1:7" x14ac:dyDescent="0.3">
      <c r="A1935" s="11"/>
      <c r="B1935" s="38">
        <f>IF($A1935="","",IFERROR(IF(INDEX(Pledges!$D$5:$D$2500,MATCH($G1935,Pledges!$K$5:$K$2500,0))="","⚠ no amount on Pledges",IF(INDEX(Pledges!$B$5:$B$2500,MATCH($G1935,Pledges!$K$5:$K$2500,0))="","",INDEX(Pledges!$B$5:$B$2500,MATCH($G1935,Pledges!$K$5:$K$2500,0)))),"⚠ phone not in Pledges"))</f>
      </c>
      <c r="C1935" s="12"/>
      <c r="D1935" s="13"/>
      <c r="E1935" s="22"/>
      <c r="F1935" s="23"/>
      <c r="G1935">
        <f>IF($A1935="","","#"&amp;TRIM(SUBSTITUTE(SUBSTITUTE(SUBSTITUTE(SUBSTITUTE(SUBSTITUTE(SUBSTITUTE($A1935,"-",""),"(",""),")",""),".",""),"+","")," ","")))</f>
      </c>
    </row>
    <row r="1936" spans="1:7" x14ac:dyDescent="0.3">
      <c r="A1936" s="11"/>
      <c r="B1936" s="38">
        <f>IF($A1936="","",IFERROR(IF(INDEX(Pledges!$D$5:$D$2500,MATCH($G1936,Pledges!$K$5:$K$2500,0))="","⚠ no amount on Pledges",IF(INDEX(Pledges!$B$5:$B$2500,MATCH($G1936,Pledges!$K$5:$K$2500,0))="","",INDEX(Pledges!$B$5:$B$2500,MATCH($G1936,Pledges!$K$5:$K$2500,0)))),"⚠ phone not in Pledges"))</f>
      </c>
      <c r="C1936" s="12"/>
      <c r="D1936" s="13"/>
      <c r="E1936" s="22"/>
      <c r="F1936" s="23"/>
      <c r="G1936">
        <f>IF($A1936="","","#"&amp;TRIM(SUBSTITUTE(SUBSTITUTE(SUBSTITUTE(SUBSTITUTE(SUBSTITUTE(SUBSTITUTE($A1936,"-",""),"(",""),")",""),".",""),"+","")," ","")))</f>
      </c>
    </row>
    <row r="1937" spans="1:7" x14ac:dyDescent="0.3">
      <c r="A1937" s="11"/>
      <c r="B1937" s="38">
        <f>IF($A1937="","",IFERROR(IF(INDEX(Pledges!$D$5:$D$2500,MATCH($G1937,Pledges!$K$5:$K$2500,0))="","⚠ no amount on Pledges",IF(INDEX(Pledges!$B$5:$B$2500,MATCH($G1937,Pledges!$K$5:$K$2500,0))="","",INDEX(Pledges!$B$5:$B$2500,MATCH($G1937,Pledges!$K$5:$K$2500,0)))),"⚠ phone not in Pledges"))</f>
      </c>
      <c r="C1937" s="12"/>
      <c r="D1937" s="13"/>
      <c r="E1937" s="22"/>
      <c r="F1937" s="23"/>
      <c r="G1937">
        <f>IF($A1937="","","#"&amp;TRIM(SUBSTITUTE(SUBSTITUTE(SUBSTITUTE(SUBSTITUTE(SUBSTITUTE(SUBSTITUTE($A1937,"-",""),"(",""),")",""),".",""),"+","")," ","")))</f>
      </c>
    </row>
    <row r="1938" spans="1:7" x14ac:dyDescent="0.3">
      <c r="A1938" s="11"/>
      <c r="B1938" s="38">
        <f>IF($A1938="","",IFERROR(IF(INDEX(Pledges!$D$5:$D$2500,MATCH($G1938,Pledges!$K$5:$K$2500,0))="","⚠ no amount on Pledges",IF(INDEX(Pledges!$B$5:$B$2500,MATCH($G1938,Pledges!$K$5:$K$2500,0))="","",INDEX(Pledges!$B$5:$B$2500,MATCH($G1938,Pledges!$K$5:$K$2500,0)))),"⚠ phone not in Pledges"))</f>
      </c>
      <c r="C1938" s="12"/>
      <c r="D1938" s="13"/>
      <c r="E1938" s="22"/>
      <c r="F1938" s="23"/>
      <c r="G1938">
        <f>IF($A1938="","","#"&amp;TRIM(SUBSTITUTE(SUBSTITUTE(SUBSTITUTE(SUBSTITUTE(SUBSTITUTE(SUBSTITUTE($A1938,"-",""),"(",""),")",""),".",""),"+","")," ","")))</f>
      </c>
    </row>
    <row r="1939" spans="1:7" x14ac:dyDescent="0.3">
      <c r="A1939" s="11"/>
      <c r="B1939" s="38">
        <f>IF($A1939="","",IFERROR(IF(INDEX(Pledges!$D$5:$D$2500,MATCH($G1939,Pledges!$K$5:$K$2500,0))="","⚠ no amount on Pledges",IF(INDEX(Pledges!$B$5:$B$2500,MATCH($G1939,Pledges!$K$5:$K$2500,0))="","",INDEX(Pledges!$B$5:$B$2500,MATCH($G1939,Pledges!$K$5:$K$2500,0)))),"⚠ phone not in Pledges"))</f>
      </c>
      <c r="C1939" s="12"/>
      <c r="D1939" s="13"/>
      <c r="E1939" s="22"/>
      <c r="F1939" s="23"/>
      <c r="G1939">
        <f>IF($A1939="","","#"&amp;TRIM(SUBSTITUTE(SUBSTITUTE(SUBSTITUTE(SUBSTITUTE(SUBSTITUTE(SUBSTITUTE($A1939,"-",""),"(",""),")",""),".",""),"+","")," ","")))</f>
      </c>
    </row>
    <row r="1940" spans="1:7" x14ac:dyDescent="0.3">
      <c r="A1940" s="11"/>
      <c r="B1940" s="38">
        <f>IF($A1940="","",IFERROR(IF(INDEX(Pledges!$D$5:$D$2500,MATCH($G1940,Pledges!$K$5:$K$2500,0))="","⚠ no amount on Pledges",IF(INDEX(Pledges!$B$5:$B$2500,MATCH($G1940,Pledges!$K$5:$K$2500,0))="","",INDEX(Pledges!$B$5:$B$2500,MATCH($G1940,Pledges!$K$5:$K$2500,0)))),"⚠ phone not in Pledges"))</f>
      </c>
      <c r="C1940" s="12"/>
      <c r="D1940" s="13"/>
      <c r="E1940" s="22"/>
      <c r="F1940" s="23"/>
      <c r="G1940">
        <f>IF($A1940="","","#"&amp;TRIM(SUBSTITUTE(SUBSTITUTE(SUBSTITUTE(SUBSTITUTE(SUBSTITUTE(SUBSTITUTE($A1940,"-",""),"(",""),")",""),".",""),"+","")," ","")))</f>
      </c>
    </row>
    <row r="1941" spans="1:7" x14ac:dyDescent="0.3">
      <c r="A1941" s="11"/>
      <c r="B1941" s="38">
        <f>IF($A1941="","",IFERROR(IF(INDEX(Pledges!$D$5:$D$2500,MATCH($G1941,Pledges!$K$5:$K$2500,0))="","⚠ no amount on Pledges",IF(INDEX(Pledges!$B$5:$B$2500,MATCH($G1941,Pledges!$K$5:$K$2500,0))="","",INDEX(Pledges!$B$5:$B$2500,MATCH($G1941,Pledges!$K$5:$K$2500,0)))),"⚠ phone not in Pledges"))</f>
      </c>
      <c r="C1941" s="12"/>
      <c r="D1941" s="13"/>
      <c r="E1941" s="22"/>
      <c r="F1941" s="23"/>
      <c r="G1941">
        <f>IF($A1941="","","#"&amp;TRIM(SUBSTITUTE(SUBSTITUTE(SUBSTITUTE(SUBSTITUTE(SUBSTITUTE(SUBSTITUTE($A1941,"-",""),"(",""),")",""),".",""),"+","")," ","")))</f>
      </c>
    </row>
    <row r="1942" spans="1:7" x14ac:dyDescent="0.3">
      <c r="A1942" s="11"/>
      <c r="B1942" s="38">
        <f>IF($A1942="","",IFERROR(IF(INDEX(Pledges!$D$5:$D$2500,MATCH($G1942,Pledges!$K$5:$K$2500,0))="","⚠ no amount on Pledges",IF(INDEX(Pledges!$B$5:$B$2500,MATCH($G1942,Pledges!$K$5:$K$2500,0))="","",INDEX(Pledges!$B$5:$B$2500,MATCH($G1942,Pledges!$K$5:$K$2500,0)))),"⚠ phone not in Pledges"))</f>
      </c>
      <c r="C1942" s="12"/>
      <c r="D1942" s="13"/>
      <c r="E1942" s="22"/>
      <c r="F1942" s="23"/>
      <c r="G1942">
        <f>IF($A1942="","","#"&amp;TRIM(SUBSTITUTE(SUBSTITUTE(SUBSTITUTE(SUBSTITUTE(SUBSTITUTE(SUBSTITUTE($A1942,"-",""),"(",""),")",""),".",""),"+","")," ","")))</f>
      </c>
    </row>
    <row r="1943" spans="1:7" x14ac:dyDescent="0.3">
      <c r="A1943" s="11"/>
      <c r="B1943" s="38">
        <f>IF($A1943="","",IFERROR(IF(INDEX(Pledges!$D$5:$D$2500,MATCH($G1943,Pledges!$K$5:$K$2500,0))="","⚠ no amount on Pledges",IF(INDEX(Pledges!$B$5:$B$2500,MATCH($G1943,Pledges!$K$5:$K$2500,0))="","",INDEX(Pledges!$B$5:$B$2500,MATCH($G1943,Pledges!$K$5:$K$2500,0)))),"⚠ phone not in Pledges"))</f>
      </c>
      <c r="C1943" s="12"/>
      <c r="D1943" s="13"/>
      <c r="E1943" s="22"/>
      <c r="F1943" s="23"/>
      <c r="G1943">
        <f>IF($A1943="","","#"&amp;TRIM(SUBSTITUTE(SUBSTITUTE(SUBSTITUTE(SUBSTITUTE(SUBSTITUTE(SUBSTITUTE($A1943,"-",""),"(",""),")",""),".",""),"+","")," ","")))</f>
      </c>
    </row>
    <row r="1944" spans="1:7" x14ac:dyDescent="0.3">
      <c r="A1944" s="11"/>
      <c r="B1944" s="38">
        <f>IF($A1944="","",IFERROR(IF(INDEX(Pledges!$D$5:$D$2500,MATCH($G1944,Pledges!$K$5:$K$2500,0))="","⚠ no amount on Pledges",IF(INDEX(Pledges!$B$5:$B$2500,MATCH($G1944,Pledges!$K$5:$K$2500,0))="","",INDEX(Pledges!$B$5:$B$2500,MATCH($G1944,Pledges!$K$5:$K$2500,0)))),"⚠ phone not in Pledges"))</f>
      </c>
      <c r="C1944" s="12"/>
      <c r="D1944" s="13"/>
      <c r="E1944" s="22"/>
      <c r="F1944" s="23"/>
      <c r="G1944">
        <f>IF($A1944="","","#"&amp;TRIM(SUBSTITUTE(SUBSTITUTE(SUBSTITUTE(SUBSTITUTE(SUBSTITUTE(SUBSTITUTE($A1944,"-",""),"(",""),")",""),".",""),"+","")," ","")))</f>
      </c>
    </row>
    <row r="1945" spans="1:7" x14ac:dyDescent="0.3">
      <c r="A1945" s="11"/>
      <c r="B1945" s="38">
        <f>IF($A1945="","",IFERROR(IF(INDEX(Pledges!$D$5:$D$2500,MATCH($G1945,Pledges!$K$5:$K$2500,0))="","⚠ no amount on Pledges",IF(INDEX(Pledges!$B$5:$B$2500,MATCH($G1945,Pledges!$K$5:$K$2500,0))="","",INDEX(Pledges!$B$5:$B$2500,MATCH($G1945,Pledges!$K$5:$K$2500,0)))),"⚠ phone not in Pledges"))</f>
      </c>
      <c r="C1945" s="12"/>
      <c r="D1945" s="13"/>
      <c r="E1945" s="22"/>
      <c r="F1945" s="23"/>
      <c r="G1945">
        <f>IF($A1945="","","#"&amp;TRIM(SUBSTITUTE(SUBSTITUTE(SUBSTITUTE(SUBSTITUTE(SUBSTITUTE(SUBSTITUTE($A1945,"-",""),"(",""),")",""),".",""),"+","")," ","")))</f>
      </c>
    </row>
    <row r="1946" spans="1:7" x14ac:dyDescent="0.3">
      <c r="A1946" s="11"/>
      <c r="B1946" s="38">
        <f>IF($A1946="","",IFERROR(IF(INDEX(Pledges!$D$5:$D$2500,MATCH($G1946,Pledges!$K$5:$K$2500,0))="","⚠ no amount on Pledges",IF(INDEX(Pledges!$B$5:$B$2500,MATCH($G1946,Pledges!$K$5:$K$2500,0))="","",INDEX(Pledges!$B$5:$B$2500,MATCH($G1946,Pledges!$K$5:$K$2500,0)))),"⚠ phone not in Pledges"))</f>
      </c>
      <c r="C1946" s="12"/>
      <c r="D1946" s="13"/>
      <c r="E1946" s="22"/>
      <c r="F1946" s="23"/>
      <c r="G1946">
        <f>IF($A1946="","","#"&amp;TRIM(SUBSTITUTE(SUBSTITUTE(SUBSTITUTE(SUBSTITUTE(SUBSTITUTE(SUBSTITUTE($A1946,"-",""),"(",""),")",""),".",""),"+","")," ","")))</f>
      </c>
    </row>
    <row r="1947" spans="1:7" x14ac:dyDescent="0.3">
      <c r="A1947" s="11"/>
      <c r="B1947" s="38">
        <f>IF($A1947="","",IFERROR(IF(INDEX(Pledges!$D$5:$D$2500,MATCH($G1947,Pledges!$K$5:$K$2500,0))="","⚠ no amount on Pledges",IF(INDEX(Pledges!$B$5:$B$2500,MATCH($G1947,Pledges!$K$5:$K$2500,0))="","",INDEX(Pledges!$B$5:$B$2500,MATCH($G1947,Pledges!$K$5:$K$2500,0)))),"⚠ phone not in Pledges"))</f>
      </c>
      <c r="C1947" s="12"/>
      <c r="D1947" s="13"/>
      <c r="E1947" s="22"/>
      <c r="F1947" s="23"/>
      <c r="G1947">
        <f>IF($A1947="","","#"&amp;TRIM(SUBSTITUTE(SUBSTITUTE(SUBSTITUTE(SUBSTITUTE(SUBSTITUTE(SUBSTITUTE($A1947,"-",""),"(",""),")",""),".",""),"+","")," ","")))</f>
      </c>
    </row>
    <row r="1948" spans="1:7" x14ac:dyDescent="0.3">
      <c r="A1948" s="11"/>
      <c r="B1948" s="38">
        <f>IF($A1948="","",IFERROR(IF(INDEX(Pledges!$D$5:$D$2500,MATCH($G1948,Pledges!$K$5:$K$2500,0))="","⚠ no amount on Pledges",IF(INDEX(Pledges!$B$5:$B$2500,MATCH($G1948,Pledges!$K$5:$K$2500,0))="","",INDEX(Pledges!$B$5:$B$2500,MATCH($G1948,Pledges!$K$5:$K$2500,0)))),"⚠ phone not in Pledges"))</f>
      </c>
      <c r="C1948" s="12"/>
      <c r="D1948" s="13"/>
      <c r="E1948" s="22"/>
      <c r="F1948" s="23"/>
      <c r="G1948">
        <f>IF($A1948="","","#"&amp;TRIM(SUBSTITUTE(SUBSTITUTE(SUBSTITUTE(SUBSTITUTE(SUBSTITUTE(SUBSTITUTE($A1948,"-",""),"(",""),")",""),".",""),"+","")," ","")))</f>
      </c>
    </row>
    <row r="1949" spans="1:7" x14ac:dyDescent="0.3">
      <c r="A1949" s="11"/>
      <c r="B1949" s="38">
        <f>IF($A1949="","",IFERROR(IF(INDEX(Pledges!$D$5:$D$2500,MATCH($G1949,Pledges!$K$5:$K$2500,0))="","⚠ no amount on Pledges",IF(INDEX(Pledges!$B$5:$B$2500,MATCH($G1949,Pledges!$K$5:$K$2500,0))="","",INDEX(Pledges!$B$5:$B$2500,MATCH($G1949,Pledges!$K$5:$K$2500,0)))),"⚠ phone not in Pledges"))</f>
      </c>
      <c r="C1949" s="12"/>
      <c r="D1949" s="13"/>
      <c r="E1949" s="22"/>
      <c r="F1949" s="23"/>
      <c r="G1949">
        <f>IF($A1949="","","#"&amp;TRIM(SUBSTITUTE(SUBSTITUTE(SUBSTITUTE(SUBSTITUTE(SUBSTITUTE(SUBSTITUTE($A1949,"-",""),"(",""),")",""),".",""),"+","")," ","")))</f>
      </c>
    </row>
    <row r="1950" spans="1:7" x14ac:dyDescent="0.3">
      <c r="A1950" s="11"/>
      <c r="B1950" s="38">
        <f>IF($A1950="","",IFERROR(IF(INDEX(Pledges!$D$5:$D$2500,MATCH($G1950,Pledges!$K$5:$K$2500,0))="","⚠ no amount on Pledges",IF(INDEX(Pledges!$B$5:$B$2500,MATCH($G1950,Pledges!$K$5:$K$2500,0))="","",INDEX(Pledges!$B$5:$B$2500,MATCH($G1950,Pledges!$K$5:$K$2500,0)))),"⚠ phone not in Pledges"))</f>
      </c>
      <c r="C1950" s="12"/>
      <c r="D1950" s="13"/>
      <c r="E1950" s="22"/>
      <c r="F1950" s="23"/>
      <c r="G1950">
        <f>IF($A1950="","","#"&amp;TRIM(SUBSTITUTE(SUBSTITUTE(SUBSTITUTE(SUBSTITUTE(SUBSTITUTE(SUBSTITUTE($A1950,"-",""),"(",""),")",""),".",""),"+","")," ","")))</f>
      </c>
    </row>
    <row r="1951" spans="1:7" x14ac:dyDescent="0.3">
      <c r="A1951" s="11"/>
      <c r="B1951" s="38">
        <f>IF($A1951="","",IFERROR(IF(INDEX(Pledges!$D$5:$D$2500,MATCH($G1951,Pledges!$K$5:$K$2500,0))="","⚠ no amount on Pledges",IF(INDEX(Pledges!$B$5:$B$2500,MATCH($G1951,Pledges!$K$5:$K$2500,0))="","",INDEX(Pledges!$B$5:$B$2500,MATCH($G1951,Pledges!$K$5:$K$2500,0)))),"⚠ phone not in Pledges"))</f>
      </c>
      <c r="C1951" s="12"/>
      <c r="D1951" s="13"/>
      <c r="E1951" s="22"/>
      <c r="F1951" s="23"/>
      <c r="G1951">
        <f>IF($A1951="","","#"&amp;TRIM(SUBSTITUTE(SUBSTITUTE(SUBSTITUTE(SUBSTITUTE(SUBSTITUTE(SUBSTITUTE($A1951,"-",""),"(",""),")",""),".",""),"+","")," ","")))</f>
      </c>
    </row>
    <row r="1952" spans="1:7" x14ac:dyDescent="0.3">
      <c r="A1952" s="11"/>
      <c r="B1952" s="38">
        <f>IF($A1952="","",IFERROR(IF(INDEX(Pledges!$D$5:$D$2500,MATCH($G1952,Pledges!$K$5:$K$2500,0))="","⚠ no amount on Pledges",IF(INDEX(Pledges!$B$5:$B$2500,MATCH($G1952,Pledges!$K$5:$K$2500,0))="","",INDEX(Pledges!$B$5:$B$2500,MATCH($G1952,Pledges!$K$5:$K$2500,0)))),"⚠ phone not in Pledges"))</f>
      </c>
      <c r="C1952" s="12"/>
      <c r="D1952" s="13"/>
      <c r="E1952" s="22"/>
      <c r="F1952" s="23"/>
      <c r="G1952">
        <f>IF($A1952="","","#"&amp;TRIM(SUBSTITUTE(SUBSTITUTE(SUBSTITUTE(SUBSTITUTE(SUBSTITUTE(SUBSTITUTE($A1952,"-",""),"(",""),")",""),".",""),"+","")," ","")))</f>
      </c>
    </row>
    <row r="1953" spans="1:7" x14ac:dyDescent="0.3">
      <c r="A1953" s="11"/>
      <c r="B1953" s="38">
        <f>IF($A1953="","",IFERROR(IF(INDEX(Pledges!$D$5:$D$2500,MATCH($G1953,Pledges!$K$5:$K$2500,0))="","⚠ no amount on Pledges",IF(INDEX(Pledges!$B$5:$B$2500,MATCH($G1953,Pledges!$K$5:$K$2500,0))="","",INDEX(Pledges!$B$5:$B$2500,MATCH($G1953,Pledges!$K$5:$K$2500,0)))),"⚠ phone not in Pledges"))</f>
      </c>
      <c r="C1953" s="12"/>
      <c r="D1953" s="13"/>
      <c r="E1953" s="22"/>
      <c r="F1953" s="23"/>
      <c r="G1953">
        <f>IF($A1953="","","#"&amp;TRIM(SUBSTITUTE(SUBSTITUTE(SUBSTITUTE(SUBSTITUTE(SUBSTITUTE(SUBSTITUTE($A1953,"-",""),"(",""),")",""),".",""),"+","")," ","")))</f>
      </c>
    </row>
    <row r="1954" spans="1:7" x14ac:dyDescent="0.3">
      <c r="A1954" s="11"/>
      <c r="B1954" s="38">
        <f>IF($A1954="","",IFERROR(IF(INDEX(Pledges!$D$5:$D$2500,MATCH($G1954,Pledges!$K$5:$K$2500,0))="","⚠ no amount on Pledges",IF(INDEX(Pledges!$B$5:$B$2500,MATCH($G1954,Pledges!$K$5:$K$2500,0))="","",INDEX(Pledges!$B$5:$B$2500,MATCH($G1954,Pledges!$K$5:$K$2500,0)))),"⚠ phone not in Pledges"))</f>
      </c>
      <c r="C1954" s="12"/>
      <c r="D1954" s="13"/>
      <c r="E1954" s="22"/>
      <c r="F1954" s="23"/>
      <c r="G1954">
        <f>IF($A1954="","","#"&amp;TRIM(SUBSTITUTE(SUBSTITUTE(SUBSTITUTE(SUBSTITUTE(SUBSTITUTE(SUBSTITUTE($A1954,"-",""),"(",""),")",""),".",""),"+","")," ","")))</f>
      </c>
    </row>
    <row r="1955" spans="1:7" x14ac:dyDescent="0.3">
      <c r="A1955" s="11"/>
      <c r="B1955" s="38">
        <f>IF($A1955="","",IFERROR(IF(INDEX(Pledges!$D$5:$D$2500,MATCH($G1955,Pledges!$K$5:$K$2500,0))="","⚠ no amount on Pledges",IF(INDEX(Pledges!$B$5:$B$2500,MATCH($G1955,Pledges!$K$5:$K$2500,0))="","",INDEX(Pledges!$B$5:$B$2500,MATCH($G1955,Pledges!$K$5:$K$2500,0)))),"⚠ phone not in Pledges"))</f>
      </c>
      <c r="C1955" s="12"/>
      <c r="D1955" s="13"/>
      <c r="E1955" s="22"/>
      <c r="F1955" s="23"/>
      <c r="G1955">
        <f>IF($A1955="","","#"&amp;TRIM(SUBSTITUTE(SUBSTITUTE(SUBSTITUTE(SUBSTITUTE(SUBSTITUTE(SUBSTITUTE($A1955,"-",""),"(",""),")",""),".",""),"+","")," ","")))</f>
      </c>
    </row>
    <row r="1956" spans="1:7" x14ac:dyDescent="0.3">
      <c r="A1956" s="11"/>
      <c r="B1956" s="38">
        <f>IF($A1956="","",IFERROR(IF(INDEX(Pledges!$D$5:$D$2500,MATCH($G1956,Pledges!$K$5:$K$2500,0))="","⚠ no amount on Pledges",IF(INDEX(Pledges!$B$5:$B$2500,MATCH($G1956,Pledges!$K$5:$K$2500,0))="","",INDEX(Pledges!$B$5:$B$2500,MATCH($G1956,Pledges!$K$5:$K$2500,0)))),"⚠ phone not in Pledges"))</f>
      </c>
      <c r="C1956" s="12"/>
      <c r="D1956" s="13"/>
      <c r="E1956" s="22"/>
      <c r="F1956" s="23"/>
      <c r="G1956">
        <f>IF($A1956="","","#"&amp;TRIM(SUBSTITUTE(SUBSTITUTE(SUBSTITUTE(SUBSTITUTE(SUBSTITUTE(SUBSTITUTE($A1956,"-",""),"(",""),")",""),".",""),"+","")," ","")))</f>
      </c>
    </row>
    <row r="1957" spans="1:7" x14ac:dyDescent="0.3">
      <c r="A1957" s="11"/>
      <c r="B1957" s="38">
        <f>IF($A1957="","",IFERROR(IF(INDEX(Pledges!$D$5:$D$2500,MATCH($G1957,Pledges!$K$5:$K$2500,0))="","⚠ no amount on Pledges",IF(INDEX(Pledges!$B$5:$B$2500,MATCH($G1957,Pledges!$K$5:$K$2500,0))="","",INDEX(Pledges!$B$5:$B$2500,MATCH($G1957,Pledges!$K$5:$K$2500,0)))),"⚠ phone not in Pledges"))</f>
      </c>
      <c r="C1957" s="12"/>
      <c r="D1957" s="13"/>
      <c r="E1957" s="22"/>
      <c r="F1957" s="23"/>
      <c r="G1957">
        <f>IF($A1957="","","#"&amp;TRIM(SUBSTITUTE(SUBSTITUTE(SUBSTITUTE(SUBSTITUTE(SUBSTITUTE(SUBSTITUTE($A1957,"-",""),"(",""),")",""),".",""),"+","")," ","")))</f>
      </c>
    </row>
    <row r="1958" spans="1:7" x14ac:dyDescent="0.3">
      <c r="A1958" s="11"/>
      <c r="B1958" s="38">
        <f>IF($A1958="","",IFERROR(IF(INDEX(Pledges!$D$5:$D$2500,MATCH($G1958,Pledges!$K$5:$K$2500,0))="","⚠ no amount on Pledges",IF(INDEX(Pledges!$B$5:$B$2500,MATCH($G1958,Pledges!$K$5:$K$2500,0))="","",INDEX(Pledges!$B$5:$B$2500,MATCH($G1958,Pledges!$K$5:$K$2500,0)))),"⚠ phone not in Pledges"))</f>
      </c>
      <c r="C1958" s="12"/>
      <c r="D1958" s="13"/>
      <c r="E1958" s="22"/>
      <c r="F1958" s="23"/>
      <c r="G1958">
        <f>IF($A1958="","","#"&amp;TRIM(SUBSTITUTE(SUBSTITUTE(SUBSTITUTE(SUBSTITUTE(SUBSTITUTE(SUBSTITUTE($A1958,"-",""),"(",""),")",""),".",""),"+","")," ","")))</f>
      </c>
    </row>
    <row r="1959" spans="1:7" x14ac:dyDescent="0.3">
      <c r="A1959" s="11"/>
      <c r="B1959" s="38">
        <f>IF($A1959="","",IFERROR(IF(INDEX(Pledges!$D$5:$D$2500,MATCH($G1959,Pledges!$K$5:$K$2500,0))="","⚠ no amount on Pledges",IF(INDEX(Pledges!$B$5:$B$2500,MATCH($G1959,Pledges!$K$5:$K$2500,0))="","",INDEX(Pledges!$B$5:$B$2500,MATCH($G1959,Pledges!$K$5:$K$2500,0)))),"⚠ phone not in Pledges"))</f>
      </c>
      <c r="C1959" s="12"/>
      <c r="D1959" s="13"/>
      <c r="E1959" s="22"/>
      <c r="F1959" s="23"/>
      <c r="G1959">
        <f>IF($A1959="","","#"&amp;TRIM(SUBSTITUTE(SUBSTITUTE(SUBSTITUTE(SUBSTITUTE(SUBSTITUTE(SUBSTITUTE($A1959,"-",""),"(",""),")",""),".",""),"+","")," ","")))</f>
      </c>
    </row>
    <row r="1960" spans="1:7" x14ac:dyDescent="0.3">
      <c r="A1960" s="11"/>
      <c r="B1960" s="38">
        <f>IF($A1960="","",IFERROR(IF(INDEX(Pledges!$D$5:$D$2500,MATCH($G1960,Pledges!$K$5:$K$2500,0))="","⚠ no amount on Pledges",IF(INDEX(Pledges!$B$5:$B$2500,MATCH($G1960,Pledges!$K$5:$K$2500,0))="","",INDEX(Pledges!$B$5:$B$2500,MATCH($G1960,Pledges!$K$5:$K$2500,0)))),"⚠ phone not in Pledges"))</f>
      </c>
      <c r="C1960" s="12"/>
      <c r="D1960" s="13"/>
      <c r="E1960" s="22"/>
      <c r="F1960" s="23"/>
      <c r="G1960">
        <f>IF($A1960="","","#"&amp;TRIM(SUBSTITUTE(SUBSTITUTE(SUBSTITUTE(SUBSTITUTE(SUBSTITUTE(SUBSTITUTE($A1960,"-",""),"(",""),")",""),".",""),"+","")," ","")))</f>
      </c>
    </row>
    <row r="1961" spans="1:7" x14ac:dyDescent="0.3">
      <c r="A1961" s="11"/>
      <c r="B1961" s="38">
        <f>IF($A1961="","",IFERROR(IF(INDEX(Pledges!$D$5:$D$2500,MATCH($G1961,Pledges!$K$5:$K$2500,0))="","⚠ no amount on Pledges",IF(INDEX(Pledges!$B$5:$B$2500,MATCH($G1961,Pledges!$K$5:$K$2500,0))="","",INDEX(Pledges!$B$5:$B$2500,MATCH($G1961,Pledges!$K$5:$K$2500,0)))),"⚠ phone not in Pledges"))</f>
      </c>
      <c r="C1961" s="12"/>
      <c r="D1961" s="13"/>
      <c r="E1961" s="22"/>
      <c r="F1961" s="23"/>
      <c r="G1961">
        <f>IF($A1961="","","#"&amp;TRIM(SUBSTITUTE(SUBSTITUTE(SUBSTITUTE(SUBSTITUTE(SUBSTITUTE(SUBSTITUTE($A1961,"-",""),"(",""),")",""),".",""),"+","")," ","")))</f>
      </c>
    </row>
    <row r="1962" spans="1:7" x14ac:dyDescent="0.3">
      <c r="A1962" s="11"/>
      <c r="B1962" s="38">
        <f>IF($A1962="","",IFERROR(IF(INDEX(Pledges!$D$5:$D$2500,MATCH($G1962,Pledges!$K$5:$K$2500,0))="","⚠ no amount on Pledges",IF(INDEX(Pledges!$B$5:$B$2500,MATCH($G1962,Pledges!$K$5:$K$2500,0))="","",INDEX(Pledges!$B$5:$B$2500,MATCH($G1962,Pledges!$K$5:$K$2500,0)))),"⚠ phone not in Pledges"))</f>
      </c>
      <c r="C1962" s="12"/>
      <c r="D1962" s="13"/>
      <c r="E1962" s="22"/>
      <c r="F1962" s="23"/>
      <c r="G1962">
        <f>IF($A1962="","","#"&amp;TRIM(SUBSTITUTE(SUBSTITUTE(SUBSTITUTE(SUBSTITUTE(SUBSTITUTE(SUBSTITUTE($A1962,"-",""),"(",""),")",""),".",""),"+","")," ","")))</f>
      </c>
    </row>
    <row r="1963" spans="1:7" x14ac:dyDescent="0.3">
      <c r="A1963" s="11"/>
      <c r="B1963" s="38">
        <f>IF($A1963="","",IFERROR(IF(INDEX(Pledges!$D$5:$D$2500,MATCH($G1963,Pledges!$K$5:$K$2500,0))="","⚠ no amount on Pledges",IF(INDEX(Pledges!$B$5:$B$2500,MATCH($G1963,Pledges!$K$5:$K$2500,0))="","",INDEX(Pledges!$B$5:$B$2500,MATCH($G1963,Pledges!$K$5:$K$2500,0)))),"⚠ phone not in Pledges"))</f>
      </c>
      <c r="C1963" s="12"/>
      <c r="D1963" s="13"/>
      <c r="E1963" s="22"/>
      <c r="F1963" s="23"/>
      <c r="G1963">
        <f>IF($A1963="","","#"&amp;TRIM(SUBSTITUTE(SUBSTITUTE(SUBSTITUTE(SUBSTITUTE(SUBSTITUTE(SUBSTITUTE($A1963,"-",""),"(",""),")",""),".",""),"+","")," ","")))</f>
      </c>
    </row>
    <row r="1964" spans="1:7" x14ac:dyDescent="0.3">
      <c r="A1964" s="11"/>
      <c r="B1964" s="38">
        <f>IF($A1964="","",IFERROR(IF(INDEX(Pledges!$D$5:$D$2500,MATCH($G1964,Pledges!$K$5:$K$2500,0))="","⚠ no amount on Pledges",IF(INDEX(Pledges!$B$5:$B$2500,MATCH($G1964,Pledges!$K$5:$K$2500,0))="","",INDEX(Pledges!$B$5:$B$2500,MATCH($G1964,Pledges!$K$5:$K$2500,0)))),"⚠ phone not in Pledges"))</f>
      </c>
      <c r="C1964" s="12"/>
      <c r="D1964" s="13"/>
      <c r="E1964" s="22"/>
      <c r="F1964" s="23"/>
      <c r="G1964">
        <f>IF($A1964="","","#"&amp;TRIM(SUBSTITUTE(SUBSTITUTE(SUBSTITUTE(SUBSTITUTE(SUBSTITUTE(SUBSTITUTE($A1964,"-",""),"(",""),")",""),".",""),"+","")," ","")))</f>
      </c>
    </row>
    <row r="1965" spans="1:7" x14ac:dyDescent="0.3">
      <c r="A1965" s="11"/>
      <c r="B1965" s="38">
        <f>IF($A1965="","",IFERROR(IF(INDEX(Pledges!$D$5:$D$2500,MATCH($G1965,Pledges!$K$5:$K$2500,0))="","⚠ no amount on Pledges",IF(INDEX(Pledges!$B$5:$B$2500,MATCH($G1965,Pledges!$K$5:$K$2500,0))="","",INDEX(Pledges!$B$5:$B$2500,MATCH($G1965,Pledges!$K$5:$K$2500,0)))),"⚠ phone not in Pledges"))</f>
      </c>
      <c r="C1965" s="12"/>
      <c r="D1965" s="13"/>
      <c r="E1965" s="22"/>
      <c r="F1965" s="23"/>
      <c r="G1965">
        <f>IF($A1965="","","#"&amp;TRIM(SUBSTITUTE(SUBSTITUTE(SUBSTITUTE(SUBSTITUTE(SUBSTITUTE(SUBSTITUTE($A1965,"-",""),"(",""),")",""),".",""),"+","")," ","")))</f>
      </c>
    </row>
    <row r="1966" spans="1:7" x14ac:dyDescent="0.3">
      <c r="A1966" s="11"/>
      <c r="B1966" s="38">
        <f>IF($A1966="","",IFERROR(IF(INDEX(Pledges!$D$5:$D$2500,MATCH($G1966,Pledges!$K$5:$K$2500,0))="","⚠ no amount on Pledges",IF(INDEX(Pledges!$B$5:$B$2500,MATCH($G1966,Pledges!$K$5:$K$2500,0))="","",INDEX(Pledges!$B$5:$B$2500,MATCH($G1966,Pledges!$K$5:$K$2500,0)))),"⚠ phone not in Pledges"))</f>
      </c>
      <c r="C1966" s="12"/>
      <c r="D1966" s="13"/>
      <c r="E1966" s="22"/>
      <c r="F1966" s="23"/>
      <c r="G1966">
        <f>IF($A1966="","","#"&amp;TRIM(SUBSTITUTE(SUBSTITUTE(SUBSTITUTE(SUBSTITUTE(SUBSTITUTE(SUBSTITUTE($A1966,"-",""),"(",""),")",""),".",""),"+","")," ","")))</f>
      </c>
    </row>
    <row r="1967" spans="1:7" x14ac:dyDescent="0.3">
      <c r="A1967" s="11"/>
      <c r="B1967" s="38">
        <f>IF($A1967="","",IFERROR(IF(INDEX(Pledges!$D$5:$D$2500,MATCH($G1967,Pledges!$K$5:$K$2500,0))="","⚠ no amount on Pledges",IF(INDEX(Pledges!$B$5:$B$2500,MATCH($G1967,Pledges!$K$5:$K$2500,0))="","",INDEX(Pledges!$B$5:$B$2500,MATCH($G1967,Pledges!$K$5:$K$2500,0)))),"⚠ phone not in Pledges"))</f>
      </c>
      <c r="C1967" s="12"/>
      <c r="D1967" s="13"/>
      <c r="E1967" s="22"/>
      <c r="F1967" s="23"/>
      <c r="G1967">
        <f>IF($A1967="","","#"&amp;TRIM(SUBSTITUTE(SUBSTITUTE(SUBSTITUTE(SUBSTITUTE(SUBSTITUTE(SUBSTITUTE($A1967,"-",""),"(",""),")",""),".",""),"+","")," ","")))</f>
      </c>
    </row>
    <row r="1968" spans="1:7" x14ac:dyDescent="0.3">
      <c r="A1968" s="11"/>
      <c r="B1968" s="38">
        <f>IF($A1968="","",IFERROR(IF(INDEX(Pledges!$D$5:$D$2500,MATCH($G1968,Pledges!$K$5:$K$2500,0))="","⚠ no amount on Pledges",IF(INDEX(Pledges!$B$5:$B$2500,MATCH($G1968,Pledges!$K$5:$K$2500,0))="","",INDEX(Pledges!$B$5:$B$2500,MATCH($G1968,Pledges!$K$5:$K$2500,0)))),"⚠ phone not in Pledges"))</f>
      </c>
      <c r="C1968" s="12"/>
      <c r="D1968" s="13"/>
      <c r="E1968" s="22"/>
      <c r="F1968" s="23"/>
      <c r="G1968">
        <f>IF($A1968="","","#"&amp;TRIM(SUBSTITUTE(SUBSTITUTE(SUBSTITUTE(SUBSTITUTE(SUBSTITUTE(SUBSTITUTE($A1968,"-",""),"(",""),")",""),".",""),"+","")," ","")))</f>
      </c>
    </row>
    <row r="1969" spans="1:7" x14ac:dyDescent="0.3">
      <c r="A1969" s="11"/>
      <c r="B1969" s="38">
        <f>IF($A1969="","",IFERROR(IF(INDEX(Pledges!$D$5:$D$2500,MATCH($G1969,Pledges!$K$5:$K$2500,0))="","⚠ no amount on Pledges",IF(INDEX(Pledges!$B$5:$B$2500,MATCH($G1969,Pledges!$K$5:$K$2500,0))="","",INDEX(Pledges!$B$5:$B$2500,MATCH($G1969,Pledges!$K$5:$K$2500,0)))),"⚠ phone not in Pledges"))</f>
      </c>
      <c r="C1969" s="12"/>
      <c r="D1969" s="13"/>
      <c r="E1969" s="22"/>
      <c r="F1969" s="23"/>
      <c r="G1969">
        <f>IF($A1969="","","#"&amp;TRIM(SUBSTITUTE(SUBSTITUTE(SUBSTITUTE(SUBSTITUTE(SUBSTITUTE(SUBSTITUTE($A1969,"-",""),"(",""),")",""),".",""),"+","")," ","")))</f>
      </c>
    </row>
    <row r="1970" spans="1:7" x14ac:dyDescent="0.3">
      <c r="A1970" s="11"/>
      <c r="B1970" s="38">
        <f>IF($A1970="","",IFERROR(IF(INDEX(Pledges!$D$5:$D$2500,MATCH($G1970,Pledges!$K$5:$K$2500,0))="","⚠ no amount on Pledges",IF(INDEX(Pledges!$B$5:$B$2500,MATCH($G1970,Pledges!$K$5:$K$2500,0))="","",INDEX(Pledges!$B$5:$B$2500,MATCH($G1970,Pledges!$K$5:$K$2500,0)))),"⚠ phone not in Pledges"))</f>
      </c>
      <c r="C1970" s="12"/>
      <c r="D1970" s="13"/>
      <c r="E1970" s="22"/>
      <c r="F1970" s="23"/>
      <c r="G1970">
        <f>IF($A1970="","","#"&amp;TRIM(SUBSTITUTE(SUBSTITUTE(SUBSTITUTE(SUBSTITUTE(SUBSTITUTE(SUBSTITUTE($A1970,"-",""),"(",""),")",""),".",""),"+","")," ","")))</f>
      </c>
    </row>
    <row r="1971" spans="1:7" x14ac:dyDescent="0.3">
      <c r="A1971" s="11"/>
      <c r="B1971" s="38">
        <f>IF($A1971="","",IFERROR(IF(INDEX(Pledges!$D$5:$D$2500,MATCH($G1971,Pledges!$K$5:$K$2500,0))="","⚠ no amount on Pledges",IF(INDEX(Pledges!$B$5:$B$2500,MATCH($G1971,Pledges!$K$5:$K$2500,0))="","",INDEX(Pledges!$B$5:$B$2500,MATCH($G1971,Pledges!$K$5:$K$2500,0)))),"⚠ phone not in Pledges"))</f>
      </c>
      <c r="C1971" s="12"/>
      <c r="D1971" s="13"/>
      <c r="E1971" s="22"/>
      <c r="F1971" s="23"/>
      <c r="G1971">
        <f>IF($A1971="","","#"&amp;TRIM(SUBSTITUTE(SUBSTITUTE(SUBSTITUTE(SUBSTITUTE(SUBSTITUTE(SUBSTITUTE($A1971,"-",""),"(",""),")",""),".",""),"+","")," ","")))</f>
      </c>
    </row>
    <row r="1972" spans="1:7" x14ac:dyDescent="0.3">
      <c r="A1972" s="11"/>
      <c r="B1972" s="38">
        <f>IF($A1972="","",IFERROR(IF(INDEX(Pledges!$D$5:$D$2500,MATCH($G1972,Pledges!$K$5:$K$2500,0))="","⚠ no amount on Pledges",IF(INDEX(Pledges!$B$5:$B$2500,MATCH($G1972,Pledges!$K$5:$K$2500,0))="","",INDEX(Pledges!$B$5:$B$2500,MATCH($G1972,Pledges!$K$5:$K$2500,0)))),"⚠ phone not in Pledges"))</f>
      </c>
      <c r="C1972" s="12"/>
      <c r="D1972" s="13"/>
      <c r="E1972" s="22"/>
      <c r="F1972" s="23"/>
      <c r="G1972">
        <f>IF($A1972="","","#"&amp;TRIM(SUBSTITUTE(SUBSTITUTE(SUBSTITUTE(SUBSTITUTE(SUBSTITUTE(SUBSTITUTE($A1972,"-",""),"(",""),")",""),".",""),"+","")," ","")))</f>
      </c>
    </row>
    <row r="1973" spans="1:7" x14ac:dyDescent="0.3">
      <c r="A1973" s="11"/>
      <c r="B1973" s="38">
        <f>IF($A1973="","",IFERROR(IF(INDEX(Pledges!$D$5:$D$2500,MATCH($G1973,Pledges!$K$5:$K$2500,0))="","⚠ no amount on Pledges",IF(INDEX(Pledges!$B$5:$B$2500,MATCH($G1973,Pledges!$K$5:$K$2500,0))="","",INDEX(Pledges!$B$5:$B$2500,MATCH($G1973,Pledges!$K$5:$K$2500,0)))),"⚠ phone not in Pledges"))</f>
      </c>
      <c r="C1973" s="12"/>
      <c r="D1973" s="13"/>
      <c r="E1973" s="22"/>
      <c r="F1973" s="23"/>
      <c r="G1973">
        <f>IF($A1973="","","#"&amp;TRIM(SUBSTITUTE(SUBSTITUTE(SUBSTITUTE(SUBSTITUTE(SUBSTITUTE(SUBSTITUTE($A1973,"-",""),"(",""),")",""),".",""),"+","")," ","")))</f>
      </c>
    </row>
    <row r="1974" spans="1:7" x14ac:dyDescent="0.3">
      <c r="A1974" s="11"/>
      <c r="B1974" s="38">
        <f>IF($A1974="","",IFERROR(IF(INDEX(Pledges!$D$5:$D$2500,MATCH($G1974,Pledges!$K$5:$K$2500,0))="","⚠ no amount on Pledges",IF(INDEX(Pledges!$B$5:$B$2500,MATCH($G1974,Pledges!$K$5:$K$2500,0))="","",INDEX(Pledges!$B$5:$B$2500,MATCH($G1974,Pledges!$K$5:$K$2500,0)))),"⚠ phone not in Pledges"))</f>
      </c>
      <c r="C1974" s="12"/>
      <c r="D1974" s="13"/>
      <c r="E1974" s="22"/>
      <c r="F1974" s="23"/>
      <c r="G1974">
        <f>IF($A1974="","","#"&amp;TRIM(SUBSTITUTE(SUBSTITUTE(SUBSTITUTE(SUBSTITUTE(SUBSTITUTE(SUBSTITUTE($A1974,"-",""),"(",""),")",""),".",""),"+","")," ","")))</f>
      </c>
    </row>
    <row r="1975" spans="1:7" x14ac:dyDescent="0.3">
      <c r="A1975" s="11"/>
      <c r="B1975" s="38">
        <f>IF($A1975="","",IFERROR(IF(INDEX(Pledges!$D$5:$D$2500,MATCH($G1975,Pledges!$K$5:$K$2500,0))="","⚠ no amount on Pledges",IF(INDEX(Pledges!$B$5:$B$2500,MATCH($G1975,Pledges!$K$5:$K$2500,0))="","",INDEX(Pledges!$B$5:$B$2500,MATCH($G1975,Pledges!$K$5:$K$2500,0)))),"⚠ phone not in Pledges"))</f>
      </c>
      <c r="C1975" s="12"/>
      <c r="D1975" s="13"/>
      <c r="E1975" s="22"/>
      <c r="F1975" s="23"/>
      <c r="G1975">
        <f>IF($A1975="","","#"&amp;TRIM(SUBSTITUTE(SUBSTITUTE(SUBSTITUTE(SUBSTITUTE(SUBSTITUTE(SUBSTITUTE($A1975,"-",""),"(",""),")",""),".",""),"+","")," ","")))</f>
      </c>
    </row>
    <row r="1976" spans="1:7" x14ac:dyDescent="0.3">
      <c r="A1976" s="11"/>
      <c r="B1976" s="38">
        <f>IF($A1976="","",IFERROR(IF(INDEX(Pledges!$D$5:$D$2500,MATCH($G1976,Pledges!$K$5:$K$2500,0))="","⚠ no amount on Pledges",IF(INDEX(Pledges!$B$5:$B$2500,MATCH($G1976,Pledges!$K$5:$K$2500,0))="","",INDEX(Pledges!$B$5:$B$2500,MATCH($G1976,Pledges!$K$5:$K$2500,0)))),"⚠ phone not in Pledges"))</f>
      </c>
      <c r="C1976" s="12"/>
      <c r="D1976" s="13"/>
      <c r="E1976" s="22"/>
      <c r="F1976" s="23"/>
      <c r="G1976">
        <f>IF($A1976="","","#"&amp;TRIM(SUBSTITUTE(SUBSTITUTE(SUBSTITUTE(SUBSTITUTE(SUBSTITUTE(SUBSTITUTE($A1976,"-",""),"(",""),")",""),".",""),"+","")," ","")))</f>
      </c>
    </row>
    <row r="1977" spans="1:7" x14ac:dyDescent="0.3">
      <c r="A1977" s="11"/>
      <c r="B1977" s="38">
        <f>IF($A1977="","",IFERROR(IF(INDEX(Pledges!$D$5:$D$2500,MATCH($G1977,Pledges!$K$5:$K$2500,0))="","⚠ no amount on Pledges",IF(INDEX(Pledges!$B$5:$B$2500,MATCH($G1977,Pledges!$K$5:$K$2500,0))="","",INDEX(Pledges!$B$5:$B$2500,MATCH($G1977,Pledges!$K$5:$K$2500,0)))),"⚠ phone not in Pledges"))</f>
      </c>
      <c r="C1977" s="12"/>
      <c r="D1977" s="13"/>
      <c r="E1977" s="22"/>
      <c r="F1977" s="23"/>
      <c r="G1977">
        <f>IF($A1977="","","#"&amp;TRIM(SUBSTITUTE(SUBSTITUTE(SUBSTITUTE(SUBSTITUTE(SUBSTITUTE(SUBSTITUTE($A1977,"-",""),"(",""),")",""),".",""),"+","")," ","")))</f>
      </c>
    </row>
    <row r="1978" spans="1:7" x14ac:dyDescent="0.3">
      <c r="A1978" s="11"/>
      <c r="B1978" s="38">
        <f>IF($A1978="","",IFERROR(IF(INDEX(Pledges!$D$5:$D$2500,MATCH($G1978,Pledges!$K$5:$K$2500,0))="","⚠ no amount on Pledges",IF(INDEX(Pledges!$B$5:$B$2500,MATCH($G1978,Pledges!$K$5:$K$2500,0))="","",INDEX(Pledges!$B$5:$B$2500,MATCH($G1978,Pledges!$K$5:$K$2500,0)))),"⚠ phone not in Pledges"))</f>
      </c>
      <c r="C1978" s="12"/>
      <c r="D1978" s="13"/>
      <c r="E1978" s="22"/>
      <c r="F1978" s="23"/>
      <c r="G1978">
        <f>IF($A1978="","","#"&amp;TRIM(SUBSTITUTE(SUBSTITUTE(SUBSTITUTE(SUBSTITUTE(SUBSTITUTE(SUBSTITUTE($A1978,"-",""),"(",""),")",""),".",""),"+","")," ","")))</f>
      </c>
    </row>
    <row r="1979" spans="1:7" x14ac:dyDescent="0.3">
      <c r="A1979" s="11"/>
      <c r="B1979" s="38">
        <f>IF($A1979="","",IFERROR(IF(INDEX(Pledges!$D$5:$D$2500,MATCH($G1979,Pledges!$K$5:$K$2500,0))="","⚠ no amount on Pledges",IF(INDEX(Pledges!$B$5:$B$2500,MATCH($G1979,Pledges!$K$5:$K$2500,0))="","",INDEX(Pledges!$B$5:$B$2500,MATCH($G1979,Pledges!$K$5:$K$2500,0)))),"⚠ phone not in Pledges"))</f>
      </c>
      <c r="C1979" s="12"/>
      <c r="D1979" s="13"/>
      <c r="E1979" s="22"/>
      <c r="F1979" s="23"/>
      <c r="G1979">
        <f>IF($A1979="","","#"&amp;TRIM(SUBSTITUTE(SUBSTITUTE(SUBSTITUTE(SUBSTITUTE(SUBSTITUTE(SUBSTITUTE($A1979,"-",""),"(",""),")",""),".",""),"+","")," ","")))</f>
      </c>
    </row>
    <row r="1980" spans="1:7" x14ac:dyDescent="0.3">
      <c r="A1980" s="11"/>
      <c r="B1980" s="38">
        <f>IF($A1980="","",IFERROR(IF(INDEX(Pledges!$D$5:$D$2500,MATCH($G1980,Pledges!$K$5:$K$2500,0))="","⚠ no amount on Pledges",IF(INDEX(Pledges!$B$5:$B$2500,MATCH($G1980,Pledges!$K$5:$K$2500,0))="","",INDEX(Pledges!$B$5:$B$2500,MATCH($G1980,Pledges!$K$5:$K$2500,0)))),"⚠ phone not in Pledges"))</f>
      </c>
      <c r="C1980" s="12"/>
      <c r="D1980" s="13"/>
      <c r="E1980" s="22"/>
      <c r="F1980" s="23"/>
      <c r="G1980">
        <f>IF($A1980="","","#"&amp;TRIM(SUBSTITUTE(SUBSTITUTE(SUBSTITUTE(SUBSTITUTE(SUBSTITUTE(SUBSTITUTE($A1980,"-",""),"(",""),")",""),".",""),"+","")," ","")))</f>
      </c>
    </row>
    <row r="1981" spans="1:7" x14ac:dyDescent="0.3">
      <c r="A1981" s="11"/>
      <c r="B1981" s="38">
        <f>IF($A1981="","",IFERROR(IF(INDEX(Pledges!$D$5:$D$2500,MATCH($G1981,Pledges!$K$5:$K$2500,0))="","⚠ no amount on Pledges",IF(INDEX(Pledges!$B$5:$B$2500,MATCH($G1981,Pledges!$K$5:$K$2500,0))="","",INDEX(Pledges!$B$5:$B$2500,MATCH($G1981,Pledges!$K$5:$K$2500,0)))),"⚠ phone not in Pledges"))</f>
      </c>
      <c r="C1981" s="12"/>
      <c r="D1981" s="13"/>
      <c r="E1981" s="22"/>
      <c r="F1981" s="23"/>
      <c r="G1981">
        <f>IF($A1981="","","#"&amp;TRIM(SUBSTITUTE(SUBSTITUTE(SUBSTITUTE(SUBSTITUTE(SUBSTITUTE(SUBSTITUTE($A1981,"-",""),"(",""),")",""),".",""),"+","")," ","")))</f>
      </c>
    </row>
    <row r="1982" spans="1:7" x14ac:dyDescent="0.3">
      <c r="A1982" s="11"/>
      <c r="B1982" s="38">
        <f>IF($A1982="","",IFERROR(IF(INDEX(Pledges!$D$5:$D$2500,MATCH($G1982,Pledges!$K$5:$K$2500,0))="","⚠ no amount on Pledges",IF(INDEX(Pledges!$B$5:$B$2500,MATCH($G1982,Pledges!$K$5:$K$2500,0))="","",INDEX(Pledges!$B$5:$B$2500,MATCH($G1982,Pledges!$K$5:$K$2500,0)))),"⚠ phone not in Pledges"))</f>
      </c>
      <c r="C1982" s="12"/>
      <c r="D1982" s="13"/>
      <c r="E1982" s="22"/>
      <c r="F1982" s="23"/>
      <c r="G1982">
        <f>IF($A1982="","","#"&amp;TRIM(SUBSTITUTE(SUBSTITUTE(SUBSTITUTE(SUBSTITUTE(SUBSTITUTE(SUBSTITUTE($A1982,"-",""),"(",""),")",""),".",""),"+","")," ","")))</f>
      </c>
    </row>
    <row r="1983" spans="1:7" x14ac:dyDescent="0.3">
      <c r="A1983" s="11"/>
      <c r="B1983" s="38">
        <f>IF($A1983="","",IFERROR(IF(INDEX(Pledges!$D$5:$D$2500,MATCH($G1983,Pledges!$K$5:$K$2500,0))="","⚠ no amount on Pledges",IF(INDEX(Pledges!$B$5:$B$2500,MATCH($G1983,Pledges!$K$5:$K$2500,0))="","",INDEX(Pledges!$B$5:$B$2500,MATCH($G1983,Pledges!$K$5:$K$2500,0)))),"⚠ phone not in Pledges"))</f>
      </c>
      <c r="C1983" s="12"/>
      <c r="D1983" s="13"/>
      <c r="E1983" s="22"/>
      <c r="F1983" s="23"/>
      <c r="G1983">
        <f>IF($A1983="","","#"&amp;TRIM(SUBSTITUTE(SUBSTITUTE(SUBSTITUTE(SUBSTITUTE(SUBSTITUTE(SUBSTITUTE($A1983,"-",""),"(",""),")",""),".",""),"+","")," ","")))</f>
      </c>
    </row>
    <row r="1984" spans="1:7" x14ac:dyDescent="0.3">
      <c r="A1984" s="11"/>
      <c r="B1984" s="38">
        <f>IF($A1984="","",IFERROR(IF(INDEX(Pledges!$D$5:$D$2500,MATCH($G1984,Pledges!$K$5:$K$2500,0))="","⚠ no amount on Pledges",IF(INDEX(Pledges!$B$5:$B$2500,MATCH($G1984,Pledges!$K$5:$K$2500,0))="","",INDEX(Pledges!$B$5:$B$2500,MATCH($G1984,Pledges!$K$5:$K$2500,0)))),"⚠ phone not in Pledges"))</f>
      </c>
      <c r="C1984" s="12"/>
      <c r="D1984" s="13"/>
      <c r="E1984" s="22"/>
      <c r="F1984" s="23"/>
      <c r="G1984">
        <f>IF($A1984="","","#"&amp;TRIM(SUBSTITUTE(SUBSTITUTE(SUBSTITUTE(SUBSTITUTE(SUBSTITUTE(SUBSTITUTE($A1984,"-",""),"(",""),")",""),".",""),"+","")," ","")))</f>
      </c>
    </row>
    <row r="1985" spans="1:7" x14ac:dyDescent="0.3">
      <c r="A1985" s="11"/>
      <c r="B1985" s="38">
        <f>IF($A1985="","",IFERROR(IF(INDEX(Pledges!$D$5:$D$2500,MATCH($G1985,Pledges!$K$5:$K$2500,0))="","⚠ no amount on Pledges",IF(INDEX(Pledges!$B$5:$B$2500,MATCH($G1985,Pledges!$K$5:$K$2500,0))="","",INDEX(Pledges!$B$5:$B$2500,MATCH($G1985,Pledges!$K$5:$K$2500,0)))),"⚠ phone not in Pledges"))</f>
      </c>
      <c r="C1985" s="12"/>
      <c r="D1985" s="13"/>
      <c r="E1985" s="22"/>
      <c r="F1985" s="23"/>
      <c r="G1985">
        <f>IF($A1985="","","#"&amp;TRIM(SUBSTITUTE(SUBSTITUTE(SUBSTITUTE(SUBSTITUTE(SUBSTITUTE(SUBSTITUTE($A1985,"-",""),"(",""),")",""),".",""),"+","")," ","")))</f>
      </c>
    </row>
    <row r="1986" spans="1:7" x14ac:dyDescent="0.3">
      <c r="A1986" s="11"/>
      <c r="B1986" s="38">
        <f>IF($A1986="","",IFERROR(IF(INDEX(Pledges!$D$5:$D$2500,MATCH($G1986,Pledges!$K$5:$K$2500,0))="","⚠ no amount on Pledges",IF(INDEX(Pledges!$B$5:$B$2500,MATCH($G1986,Pledges!$K$5:$K$2500,0))="","",INDEX(Pledges!$B$5:$B$2500,MATCH($G1986,Pledges!$K$5:$K$2500,0)))),"⚠ phone not in Pledges"))</f>
      </c>
      <c r="C1986" s="12"/>
      <c r="D1986" s="13"/>
      <c r="E1986" s="22"/>
      <c r="F1986" s="23"/>
      <c r="G1986">
        <f>IF($A1986="","","#"&amp;TRIM(SUBSTITUTE(SUBSTITUTE(SUBSTITUTE(SUBSTITUTE(SUBSTITUTE(SUBSTITUTE($A1986,"-",""),"(",""),")",""),".",""),"+","")," ","")))</f>
      </c>
    </row>
    <row r="1987" spans="1:7" x14ac:dyDescent="0.3">
      <c r="A1987" s="11"/>
      <c r="B1987" s="38">
        <f>IF($A1987="","",IFERROR(IF(INDEX(Pledges!$D$5:$D$2500,MATCH($G1987,Pledges!$K$5:$K$2500,0))="","⚠ no amount on Pledges",IF(INDEX(Pledges!$B$5:$B$2500,MATCH($G1987,Pledges!$K$5:$K$2500,0))="","",INDEX(Pledges!$B$5:$B$2500,MATCH($G1987,Pledges!$K$5:$K$2500,0)))),"⚠ phone not in Pledges"))</f>
      </c>
      <c r="C1987" s="12"/>
      <c r="D1987" s="13"/>
      <c r="E1987" s="22"/>
      <c r="F1987" s="23"/>
      <c r="G1987">
        <f>IF($A1987="","","#"&amp;TRIM(SUBSTITUTE(SUBSTITUTE(SUBSTITUTE(SUBSTITUTE(SUBSTITUTE(SUBSTITUTE($A1987,"-",""),"(",""),")",""),".",""),"+","")," ","")))</f>
      </c>
    </row>
    <row r="1988" spans="1:7" x14ac:dyDescent="0.3">
      <c r="A1988" s="11"/>
      <c r="B1988" s="38">
        <f>IF($A1988="","",IFERROR(IF(INDEX(Pledges!$D$5:$D$2500,MATCH($G1988,Pledges!$K$5:$K$2500,0))="","⚠ no amount on Pledges",IF(INDEX(Pledges!$B$5:$B$2500,MATCH($G1988,Pledges!$K$5:$K$2500,0))="","",INDEX(Pledges!$B$5:$B$2500,MATCH($G1988,Pledges!$K$5:$K$2500,0)))),"⚠ phone not in Pledges"))</f>
      </c>
      <c r="C1988" s="12"/>
      <c r="D1988" s="13"/>
      <c r="E1988" s="22"/>
      <c r="F1988" s="23"/>
      <c r="G1988">
        <f>IF($A1988="","","#"&amp;TRIM(SUBSTITUTE(SUBSTITUTE(SUBSTITUTE(SUBSTITUTE(SUBSTITUTE(SUBSTITUTE($A1988,"-",""),"(",""),")",""),".",""),"+","")," ","")))</f>
      </c>
    </row>
    <row r="1989" spans="1:7" x14ac:dyDescent="0.3">
      <c r="A1989" s="11"/>
      <c r="B1989" s="38">
        <f>IF($A1989="","",IFERROR(IF(INDEX(Pledges!$D$5:$D$2500,MATCH($G1989,Pledges!$K$5:$K$2500,0))="","⚠ no amount on Pledges",IF(INDEX(Pledges!$B$5:$B$2500,MATCH($G1989,Pledges!$K$5:$K$2500,0))="","",INDEX(Pledges!$B$5:$B$2500,MATCH($G1989,Pledges!$K$5:$K$2500,0)))),"⚠ phone not in Pledges"))</f>
      </c>
      <c r="C1989" s="12"/>
      <c r="D1989" s="13"/>
      <c r="E1989" s="22"/>
      <c r="F1989" s="23"/>
      <c r="G1989">
        <f>IF($A1989="","","#"&amp;TRIM(SUBSTITUTE(SUBSTITUTE(SUBSTITUTE(SUBSTITUTE(SUBSTITUTE(SUBSTITUTE($A1989,"-",""),"(",""),")",""),".",""),"+","")," ","")))</f>
      </c>
    </row>
    <row r="1990" spans="1:7" x14ac:dyDescent="0.3">
      <c r="A1990" s="11"/>
      <c r="B1990" s="38">
        <f>IF($A1990="","",IFERROR(IF(INDEX(Pledges!$D$5:$D$2500,MATCH($G1990,Pledges!$K$5:$K$2500,0))="","⚠ no amount on Pledges",IF(INDEX(Pledges!$B$5:$B$2500,MATCH($G1990,Pledges!$K$5:$K$2500,0))="","",INDEX(Pledges!$B$5:$B$2500,MATCH($G1990,Pledges!$K$5:$K$2500,0)))),"⚠ phone not in Pledges"))</f>
      </c>
      <c r="C1990" s="12"/>
      <c r="D1990" s="13"/>
      <c r="E1990" s="22"/>
      <c r="F1990" s="23"/>
      <c r="G1990">
        <f>IF($A1990="","","#"&amp;TRIM(SUBSTITUTE(SUBSTITUTE(SUBSTITUTE(SUBSTITUTE(SUBSTITUTE(SUBSTITUTE($A1990,"-",""),"(",""),")",""),".",""),"+","")," ","")))</f>
      </c>
    </row>
    <row r="1991" spans="1:7" x14ac:dyDescent="0.3">
      <c r="A1991" s="11"/>
      <c r="B1991" s="38">
        <f>IF($A1991="","",IFERROR(IF(INDEX(Pledges!$D$5:$D$2500,MATCH($G1991,Pledges!$K$5:$K$2500,0))="","⚠ no amount on Pledges",IF(INDEX(Pledges!$B$5:$B$2500,MATCH($G1991,Pledges!$K$5:$K$2500,0))="","",INDEX(Pledges!$B$5:$B$2500,MATCH($G1991,Pledges!$K$5:$K$2500,0)))),"⚠ phone not in Pledges"))</f>
      </c>
      <c r="C1991" s="12"/>
      <c r="D1991" s="13"/>
      <c r="E1991" s="22"/>
      <c r="F1991" s="23"/>
      <c r="G1991">
        <f>IF($A1991="","","#"&amp;TRIM(SUBSTITUTE(SUBSTITUTE(SUBSTITUTE(SUBSTITUTE(SUBSTITUTE(SUBSTITUTE($A1991,"-",""),"(",""),")",""),".",""),"+","")," ","")))</f>
      </c>
    </row>
    <row r="1992" spans="1:7" x14ac:dyDescent="0.3">
      <c r="A1992" s="11"/>
      <c r="B1992" s="38">
        <f>IF($A1992="","",IFERROR(IF(INDEX(Pledges!$D$5:$D$2500,MATCH($G1992,Pledges!$K$5:$K$2500,0))="","⚠ no amount on Pledges",IF(INDEX(Pledges!$B$5:$B$2500,MATCH($G1992,Pledges!$K$5:$K$2500,0))="","",INDEX(Pledges!$B$5:$B$2500,MATCH($G1992,Pledges!$K$5:$K$2500,0)))),"⚠ phone not in Pledges"))</f>
      </c>
      <c r="C1992" s="12"/>
      <c r="D1992" s="13"/>
      <c r="E1992" s="22"/>
      <c r="F1992" s="23"/>
      <c r="G1992">
        <f>IF($A1992="","","#"&amp;TRIM(SUBSTITUTE(SUBSTITUTE(SUBSTITUTE(SUBSTITUTE(SUBSTITUTE(SUBSTITUTE($A1992,"-",""),"(",""),")",""),".",""),"+","")," ","")))</f>
      </c>
    </row>
    <row r="1993" spans="1:7" x14ac:dyDescent="0.3">
      <c r="A1993" s="11"/>
      <c r="B1993" s="38">
        <f>IF($A1993="","",IFERROR(IF(INDEX(Pledges!$D$5:$D$2500,MATCH($G1993,Pledges!$K$5:$K$2500,0))="","⚠ no amount on Pledges",IF(INDEX(Pledges!$B$5:$B$2500,MATCH($G1993,Pledges!$K$5:$K$2500,0))="","",INDEX(Pledges!$B$5:$B$2500,MATCH($G1993,Pledges!$K$5:$K$2500,0)))),"⚠ phone not in Pledges"))</f>
      </c>
      <c r="C1993" s="12"/>
      <c r="D1993" s="13"/>
      <c r="E1993" s="22"/>
      <c r="F1993" s="23"/>
      <c r="G1993">
        <f>IF($A1993="","","#"&amp;TRIM(SUBSTITUTE(SUBSTITUTE(SUBSTITUTE(SUBSTITUTE(SUBSTITUTE(SUBSTITUTE($A1993,"-",""),"(",""),")",""),".",""),"+","")," ","")))</f>
      </c>
    </row>
    <row r="1994" spans="1:7" x14ac:dyDescent="0.3">
      <c r="A1994" s="11"/>
      <c r="B1994" s="38">
        <f>IF($A1994="","",IFERROR(IF(INDEX(Pledges!$D$5:$D$2500,MATCH($G1994,Pledges!$K$5:$K$2500,0))="","⚠ no amount on Pledges",IF(INDEX(Pledges!$B$5:$B$2500,MATCH($G1994,Pledges!$K$5:$K$2500,0))="","",INDEX(Pledges!$B$5:$B$2500,MATCH($G1994,Pledges!$K$5:$K$2500,0)))),"⚠ phone not in Pledges"))</f>
      </c>
      <c r="C1994" s="12"/>
      <c r="D1994" s="13"/>
      <c r="E1994" s="22"/>
      <c r="F1994" s="23"/>
      <c r="G1994">
        <f>IF($A1994="","","#"&amp;TRIM(SUBSTITUTE(SUBSTITUTE(SUBSTITUTE(SUBSTITUTE(SUBSTITUTE(SUBSTITUTE($A1994,"-",""),"(",""),")",""),".",""),"+","")," ","")))</f>
      </c>
    </row>
    <row r="1995" spans="1:7" x14ac:dyDescent="0.3">
      <c r="A1995" s="11"/>
      <c r="B1995" s="38">
        <f>IF($A1995="","",IFERROR(IF(INDEX(Pledges!$D$5:$D$2500,MATCH($G1995,Pledges!$K$5:$K$2500,0))="","⚠ no amount on Pledges",IF(INDEX(Pledges!$B$5:$B$2500,MATCH($G1995,Pledges!$K$5:$K$2500,0))="","",INDEX(Pledges!$B$5:$B$2500,MATCH($G1995,Pledges!$K$5:$K$2500,0)))),"⚠ phone not in Pledges"))</f>
      </c>
      <c r="C1995" s="12"/>
      <c r="D1995" s="13"/>
      <c r="E1995" s="22"/>
      <c r="F1995" s="23"/>
      <c r="G1995">
        <f>IF($A1995="","","#"&amp;TRIM(SUBSTITUTE(SUBSTITUTE(SUBSTITUTE(SUBSTITUTE(SUBSTITUTE(SUBSTITUTE($A1995,"-",""),"(",""),")",""),".",""),"+","")," ","")))</f>
      </c>
    </row>
    <row r="1996" spans="1:7" x14ac:dyDescent="0.3">
      <c r="A1996" s="11"/>
      <c r="B1996" s="38">
        <f>IF($A1996="","",IFERROR(IF(INDEX(Pledges!$D$5:$D$2500,MATCH($G1996,Pledges!$K$5:$K$2500,0))="","⚠ no amount on Pledges",IF(INDEX(Pledges!$B$5:$B$2500,MATCH($G1996,Pledges!$K$5:$K$2500,0))="","",INDEX(Pledges!$B$5:$B$2500,MATCH($G1996,Pledges!$K$5:$K$2500,0)))),"⚠ phone not in Pledges"))</f>
      </c>
      <c r="C1996" s="12"/>
      <c r="D1996" s="13"/>
      <c r="E1996" s="22"/>
      <c r="F1996" s="23"/>
      <c r="G1996">
        <f>IF($A1996="","","#"&amp;TRIM(SUBSTITUTE(SUBSTITUTE(SUBSTITUTE(SUBSTITUTE(SUBSTITUTE(SUBSTITUTE($A1996,"-",""),"(",""),")",""),".",""),"+","")," ","")))</f>
      </c>
    </row>
    <row r="1997" spans="1:7" x14ac:dyDescent="0.3">
      <c r="A1997" s="11"/>
      <c r="B1997" s="38">
        <f>IF($A1997="","",IFERROR(IF(INDEX(Pledges!$D$5:$D$2500,MATCH($G1997,Pledges!$K$5:$K$2500,0))="","⚠ no amount on Pledges",IF(INDEX(Pledges!$B$5:$B$2500,MATCH($G1997,Pledges!$K$5:$K$2500,0))="","",INDEX(Pledges!$B$5:$B$2500,MATCH($G1997,Pledges!$K$5:$K$2500,0)))),"⚠ phone not in Pledges"))</f>
      </c>
      <c r="C1997" s="12"/>
      <c r="D1997" s="13"/>
      <c r="E1997" s="22"/>
      <c r="F1997" s="23"/>
      <c r="G1997">
        <f>IF($A1997="","","#"&amp;TRIM(SUBSTITUTE(SUBSTITUTE(SUBSTITUTE(SUBSTITUTE(SUBSTITUTE(SUBSTITUTE($A1997,"-",""),"(",""),")",""),".",""),"+","")," ","")))</f>
      </c>
    </row>
    <row r="1998" spans="1:7" x14ac:dyDescent="0.3">
      <c r="A1998" s="11"/>
      <c r="B1998" s="38">
        <f>IF($A1998="","",IFERROR(IF(INDEX(Pledges!$D$5:$D$2500,MATCH($G1998,Pledges!$K$5:$K$2500,0))="","⚠ no amount on Pledges",IF(INDEX(Pledges!$B$5:$B$2500,MATCH($G1998,Pledges!$K$5:$K$2500,0))="","",INDEX(Pledges!$B$5:$B$2500,MATCH($G1998,Pledges!$K$5:$K$2500,0)))),"⚠ phone not in Pledges"))</f>
      </c>
      <c r="C1998" s="12"/>
      <c r="D1998" s="13"/>
      <c r="E1998" s="22"/>
      <c r="F1998" s="23"/>
      <c r="G1998">
        <f>IF($A1998="","","#"&amp;TRIM(SUBSTITUTE(SUBSTITUTE(SUBSTITUTE(SUBSTITUTE(SUBSTITUTE(SUBSTITUTE($A1998,"-",""),"(",""),")",""),".",""),"+","")," ","")))</f>
      </c>
    </row>
    <row r="1999" spans="1:7" x14ac:dyDescent="0.3">
      <c r="A1999" s="11"/>
      <c r="B1999" s="38">
        <f>IF($A1999="","",IFERROR(IF(INDEX(Pledges!$D$5:$D$2500,MATCH($G1999,Pledges!$K$5:$K$2500,0))="","⚠ no amount on Pledges",IF(INDEX(Pledges!$B$5:$B$2500,MATCH($G1999,Pledges!$K$5:$K$2500,0))="","",INDEX(Pledges!$B$5:$B$2500,MATCH($G1999,Pledges!$K$5:$K$2500,0)))),"⚠ phone not in Pledges"))</f>
      </c>
      <c r="C1999" s="12"/>
      <c r="D1999" s="13"/>
      <c r="E1999" s="22"/>
      <c r="F1999" s="23"/>
      <c r="G1999">
        <f>IF($A1999="","","#"&amp;TRIM(SUBSTITUTE(SUBSTITUTE(SUBSTITUTE(SUBSTITUTE(SUBSTITUTE(SUBSTITUTE($A1999,"-",""),"(",""),")",""),".",""),"+","")," ","")))</f>
      </c>
    </row>
    <row r="2000" spans="1:7" x14ac:dyDescent="0.3">
      <c r="A2000" s="11"/>
      <c r="B2000" s="38">
        <f>IF($A2000="","",IFERROR(IF(INDEX(Pledges!$D$5:$D$2500,MATCH($G2000,Pledges!$K$5:$K$2500,0))="","⚠ no amount on Pledges",IF(INDEX(Pledges!$B$5:$B$2500,MATCH($G2000,Pledges!$K$5:$K$2500,0))="","",INDEX(Pledges!$B$5:$B$2500,MATCH($G2000,Pledges!$K$5:$K$2500,0)))),"⚠ phone not in Pledges"))</f>
      </c>
      <c r="C2000" s="12"/>
      <c r="D2000" s="13"/>
      <c r="E2000" s="22"/>
      <c r="F2000" s="23"/>
      <c r="G2000">
        <f>IF($A2000="","","#"&amp;TRIM(SUBSTITUTE(SUBSTITUTE(SUBSTITUTE(SUBSTITUTE(SUBSTITUTE(SUBSTITUTE($A2000,"-",""),"(",""),")",""),".",""),"+","")," ","")))</f>
      </c>
    </row>
  </sheetData>
  <sheetProtection sheet="1" objects="1" scenarios="1" formatCells="0" formatColumns="0" formatRows="0" insertRows="0" deleteRows="0" sort="0" autoFilter="0"/>
  <dataValidations count="2">
    <dataValidation type="list" allowBlank="1" showInputMessage="1" showErrorMessage="1" sqref="E5:E2000" xr:uid="{C1F1C563-B76C-4FA8-8BB6-1A5ACB017C0F}">
      <formula1>"Cash,Bank Transfer,Card,Check,Online,Other"</formula1>
    </dataValidation>
    <dataValidation type="decimal" operator="greaterThanOrEqual" allowBlank="1" showInputMessage="1" showErrorMessage="1" errorTitle="Invalid amount" error="Enter an amount of 0 or more." sqref="D5:D2000" xr:uid="{6DF7D238-87D9-4717-9DF4-D7F3B1A8F75A}">
      <formula1>0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C7C76094-F22A-4827-B32F-0C1F474B7145}">
            <xm:f>AND($A5&lt;&gt;"",LEFT($B5,1)="⚠")</xm:f>
            <x14:dxf>
              <font>
                <color rgb="FF9C0006"/>
              </font>
              <fill>
                <patternFill patternType="solid">
                  <fgColor indexed="64"/>
                  <bgColor rgb="FFF8CBAD"/>
                </patternFill>
              </fill>
            </x14:dxf>
          </x14:cfRule>
          <xm:sqref>A5:F2500</xm:sqref>
        </x14:conditionalFormatting>
        <x14:conditionalFormatting xmlns:xm="http://schemas.microsoft.com/office/excel/2006/main">
          <x14:cfRule type="expression" priority="4" id="{9A1C4E77-0B2D-4F6A-9C31-5E8D7A2B4C60}">
            <xm:f>AND($C5&lt;&gt;"",$C5&gt;TODAY())</xm:f>
            <x14:dxf>
              <font>
                <color rgb="FF7F6000"/>
              </font>
              <fill>
                <patternFill>
                  <bgColor rgb="FFFFE699"/>
                </patternFill>
              </fill>
            </x14:dxf>
          </x14:cfRule>
          <xm:sqref>C5:C2500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"/>
  <sheetViews>
    <sheetView zoomScaleNormal="100" workbookViewId="0">
      <selection activeCell="B26" sqref="B26"/>
    </sheetView>
  </sheetViews>
  <sheetFormatPr defaultColWidth="8.6640625" defaultRowHeight="14.4" x14ac:dyDescent="0.3"/>
  <cols>
    <col min="1" max="1" width="44" customWidth="1"/>
    <col min="2" max="2" width="18" customWidth="1"/>
    <col min="4" max="4" width="20" hidden="1" customWidth="1"/>
  </cols>
  <sheetData>
    <row r="1" spans="1:2" ht="21" x14ac:dyDescent="0.3">
      <c r="A1" s="1" t="inlineStr">
        <is>
          <t>Fundraiser Summary</t>
        </is>
      </c>
    </row>
    <row r="2" spans="1:2" x14ac:dyDescent="0.3">
      <c r="A2" s="2" t="inlineStr">
        <is>
          <t>Updates automatically from the Pledges and Payments tabs.</t>
        </is>
      </c>
    </row>
    <row r="4" spans="1:2" x14ac:dyDescent="0.3">
      <c r="A4" s="4" t="inlineStr">
        <is>
          <t>Fundraiser Goal ($)</t>
        </is>
      </c>
      <c r="B4" s="3">
        <v>10000</v>
      </c>
    </row>
    <row r="5" spans="1:2" x14ac:dyDescent="0.3">
      <c r="A5" s="4" t="inlineStr">
        <is>
          <t>Total Pledged ($)</t>
        </is>
      </c>
      <c r="B5" s="5">
        <f>SUM(Pledges!$D$5:$D$2500)</f>
      </c>
    </row>
    <row r="6" spans="1:2" x14ac:dyDescent="0.3">
      <c r="A6" s="4" t="inlineStr">
        <is>
          <t>Total Received ($)</t>
        </is>
      </c>
      <c r="B6" s="5">
        <f>SUM(Pledges!$F$5:$F$2500)</f>
      </c>
    </row>
    <row r="7" spans="1:2" x14ac:dyDescent="0.3">
      <c r="A7" s="4" t="inlineStr">
        <is>
          <t>Total Balance Outstanding ($)</t>
        </is>
      </c>
      <c r="B7" s="5">
        <f>SUMIF(Pledges!$G$5:$G$2500,"&gt;0")</f>
      </c>
    </row>
    <row r="8" spans="1:2" x14ac:dyDescent="0.3">
      <c r="A8" s="4" t="inlineStr">
        <is>
          <t>Total Overpaid / Credit ($)</t>
        </is>
      </c>
      <c r="B8" s="5">
        <f>ABS(SUMIF(Pledges!$G$5:$G$2500,"&lt;0"))</f>
      </c>
    </row>
    <row r="9" spans="1:2" x14ac:dyDescent="0.3">
      <c r="A9" s="4" t="inlineStr">
        <is>
          <t>Number of Donors (pledged)</t>
        </is>
      </c>
      <c r="B9" s="6">
        <f>COUNTIF(Pledges!$D$5:$D$2500,"&gt;0")</f>
      </c>
    </row>
    <row r="10" spans="1:2" x14ac:dyDescent="0.3">
      <c r="A10" s="4" t="inlineStr">
        <is>
          <t>Number Fully Paid</t>
        </is>
      </c>
      <c r="B10" s="6">
        <f>COUNTIF(Pledges!$I$5:$I$2500,"Paid")</f>
      </c>
    </row>
    <row r="11" spans="1:2" x14ac:dyDescent="0.3">
      <c r="A11" s="4" t="inlineStr">
        <is>
          <t>Number Partial</t>
        </is>
      </c>
      <c r="B11" s="6">
        <f>COUNTIF(Pledges!$I$5:$I$2500,"Partial")</f>
      </c>
    </row>
    <row r="12" spans="1:2" x14ac:dyDescent="0.3">
      <c r="A12" s="4" t="inlineStr">
        <is>
          <t>Number Pending</t>
        </is>
      </c>
      <c r="B12" s="6">
        <f>COUNTIF(Pledges!$I$5:$I$2500,"Pending")</f>
      </c>
    </row>
    <row r="13" spans="1:2" x14ac:dyDescent="0.3">
      <c r="A13" s="4" t="inlineStr">
        <is>
          <t>Number Overpaid</t>
        </is>
      </c>
      <c r="B13" s="6">
        <f>COUNTIF(Pledges!$I$5:$I$2500,"Overpaid")</f>
      </c>
    </row>
    <row r="14" spans="1:2" x14ac:dyDescent="0.3">
      <c r="A14" s="14" t="inlineStr">
        <is>
          <t>% of Goal Received</t>
        </is>
      </c>
      <c r="B14" s="15">
        <f>IFERROR(B6/B4,0)</f>
      </c>
    </row>
    <row r="15" spans="1:2" x14ac:dyDescent="0.3">
      <c r="A15" s="16" t="inlineStr">
        <is>
          <t>Payments Logged ($)</t>
        </is>
      </c>
      <c r="B15" s="17">
        <f>SUM(Payments!$D$5:$D$2500)</f>
      </c>
    </row>
    <row r="16" spans="1:2" x14ac:dyDescent="0.3">
      <c r="A16" s="16" t="inlineStr">
        <is>
          <t>Unmatched Payments ($)</t>
        </is>
      </c>
      <c r="B16" s="17">
        <f>B15-B6</f>
      </c>
    </row>
    <row r="17" spans="1:2" x14ac:dyDescent="0.3">
      <c r="A17" s="2" t="inlineStr">
        <is>
          <t>Legend: yellow cell = entry. Green figures are pulled from another tab. Formulas use plain cell ranges so the file also works in Google Sheets.</t>
        </is>
      </c>
    </row>
    <row r="19" spans="1:2" ht="16.8" x14ac:dyDescent="0.3">
      <c r="A19" s="7" t="inlineStr">
        <is>
          <t>Data Health</t>
        </is>
      </c>
    </row>
    <row r="20" spans="1:2" x14ac:dyDescent="0.3">
      <c r="A20" s="2" t="inlineStr">
        <is>
          <t>Every figure below should read 0. Anything higher needs a look.</t>
        </is>
      </c>
    </row>
    <row r="21" spans="1:2" x14ac:dyDescent="0.3">
      <c r="A21" s="4" t="inlineStr">
        <is>
          <t>Payments not matched to a pledge</t>
        </is>
      </c>
      <c r="B21" s="6">
        <f>COUNTIF(Payments!$B$5:$B$2500,"⚠*")</f>
      </c>
    </row>
    <row r="22" spans="1:2" x14ac:dyDescent="0.3">
      <c r="A22" s="4" t="inlineStr">
        <is>
          <t>Donors listed more than once</t>
        </is>
      </c>
      <c r="B22" s="6">
        <f>SUMPRODUCT((Pledges!$K$5:$K$2500&lt;&gt;"")*(COUNTIF(Pledges!$K$5:$K$2500,Pledges!$K$5:$K$2500)&gt;1))</f>
      </c>
    </row>
    <row r="23" spans="1:2" x14ac:dyDescent="0.3">
      <c r="A23" s="4" t="inlineStr">
        <is>
          <t>Pledges missing a phone number</t>
        </is>
      </c>
      <c r="B23" s="6">
        <f>COUNTIFS(Pledges!$D$5:$D$2500,"&gt;0",Pledges!$A$5:$A$2500,"")</f>
      </c>
    </row>
    <row r="24" spans="1:2" x14ac:dyDescent="0.3">
      <c r="A24" s="4" t="inlineStr">
        <is>
          <t>Payments missing a date or amount</t>
        </is>
      </c>
      <c r="B24" s="6">
        <f>SUMPRODUCT((Payments!$A$5:$A$2500&lt;&gt;"")*((Payments!$C$5:$C$2500="")+(Payments!$D$5:$D$2500="")&gt;0))</f>
      </c>
    </row>
    <row r="25" spans="1:2" x14ac:dyDescent="0.3">
      <c r="A25" s="4" t="inlineStr">
        <is>
          <t>Payments dated in the future</t>
        </is>
      </c>
      <c r="B25" s="6">
        <f>SUMPRODUCT((Payments!$C$5:$C$2500&lt;&gt;"")*(Payments!$C$5:$C$2500&gt;TODAY()))</f>
      </c>
    </row>
    <row r="26" spans="1:2" x14ac:dyDescent="0.3">
      <c r="A26" s="4" t="inlineStr">
        <is>
          <t>Donors whose payments predate their pledge</t>
        </is>
      </c>
      <c r="B26" s="6">
        <f>SUMPRODUCT((Pledges!$E$5:$E$2500&lt;&gt;"")*(Pledges!$E$5:$E$2500&lt;Pledges!$C$5:$C$2500))</f>
      </c>
    </row>
    <row r="27" spans="1:2" x14ac:dyDescent="0.3">
      <c r="A27" s="2" t="inlineStr">
        <is>
          <t>Red and amber rows on the Pledges/Payments tabs mark the first, second and fifth checks. For the rest, filter those tabs for blank cells or compare the dates.</t>
        </is>
      </c>
    </row>
    <row r="29" spans="1:2" ht="16.8" x14ac:dyDescent="0.3">
      <c r="A29" s="7" t="inlineStr">
        <is>
          <t>Collected by Payment Method</t>
        </is>
      </c>
    </row>
    <row r="30" spans="1:2" x14ac:dyDescent="0.3">
      <c r="A30" s="4" t="inlineStr">
        <is>
          <t>Cash</t>
        </is>
      </c>
      <c r="B30" s="5">
        <f>SUMIF(Payments!$E$5:$E$2500,"Cash",Payments!$D$5:$D$2500)</f>
      </c>
    </row>
    <row r="31" spans="1:2" x14ac:dyDescent="0.3">
      <c r="A31" s="4" t="inlineStr">
        <is>
          <t>Bank Transfer</t>
        </is>
      </c>
      <c r="B31" s="5">
        <f>SUMIF(Payments!$E$5:$E$2500,"Bank Transfer",Payments!$D$5:$D$2500)</f>
      </c>
    </row>
    <row r="32" spans="1:2" x14ac:dyDescent="0.3">
      <c r="A32" s="4" t="inlineStr">
        <is>
          <t>Card</t>
        </is>
      </c>
      <c r="B32" s="5">
        <f>SUMIF(Payments!$E$5:$E$2500,"Card",Payments!$D$5:$D$2500)</f>
      </c>
    </row>
    <row r="33" spans="1:2" x14ac:dyDescent="0.3">
      <c r="A33" s="4" t="inlineStr">
        <is>
          <t>Check</t>
        </is>
      </c>
      <c r="B33" s="5">
        <f>SUMIF(Payments!$E$5:$E$2500,"Check",Payments!$D$5:$D$2500)</f>
      </c>
    </row>
    <row r="34" spans="1:2" x14ac:dyDescent="0.3">
      <c r="A34" s="4" t="inlineStr">
        <is>
          <t>Online</t>
        </is>
      </c>
      <c r="B34" s="5">
        <f>SUMIF(Payments!$E$5:$E$2500,"Online",Payments!$D$5:$D$2500)</f>
      </c>
    </row>
    <row r="35" spans="1:2" x14ac:dyDescent="0.3">
      <c r="A35" s="4" t="inlineStr">
        <is>
          <t>Other</t>
        </is>
      </c>
      <c r="B35" s="5">
        <f>SUMIF(Payments!$E$5:$E$2500,"Other",Payments!$D$5:$D$2500)</f>
      </c>
    </row>
    <row r="36" spans="1:2" x14ac:dyDescent="0.3">
      <c r="A36" s="4" t="inlineStr">
        <is>
          <t>No method recorded</t>
        </is>
      </c>
      <c r="B36" s="5">
        <f>SUMIFS(Payments!$D$5:$D$2500,Payments!$E$5:$E$2500,"")</f>
      </c>
    </row>
    <row r="37" spans="1:2" x14ac:dyDescent="0.3">
      <c r="A37" s="4" t="inlineStr">
        <is>
          <t>Total (should match Payments Logged)</t>
        </is>
      </c>
      <c r="B37" s="5">
        <f>SUM(B30:B36)</f>
      </c>
    </row>
    <row r="38" spans="1:2" ht="16.8" x14ac:dyDescent="0.3">
      <c r="A38" s="7" t="inlineStr">
        <is>
          <t>Donor Lookup</t>
        </is>
      </c>
    </row>
    <row r="39" spans="1:2" x14ac:dyDescent="0.3">
      <c r="A39" s="2" t="inlineStr">
        <is>
          <t>Enter a phone number below to pull that donor's status. Dashes and spaces do not matter.</t>
        </is>
      </c>
    </row>
    <row r="41" spans="1:2" x14ac:dyDescent="0.3">
      <c r="A41" s="8" t="inlineStr">
        <is>
          <t>Phone Number</t>
        </is>
      </c>
      <c r="B41" s="9"/>
      <c r="D41">
        <f>IF($B$41="","","#"&amp;TRIM(SUBSTITUTE(SUBSTITUTE(SUBSTITUTE(SUBSTITUTE(SUBSTITUTE(SUBSTITUTE($B$41,"-",""),"(",""),")",""),".",""),"+","")," ","")))</f>
      </c>
    </row>
    <row r="42" spans="1:2" x14ac:dyDescent="0.3">
      <c r="A42" s="4" t="inlineStr">
        <is>
          <t>Donor Name</t>
        </is>
      </c>
      <c r="B42" s="6">
        <f>IF($B$41="","",IFERROR(IF(INDEX(Pledges!$B$5:$B$2500,MATCH($D$41,Pledges!$K$5:$K$2500,0))="","",INDEX(Pledges!$B$5:$B$2500,MATCH($D$41,Pledges!$K$5:$K$2500,0))),"Not found"))</f>
      </c>
    </row>
    <row r="43" spans="1:2" x14ac:dyDescent="0.3">
      <c r="A43" s="4" t="inlineStr">
        <is>
          <t>Date Pledged</t>
        </is>
      </c>
      <c r="B43" s="10">
        <f>IF($B$41="","",IFERROR(IF(INDEX(Pledges!$C$5:$C$2500,MATCH($D$41,Pledges!$K$5:$K$2500,0))="","",INDEX(Pledges!$C$5:$C$2500,MATCH($D$41,Pledges!$K$5:$K$2500,0))),"Not found"))</f>
      </c>
    </row>
    <row r="44" spans="1:2" x14ac:dyDescent="0.3">
      <c r="A44" s="4" t="inlineStr">
        <is>
          <t>Amount Pledged ($)</t>
        </is>
      </c>
      <c r="B44" s="5">
        <f>IF($B$41="","",IFERROR(IF(INDEX(Pledges!$D$5:$D$2500,MATCH($D$41,Pledges!$K$5:$K$2500,0))="","",INDEX(Pledges!$D$5:$D$2500,MATCH($D$41,Pledges!$K$5:$K$2500,0))),"Not found"))</f>
      </c>
    </row>
    <row r="45" spans="1:2" x14ac:dyDescent="0.3">
      <c r="A45" s="4" t="inlineStr">
        <is>
          <t>Last Payment Date</t>
        </is>
      </c>
      <c r="B45" s="10">
        <f>IF($B$41="","",IFERROR(IF(INDEX(Pledges!$E$5:$E$2500,MATCH($D$41,Pledges!$K$5:$K$2500,0))="","",INDEX(Pledges!$E$5:$E$2500,MATCH($D$41,Pledges!$K$5:$K$2500,0))),"Not found"))</f>
      </c>
    </row>
    <row r="46" spans="1:2" x14ac:dyDescent="0.3">
      <c r="A46" s="4" t="inlineStr">
        <is>
          <t>Amount Received ($)</t>
        </is>
      </c>
      <c r="B46" s="5">
        <f>IF($B$41="","",IFERROR(IF(INDEX(Pledges!$F$5:$F$2500,MATCH($D$41,Pledges!$K$5:$K$2500,0))="","",INDEX(Pledges!$F$5:$F$2500,MATCH($D$41,Pledges!$K$5:$K$2500,0))),"Not found"))</f>
      </c>
    </row>
    <row r="47" spans="1:2" x14ac:dyDescent="0.3">
      <c r="A47" s="4" t="inlineStr">
        <is>
          <t>Balance Due ($)</t>
        </is>
      </c>
      <c r="B47" s="19">
        <f>IF($B$41="","",IFERROR(IF(INDEX(Pledges!$G$5:$G$2500,MATCH($D$41,Pledges!$K$5:$K$2500,0))="","",INDEX(Pledges!$G$5:$G$2500,MATCH($D$41,Pledges!$K$5:$K$2500,0))),"Not found"))</f>
      </c>
    </row>
    <row r="48" spans="1:2" x14ac:dyDescent="0.3">
      <c r="A48" s="4" t="inlineStr">
        <is>
          <t># Payments</t>
        </is>
      </c>
      <c r="B48" s="18">
        <f>IF($B$41="","",IFERROR(IF(INDEX(Pledges!$H$5:$H$2500,MATCH($D$41,Pledges!$K$5:$K$2500,0))="","",INDEX(Pledges!$H$5:$H$2500,MATCH($D$41,Pledges!$K$5:$K$2500,0))),"Not found"))</f>
      </c>
    </row>
    <row r="49" spans="1:2" x14ac:dyDescent="0.3">
      <c r="A49" s="4" t="inlineStr">
        <is>
          <t>Status</t>
        </is>
      </c>
      <c r="B49" s="6">
        <f>IF($B$41="","",IFERROR(IF(INDEX(Pledges!$I$5:$I$2500,MATCH($D$41,Pledges!$K$5:$K$2500,0))="","",INDEX(Pledges!$I$5:$I$2500,MATCH($D$41,Pledges!$K$5:$K$2500,0))),"Not found"))</f>
      </c>
    </row>
    <row r="50" spans="1:2" x14ac:dyDescent="0.3">
      <c r="A50" s="4" t="inlineStr">
        <is>
          <t>Notes</t>
        </is>
      </c>
      <c r="B50" s="6">
        <f>IF($B$41="","",IFERROR(IF(INDEX(Pledges!$J$5:$J$2500,MATCH($D$41,Pledges!$K$5:$K$2500,0))="","",INDEX(Pledges!$J$5:$J$2500,MATCH($D$41,Pledges!$K$5:$K$2500,0))),"Not found"))</f>
      </c>
    </row>
    <row r="52" spans="1:2" x14ac:dyDescent="0.3">
      <c r="A52" s="2" t="inlineStr">
        <is>
          <t>This shows running totals. To see every individual payment, go to the Payments tab and search (Ctrl/Cmd+F) for the phone number.</t>
        </is>
      </c>
    </row>
  </sheetData>
  <sheetProtection sheet="1" objects="1" scenarios="1" formatCells="0" formatColumns="0" formatRows="0" insertRows="0" deleteRows="0" sort="0" autoFilter="0"/>
  <conditionalFormatting sqref="B16">
    <cfRule type="expression" dxfId="0" priority="1">
      <formula>$B$16&lt;&gt;0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Pledges</vt:lpstr>
      <vt:lpstr>Payments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Lawali, Mahamadou</cp:lastModifiedBy>
  <cp:revision>0</cp:revision>
  <dcterms:created xsi:type="dcterms:W3CDTF">2026-09-15T10:26:59Z</dcterms:created>
  <dcterms:modified xsi:type="dcterms:W3CDTF">2026-09-15T14:42:53Z</dcterms:modified>
  <dc:language>en-US</dc:language>
</cp:coreProperties>
</file>